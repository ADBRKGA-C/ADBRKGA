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465" windowWidth="28800" windowHeight="16395" tabRatio="875" activeTab="1"/>
  </bookViews>
  <sheets>
    <sheet name="Para. setting" sheetId="149" r:id="rId1"/>
    <sheet name="C,E,L,M" sheetId="185" r:id="rId2"/>
    <sheet name="Total" sheetId="73" r:id="rId3"/>
    <sheet name="1" sheetId="37" r:id="rId4"/>
    <sheet name="2" sheetId="191" r:id="rId5"/>
    <sheet name="3" sheetId="192" r:id="rId6"/>
    <sheet name="4" sheetId="193" r:id="rId7"/>
    <sheet name="5" sheetId="194" r:id="rId8"/>
    <sheet name="6" sheetId="195" r:id="rId9"/>
    <sheet name="7" sheetId="196" r:id="rId10"/>
    <sheet name="8" sheetId="197" r:id="rId11"/>
    <sheet name="9" sheetId="198" r:id="rId12"/>
    <sheet name="10" sheetId="199" r:id="rId13"/>
    <sheet name="11" sheetId="200" r:id="rId14"/>
    <sheet name="12" sheetId="201" r:id="rId15"/>
    <sheet name="13" sheetId="202" r:id="rId16"/>
    <sheet name="14" sheetId="203" r:id="rId17"/>
    <sheet name="15" sheetId="204" r:id="rId18"/>
    <sheet name="16" sheetId="205" r:id="rId19"/>
    <sheet name="17" sheetId="206" r:id="rId20"/>
    <sheet name="18" sheetId="207" r:id="rId21"/>
    <sheet name="19" sheetId="208" r:id="rId22"/>
    <sheet name="20" sheetId="209" r:id="rId23"/>
    <sheet name="21" sheetId="210" r:id="rId24"/>
    <sheet name="22" sheetId="211" r:id="rId25"/>
    <sheet name="23" sheetId="212" r:id="rId26"/>
    <sheet name="24" sheetId="213" r:id="rId27"/>
    <sheet name="25" sheetId="214" r:id="rId28"/>
  </sheets>
  <definedNames>
    <definedName name="_xlnm._FilterDatabase" localSheetId="3" hidden="1">'1'!$H$1:$J$47</definedName>
    <definedName name="_xlnm._FilterDatabase" localSheetId="12" hidden="1">'10'!$H$1:$J$47</definedName>
    <definedName name="_xlnm._FilterDatabase" localSheetId="13" hidden="1">'11'!$H$1:$J$47</definedName>
    <definedName name="_xlnm._FilterDatabase" localSheetId="14" hidden="1">'12'!$H$1:$J$47</definedName>
    <definedName name="_xlnm._FilterDatabase" localSheetId="15" hidden="1">'13'!$H$1:$J$47</definedName>
    <definedName name="_xlnm._FilterDatabase" localSheetId="16" hidden="1">'14'!$H$1:$J$47</definedName>
    <definedName name="_xlnm._FilterDatabase" localSheetId="17" hidden="1">'15'!$H$1:$J$47</definedName>
    <definedName name="_xlnm._FilterDatabase" localSheetId="18" hidden="1">'16'!$H$1:$J$47</definedName>
    <definedName name="_xlnm._FilterDatabase" localSheetId="19" hidden="1">'17'!$H$1:$J$47</definedName>
    <definedName name="_xlnm._FilterDatabase" localSheetId="20" hidden="1">'18'!$H$1:$J$47</definedName>
    <definedName name="_xlnm._FilterDatabase" localSheetId="21" hidden="1">'19'!$H$1:$J$47</definedName>
    <definedName name="_xlnm._FilterDatabase" localSheetId="4" hidden="1">'2'!$H$1:$J$47</definedName>
    <definedName name="_xlnm._FilterDatabase" localSheetId="22" hidden="1">'20'!$H$1:$J$47</definedName>
    <definedName name="_xlnm._FilterDatabase" localSheetId="23" hidden="1">'21'!$H$1:$J$47</definedName>
    <definedName name="_xlnm._FilterDatabase" localSheetId="24" hidden="1">'22'!$H$1:$J$47</definedName>
    <definedName name="_xlnm._FilterDatabase" localSheetId="25" hidden="1">'23'!$H$1:$J$47</definedName>
    <definedName name="_xlnm._FilterDatabase" localSheetId="26" hidden="1">'24'!$H$1:$J$47</definedName>
    <definedName name="_xlnm._FilterDatabase" localSheetId="27" hidden="1">'25'!$H$1:$J$47</definedName>
    <definedName name="_xlnm._FilterDatabase" localSheetId="5" hidden="1">'3'!$H$1:$J$47</definedName>
    <definedName name="_xlnm._FilterDatabase" localSheetId="6" hidden="1">'4'!$H$1:$J$47</definedName>
    <definedName name="_xlnm._FilterDatabase" localSheetId="7" hidden="1">'5'!$H$1:$J$47</definedName>
    <definedName name="_xlnm._FilterDatabase" localSheetId="8" hidden="1">'6'!$H$1:$J$47</definedName>
    <definedName name="_xlnm._FilterDatabase" localSheetId="9" hidden="1">'7'!$H$1:$J$47</definedName>
    <definedName name="_xlnm._FilterDatabase" localSheetId="10" hidden="1">'8'!$H$1:$J$47</definedName>
    <definedName name="_xlnm._FilterDatabase" localSheetId="11" hidden="1">'9'!$H$1:$J$47</definedName>
    <definedName name="_xlnm._FilterDatabase" localSheetId="2" hidden="1">Total!$A$1:$C$28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W3" i="185" l="1"/>
  <c r="W4" i="185"/>
  <c r="W5" i="185"/>
  <c r="W6" i="185"/>
  <c r="W7" i="185"/>
  <c r="W8" i="185"/>
  <c r="W9" i="185"/>
  <c r="W10" i="185"/>
  <c r="W11" i="185"/>
  <c r="W12" i="185"/>
  <c r="W13" i="185"/>
  <c r="W14" i="185"/>
  <c r="W15" i="185"/>
  <c r="W16" i="185"/>
  <c r="W17" i="185"/>
  <c r="W18" i="185"/>
  <c r="W19" i="185"/>
  <c r="W20" i="185"/>
  <c r="W21" i="185"/>
  <c r="W22" i="185"/>
  <c r="W23" i="185"/>
  <c r="W24" i="185"/>
  <c r="W25" i="185"/>
  <c r="W26" i="185"/>
  <c r="W2" i="185"/>
  <c r="F7" i="185" l="1"/>
  <c r="E7" i="185"/>
  <c r="D7" i="185"/>
  <c r="C7" i="185"/>
  <c r="B7" i="185"/>
  <c r="A7" i="185"/>
  <c r="F6" i="185"/>
  <c r="E6" i="185"/>
  <c r="D6" i="185"/>
  <c r="C6" i="185"/>
  <c r="B6" i="185"/>
  <c r="A6" i="185"/>
  <c r="F5" i="185"/>
  <c r="E5" i="185"/>
  <c r="D5" i="185"/>
  <c r="C5" i="185"/>
  <c r="B5" i="185"/>
  <c r="A5" i="185"/>
  <c r="F4" i="185"/>
  <c r="E4" i="185"/>
  <c r="D4" i="185"/>
  <c r="C4" i="185"/>
  <c r="B4" i="185"/>
  <c r="A4" i="185"/>
  <c r="F3" i="185"/>
  <c r="E3" i="185"/>
  <c r="D3" i="185"/>
  <c r="C3" i="185"/>
  <c r="B3" i="185"/>
  <c r="A3" i="185"/>
  <c r="F2" i="185"/>
  <c r="E2" i="185"/>
  <c r="D2" i="185"/>
  <c r="C2" i="185"/>
  <c r="B2" i="185"/>
  <c r="A2" i="185"/>
  <c r="F1" i="185"/>
  <c r="E1" i="185"/>
  <c r="D1" i="185"/>
  <c r="C1" i="185"/>
  <c r="B1" i="185"/>
  <c r="A1" i="185"/>
  <c r="V3" i="185" l="1"/>
  <c r="V6" i="185"/>
  <c r="V7" i="185"/>
  <c r="V8" i="185"/>
  <c r="V9" i="185"/>
  <c r="V10" i="185"/>
  <c r="V11" i="185"/>
  <c r="V12" i="185"/>
  <c r="V13" i="185"/>
  <c r="V14" i="185"/>
  <c r="V15" i="185"/>
  <c r="V16" i="185"/>
  <c r="V17" i="185"/>
  <c r="V18" i="185"/>
  <c r="V19" i="185"/>
  <c r="V20" i="185"/>
  <c r="V21" i="185"/>
  <c r="V22" i="185"/>
  <c r="V23" i="185"/>
  <c r="V24" i="185"/>
  <c r="V25" i="185"/>
  <c r="V26" i="185"/>
  <c r="V2" i="185"/>
  <c r="V4" i="185"/>
  <c r="V5" i="185"/>
  <c r="T26" i="185"/>
  <c r="S26" i="185"/>
  <c r="R26" i="185"/>
  <c r="Q26" i="185"/>
  <c r="P26" i="185"/>
  <c r="O26" i="185"/>
  <c r="T25" i="185"/>
  <c r="S25" i="185"/>
  <c r="R25" i="185"/>
  <c r="Q25" i="185"/>
  <c r="P25" i="185"/>
  <c r="O25" i="185"/>
  <c r="T24" i="185"/>
  <c r="S24" i="185"/>
  <c r="R24" i="185"/>
  <c r="Q24" i="185"/>
  <c r="P24" i="185"/>
  <c r="O24" i="185"/>
  <c r="T23" i="185"/>
  <c r="S23" i="185"/>
  <c r="R23" i="185"/>
  <c r="Q23" i="185"/>
  <c r="P23" i="185"/>
  <c r="O23" i="185"/>
  <c r="T22" i="185"/>
  <c r="S22" i="185"/>
  <c r="R22" i="185"/>
  <c r="Q22" i="185"/>
  <c r="P22" i="185"/>
  <c r="O22" i="185"/>
  <c r="T21" i="185"/>
  <c r="S21" i="185"/>
  <c r="R21" i="185"/>
  <c r="Q21" i="185"/>
  <c r="P21" i="185"/>
  <c r="O21" i="185"/>
  <c r="T20" i="185"/>
  <c r="S20" i="185"/>
  <c r="R20" i="185"/>
  <c r="Q20" i="185"/>
  <c r="P20" i="185"/>
  <c r="O20" i="185"/>
  <c r="T19" i="185"/>
  <c r="S19" i="185"/>
  <c r="R19" i="185"/>
  <c r="Q19" i="185"/>
  <c r="P19" i="185"/>
  <c r="O19" i="185"/>
  <c r="T18" i="185"/>
  <c r="S18" i="185"/>
  <c r="R18" i="185"/>
  <c r="Q18" i="185"/>
  <c r="P18" i="185"/>
  <c r="O18" i="185"/>
  <c r="T17" i="185"/>
  <c r="S17" i="185"/>
  <c r="R17" i="185"/>
  <c r="Q17" i="185"/>
  <c r="P17" i="185"/>
  <c r="O17" i="185"/>
  <c r="T16" i="185"/>
  <c r="S16" i="185"/>
  <c r="R16" i="185"/>
  <c r="Q16" i="185"/>
  <c r="P16" i="185"/>
  <c r="O16" i="185"/>
  <c r="T15" i="185"/>
  <c r="S15" i="185"/>
  <c r="R15" i="185"/>
  <c r="Q15" i="185"/>
  <c r="P15" i="185"/>
  <c r="O15" i="185"/>
  <c r="T14" i="185"/>
  <c r="S14" i="185"/>
  <c r="R14" i="185"/>
  <c r="Q14" i="185"/>
  <c r="P14" i="185"/>
  <c r="O14" i="185"/>
  <c r="T13" i="185"/>
  <c r="S13" i="185"/>
  <c r="R13" i="185"/>
  <c r="Q13" i="185"/>
  <c r="P13" i="185"/>
  <c r="O13" i="185"/>
  <c r="T12" i="185"/>
  <c r="S12" i="185"/>
  <c r="R12" i="185"/>
  <c r="Q12" i="185"/>
  <c r="P12" i="185"/>
  <c r="O12" i="185"/>
  <c r="T11" i="185"/>
  <c r="S11" i="185"/>
  <c r="R11" i="185"/>
  <c r="Q11" i="185"/>
  <c r="P11" i="185"/>
  <c r="O11" i="185"/>
  <c r="T10" i="185"/>
  <c r="S10" i="185"/>
  <c r="R10" i="185"/>
  <c r="Q10" i="185"/>
  <c r="P10" i="185"/>
  <c r="O10" i="185"/>
  <c r="T9" i="185"/>
  <c r="S9" i="185"/>
  <c r="R9" i="185"/>
  <c r="Q9" i="185"/>
  <c r="P9" i="185"/>
  <c r="O9" i="185"/>
  <c r="T8" i="185"/>
  <c r="S8" i="185"/>
  <c r="R8" i="185"/>
  <c r="Q8" i="185"/>
  <c r="P8" i="185"/>
  <c r="O8" i="185"/>
  <c r="T7" i="185"/>
  <c r="S7" i="185"/>
  <c r="R7" i="185"/>
  <c r="Q7" i="185"/>
  <c r="P7" i="185"/>
  <c r="O7" i="185"/>
  <c r="T6" i="185"/>
  <c r="S6" i="185"/>
  <c r="R6" i="185"/>
  <c r="Q6" i="185"/>
  <c r="P6" i="185"/>
  <c r="O6" i="185"/>
  <c r="T5" i="185"/>
  <c r="S5" i="185"/>
  <c r="R5" i="185"/>
  <c r="Q5" i="185"/>
  <c r="P5" i="185"/>
  <c r="O5" i="185"/>
  <c r="T4" i="185"/>
  <c r="S4" i="185"/>
  <c r="R4" i="185"/>
  <c r="Q4" i="185"/>
  <c r="P4" i="185"/>
  <c r="O4" i="185"/>
  <c r="T3" i="185"/>
  <c r="S3" i="185"/>
  <c r="R3" i="185"/>
  <c r="Q3" i="185"/>
  <c r="P3" i="185"/>
  <c r="O3" i="185"/>
  <c r="T2" i="185"/>
  <c r="S2" i="185"/>
  <c r="R2" i="185"/>
  <c r="Q2" i="185"/>
  <c r="P2" i="185"/>
  <c r="O2" i="185"/>
  <c r="G32" i="185" l="1"/>
  <c r="G29" i="185"/>
  <c r="H32" i="185"/>
  <c r="G30" i="185"/>
  <c r="K30" i="185"/>
  <c r="K28" i="185"/>
  <c r="H30" i="185"/>
  <c r="L28" i="185"/>
  <c r="K32" i="185"/>
  <c r="G31" i="185"/>
  <c r="L32" i="185"/>
  <c r="I31" i="185"/>
  <c r="H28" i="185"/>
  <c r="I28" i="185"/>
  <c r="K29" i="185"/>
  <c r="I30" i="185"/>
  <c r="K31" i="185"/>
  <c r="I32" i="185"/>
  <c r="J29" i="185"/>
  <c r="L30" i="185"/>
  <c r="J31" i="185"/>
  <c r="J28" i="185"/>
  <c r="H29" i="185"/>
  <c r="L29" i="185"/>
  <c r="J30" i="185"/>
  <c r="H31" i="185"/>
  <c r="L31" i="185"/>
  <c r="J32" i="185"/>
  <c r="G28" i="185"/>
  <c r="I29" i="185"/>
  <c r="K36" i="185" l="1"/>
  <c r="L33" i="185"/>
  <c r="K33" i="185"/>
  <c r="H33" i="185"/>
  <c r="H36" i="185"/>
  <c r="G36" i="185"/>
  <c r="G33" i="185"/>
  <c r="L36" i="185"/>
  <c r="J33" i="185"/>
  <c r="J36" i="185"/>
  <c r="I33" i="185"/>
  <c r="I36" i="185"/>
  <c r="R35" i="149" l="1"/>
  <c r="Q35" i="149"/>
  <c r="P35" i="149"/>
  <c r="O35" i="149"/>
  <c r="N35" i="149"/>
  <c r="M35" i="149"/>
  <c r="R34" i="149"/>
  <c r="Q34" i="149"/>
  <c r="P34" i="149"/>
  <c r="O34" i="149"/>
  <c r="N34" i="149"/>
  <c r="M34" i="149"/>
  <c r="R33" i="149"/>
  <c r="Q33" i="149"/>
  <c r="P33" i="149"/>
  <c r="O33" i="149"/>
  <c r="N33" i="149"/>
  <c r="M33" i="149"/>
  <c r="R32" i="149"/>
  <c r="Q32" i="149"/>
  <c r="P32" i="149"/>
  <c r="O32" i="149"/>
  <c r="N32" i="149"/>
  <c r="M32" i="149"/>
  <c r="R31" i="149"/>
  <c r="Q31" i="149"/>
  <c r="P31" i="149"/>
  <c r="O31" i="149"/>
  <c r="N31" i="149"/>
  <c r="M31" i="149"/>
  <c r="R30" i="149"/>
  <c r="Q30" i="149"/>
  <c r="P30" i="149"/>
  <c r="O30" i="149"/>
  <c r="N30" i="149"/>
  <c r="M30" i="149"/>
  <c r="R29" i="149"/>
  <c r="Q29" i="149"/>
  <c r="P29" i="149"/>
  <c r="O29" i="149"/>
  <c r="N29" i="149"/>
  <c r="M29" i="149"/>
  <c r="R28" i="149"/>
  <c r="Q28" i="149"/>
  <c r="P28" i="149"/>
  <c r="O28" i="149"/>
  <c r="N28" i="149"/>
  <c r="M28" i="149"/>
  <c r="R27" i="149"/>
  <c r="Q27" i="149"/>
  <c r="P27" i="149"/>
  <c r="O27" i="149"/>
  <c r="N27" i="149"/>
  <c r="M27" i="149"/>
  <c r="R26" i="149"/>
  <c r="Q26" i="149"/>
  <c r="P26" i="149"/>
  <c r="O26" i="149"/>
  <c r="N26" i="149"/>
  <c r="M26" i="149"/>
  <c r="R25" i="149"/>
  <c r="Q25" i="149"/>
  <c r="P25" i="149"/>
  <c r="O25" i="149"/>
  <c r="N25" i="149"/>
  <c r="M25" i="149"/>
  <c r="R24" i="149"/>
  <c r="Q24" i="149"/>
  <c r="P24" i="149"/>
  <c r="O24" i="149"/>
  <c r="N24" i="149"/>
  <c r="M24" i="149"/>
  <c r="R23" i="149"/>
  <c r="Q23" i="149"/>
  <c r="P23" i="149"/>
  <c r="O23" i="149"/>
  <c r="N23" i="149"/>
  <c r="M23" i="149"/>
  <c r="R22" i="149"/>
  <c r="Q22" i="149"/>
  <c r="P22" i="149"/>
  <c r="O22" i="149"/>
  <c r="N22" i="149"/>
  <c r="M22" i="149"/>
  <c r="R21" i="149"/>
  <c r="Q21" i="149"/>
  <c r="P21" i="149"/>
  <c r="O21" i="149"/>
  <c r="N21" i="149"/>
  <c r="M21" i="149"/>
  <c r="R20" i="149"/>
  <c r="Q20" i="149"/>
  <c r="P20" i="149"/>
  <c r="O20" i="149"/>
  <c r="N20" i="149"/>
  <c r="M20" i="149"/>
  <c r="R19" i="149"/>
  <c r="Q19" i="149"/>
  <c r="P19" i="149"/>
  <c r="O19" i="149"/>
  <c r="N19" i="149"/>
  <c r="M19" i="149"/>
  <c r="R18" i="149"/>
  <c r="Q18" i="149"/>
  <c r="P18" i="149"/>
  <c r="O18" i="149"/>
  <c r="N18" i="149"/>
  <c r="M18" i="149"/>
  <c r="R17" i="149"/>
  <c r="Q17" i="149"/>
  <c r="P17" i="149"/>
  <c r="O17" i="149"/>
  <c r="N17" i="149"/>
  <c r="M17" i="149"/>
  <c r="R16" i="149"/>
  <c r="Q16" i="149"/>
  <c r="P16" i="149"/>
  <c r="O16" i="149"/>
  <c r="N16" i="149"/>
  <c r="M16" i="149"/>
  <c r="R15" i="149"/>
  <c r="Q15" i="149"/>
  <c r="P15" i="149"/>
  <c r="O15" i="149"/>
  <c r="N15" i="149"/>
  <c r="M15" i="149"/>
  <c r="R14" i="149"/>
  <c r="Q14" i="149"/>
  <c r="P14" i="149"/>
  <c r="O14" i="149"/>
  <c r="N14" i="149"/>
  <c r="M14" i="149"/>
  <c r="R13" i="149"/>
  <c r="Q13" i="149"/>
  <c r="P13" i="149"/>
  <c r="O13" i="149"/>
  <c r="N13" i="149"/>
  <c r="M13" i="149"/>
  <c r="R12" i="149"/>
  <c r="Q12" i="149"/>
  <c r="P12" i="149"/>
  <c r="O12" i="149"/>
  <c r="N12" i="149"/>
  <c r="M12" i="149"/>
  <c r="R11" i="149"/>
  <c r="Q11" i="149"/>
  <c r="P11" i="149"/>
  <c r="O11" i="149"/>
  <c r="N11" i="149"/>
  <c r="M11" i="149"/>
  <c r="V30" i="149" l="1"/>
  <c r="V32" i="149"/>
  <c r="V13" i="149"/>
  <c r="V14" i="149"/>
  <c r="V17" i="149"/>
  <c r="V18" i="149"/>
  <c r="V21" i="149"/>
  <c r="V22" i="149"/>
  <c r="V25" i="149"/>
  <c r="V26" i="149"/>
  <c r="V27" i="149"/>
  <c r="V29" i="149"/>
  <c r="V31" i="149"/>
  <c r="V33" i="149"/>
  <c r="V34" i="149"/>
  <c r="V35" i="149"/>
  <c r="V11" i="149"/>
  <c r="V12" i="149"/>
  <c r="V15" i="149"/>
  <c r="V16" i="149"/>
  <c r="V19" i="149"/>
  <c r="V20" i="149"/>
  <c r="V23" i="149"/>
  <c r="V24" i="149"/>
  <c r="V28" i="149"/>
  <c r="Y43" i="213" l="1"/>
  <c r="Y43" i="207"/>
  <c r="Y43" i="212"/>
  <c r="Y43" i="206"/>
  <c r="Y43" i="211"/>
  <c r="Y43" i="203"/>
  <c r="Y43" i="196"/>
  <c r="Y43" i="193"/>
  <c r="Y43" i="37"/>
  <c r="Y43" i="214"/>
  <c r="Y43" i="209"/>
  <c r="Y43" i="202"/>
  <c r="Y43" i="198"/>
  <c r="Y43" i="197"/>
  <c r="Y43" i="201"/>
  <c r="Y43" i="199"/>
  <c r="Y43" i="191"/>
  <c r="Y43" i="200"/>
  <c r="Y43" i="192"/>
  <c r="Y43" i="210"/>
  <c r="Y43" i="208"/>
  <c r="Y43" i="195"/>
  <c r="Y43" i="205"/>
  <c r="Y43" i="204"/>
  <c r="Y43" i="194"/>
  <c r="Y40" i="212"/>
  <c r="Y40" i="206"/>
  <c r="Y40" i="211"/>
  <c r="Y40" i="209"/>
  <c r="Y40" i="205"/>
  <c r="Y40" i="214"/>
  <c r="Y40" i="210"/>
  <c r="Y40" i="207"/>
  <c r="Y40" i="202"/>
  <c r="Y40" i="199"/>
  <c r="Y40" i="194"/>
  <c r="Y40" i="191"/>
  <c r="Y40" i="37"/>
  <c r="Y40" i="201"/>
  <c r="Y40" i="193"/>
  <c r="Y40" i="192"/>
  <c r="Y40" i="204"/>
  <c r="Y40" i="208"/>
  <c r="Y40" i="203"/>
  <c r="Y40" i="195"/>
  <c r="Y40" i="213"/>
  <c r="Y40" i="200"/>
  <c r="Y40" i="196"/>
  <c r="Y40" i="198"/>
  <c r="Y40" i="197"/>
  <c r="Y45" i="213"/>
  <c r="Y45" i="207"/>
  <c r="Y45" i="212"/>
  <c r="Y45" i="206"/>
  <c r="Y45" i="211"/>
  <c r="Y45" i="210"/>
  <c r="Y45" i="208"/>
  <c r="Y45" i="201"/>
  <c r="Y45" i="199"/>
  <c r="Y45" i="193"/>
  <c r="Y45" i="37"/>
  <c r="Y45" i="205"/>
  <c r="Y45" i="202"/>
  <c r="Y45" i="200"/>
  <c r="Y45" i="214"/>
  <c r="Y45" i="209"/>
  <c r="Y45" i="204"/>
  <c r="Y45" i="196"/>
  <c r="Y45" i="195"/>
  <c r="Y45" i="191"/>
  <c r="Y45" i="203"/>
  <c r="Y45" i="198"/>
  <c r="Y45" i="197"/>
  <c r="Y45" i="194"/>
  <c r="Y45" i="192"/>
  <c r="Y42" i="211"/>
  <c r="Y42" i="209"/>
  <c r="Y42" i="205"/>
  <c r="Y42" i="204"/>
  <c r="Y42" i="200"/>
  <c r="Y42" i="214"/>
  <c r="Y42" i="210"/>
  <c r="Y42" i="208"/>
  <c r="Y42" i="203"/>
  <c r="Y42" i="213"/>
  <c r="Y42" i="207"/>
  <c r="Y42" i="196"/>
  <c r="Y42" i="195"/>
  <c r="Y42" i="212"/>
  <c r="Y42" i="206"/>
  <c r="Y42" i="202"/>
  <c r="Y42" i="198"/>
  <c r="Y42" i="197"/>
  <c r="Y42" i="194"/>
  <c r="Y42" i="201"/>
  <c r="Y42" i="199"/>
  <c r="Y42" i="191"/>
  <c r="Y42" i="192"/>
  <c r="Y42" i="193"/>
  <c r="Y42" i="37"/>
  <c r="Y41" i="214"/>
  <c r="Y41" i="210"/>
  <c r="Y41" i="206"/>
  <c r="Y41" i="203"/>
  <c r="Y41" i="213"/>
  <c r="Y41" i="209"/>
  <c r="Y41" i="205"/>
  <c r="Y41" i="201"/>
  <c r="Y41" i="212"/>
  <c r="Y41" i="207"/>
  <c r="Y41" i="204"/>
  <c r="Y41" i="199"/>
  <c r="Y41" i="202"/>
  <c r="Y41" i="195"/>
  <c r="Y41" i="37"/>
  <c r="Y41" i="196"/>
  <c r="Y41" i="208"/>
  <c r="Y41" i="198"/>
  <c r="Y41" i="197"/>
  <c r="Y41" i="200"/>
  <c r="Y41" i="194"/>
  <c r="Y41" i="191"/>
  <c r="Y41" i="211"/>
  <c r="Y41" i="193"/>
  <c r="Y41" i="192"/>
  <c r="Y44" i="213"/>
  <c r="Y44" i="206"/>
  <c r="Y44" i="212"/>
  <c r="Y44" i="209"/>
  <c r="Y44" i="205"/>
  <c r="Y44" i="211"/>
  <c r="Y44" i="208"/>
  <c r="Y44" i="203"/>
  <c r="Y44" i="199"/>
  <c r="Y44" i="196"/>
  <c r="Y44" i="195"/>
  <c r="Y44" i="191"/>
  <c r="Y44" i="207"/>
  <c r="Y44" i="202"/>
  <c r="Y44" i="197"/>
  <c r="Y44" i="194"/>
  <c r="Y44" i="192"/>
  <c r="Y44" i="214"/>
  <c r="Y44" i="37"/>
  <c r="Y44" i="210"/>
  <c r="Y44" i="204"/>
  <c r="Y44" i="201"/>
  <c r="Y44" i="193"/>
  <c r="Y44" i="200"/>
  <c r="Y44" i="198"/>
  <c r="Y46" i="213"/>
  <c r="Y46" i="209"/>
  <c r="Y46" i="205"/>
  <c r="Y46" i="212"/>
  <c r="Y46" i="208"/>
  <c r="Y46" i="37"/>
  <c r="Y46" i="211"/>
  <c r="Y46" i="210"/>
  <c r="Y46" i="206"/>
  <c r="Y46" i="202"/>
  <c r="Y46" i="199"/>
  <c r="Y46" i="194"/>
  <c r="Y46" i="191"/>
  <c r="Y46" i="201"/>
  <c r="Y46" i="193"/>
  <c r="Y46" i="192"/>
  <c r="Y46" i="200"/>
  <c r="Y46" i="214"/>
  <c r="Y46" i="207"/>
  <c r="Y46" i="204"/>
  <c r="Y46" i="196"/>
  <c r="Y46" i="203"/>
  <c r="Y46" i="198"/>
  <c r="Y46" i="197"/>
  <c r="Y46" i="195"/>
  <c r="Y39" i="214"/>
  <c r="Y39" i="210"/>
  <c r="Y39" i="206"/>
  <c r="Y39" i="203"/>
  <c r="Y39" i="213"/>
  <c r="Y39" i="209"/>
  <c r="Y39" i="205"/>
  <c r="Y39" i="202"/>
  <c r="Y39" i="212"/>
  <c r="Y39" i="208"/>
  <c r="Y39" i="200"/>
  <c r="Y39" i="199"/>
  <c r="Y39" i="191"/>
  <c r="Y39" i="207"/>
  <c r="Y39" i="195"/>
  <c r="Y39" i="192"/>
  <c r="Y39" i="211"/>
  <c r="Y39" i="204"/>
  <c r="Y39" i="196"/>
  <c r="Y39" i="194"/>
  <c r="Y39" i="201"/>
  <c r="Y39" i="198"/>
  <c r="Y39" i="197"/>
  <c r="Y39" i="193"/>
  <c r="Y39" i="37"/>
  <c r="Y38" i="214"/>
  <c r="Y38" i="210"/>
  <c r="Y38" i="208"/>
  <c r="Y38" i="213"/>
  <c r="Y38" i="207"/>
  <c r="Y38" i="212"/>
  <c r="Y38" i="211"/>
  <c r="Y38" i="209"/>
  <c r="Y38" i="203"/>
  <c r="Y38" i="196"/>
  <c r="Y38" i="191"/>
  <c r="Y38" i="206"/>
  <c r="Y38" i="202"/>
  <c r="Y38" i="198"/>
  <c r="Y38" i="197"/>
  <c r="Y38" i="195"/>
  <c r="Y38" i="192"/>
  <c r="Y38" i="201"/>
  <c r="Y38" i="199"/>
  <c r="Y38" i="200"/>
  <c r="Y38" i="37"/>
  <c r="Y38" i="205"/>
  <c r="Y38" i="194"/>
  <c r="Y38" i="204"/>
  <c r="Y38" i="193"/>
  <c r="P3" i="214"/>
  <c r="M41" i="213"/>
  <c r="P19" i="214"/>
  <c r="M29" i="212"/>
  <c r="L34" i="211"/>
  <c r="L38" i="214"/>
  <c r="T23" i="214"/>
  <c r="O2" i="214"/>
  <c r="L22" i="212"/>
  <c r="L15" i="211"/>
  <c r="M30" i="214"/>
  <c r="O2" i="213"/>
  <c r="R24" i="210"/>
  <c r="M25" i="212"/>
  <c r="N20" i="209"/>
  <c r="L23" i="214"/>
  <c r="O46" i="208"/>
  <c r="M35" i="213"/>
  <c r="M19" i="211"/>
  <c r="T16" i="211"/>
  <c r="O33" i="213"/>
  <c r="R15" i="214"/>
  <c r="N40" i="214"/>
  <c r="U17" i="214"/>
  <c r="P16" i="213"/>
  <c r="O15" i="210"/>
  <c r="R42" i="211"/>
  <c r="Q4" i="213"/>
  <c r="M28" i="212"/>
  <c r="M22" i="211"/>
  <c r="M23" i="210"/>
  <c r="R25" i="213"/>
  <c r="M13" i="213"/>
  <c r="U37" i="214"/>
  <c r="N39" i="214"/>
  <c r="U19" i="213"/>
  <c r="M2" i="213"/>
  <c r="U30" i="214"/>
  <c r="O26" i="214"/>
  <c r="R5" i="213"/>
  <c r="Q12" i="214"/>
  <c r="T18" i="210"/>
  <c r="U37" i="211"/>
  <c r="N13" i="213"/>
  <c r="T9" i="213"/>
  <c r="S35" i="210"/>
  <c r="O8" i="212"/>
  <c r="Q41" i="214"/>
  <c r="O46" i="214"/>
  <c r="P29" i="212"/>
  <c r="R39" i="211"/>
  <c r="O44" i="214"/>
  <c r="L5" i="213"/>
  <c r="L21" i="214"/>
  <c r="Q45" i="212"/>
  <c r="R38" i="211"/>
  <c r="L43" i="212"/>
  <c r="U41" i="206"/>
  <c r="P7" i="214"/>
  <c r="P35" i="211"/>
  <c r="T13" i="213"/>
  <c r="O32" i="213"/>
  <c r="M30" i="210"/>
  <c r="O31" i="214"/>
  <c r="P40" i="214"/>
  <c r="R28" i="214"/>
  <c r="R8" i="213"/>
  <c r="S7" i="209"/>
  <c r="M31" i="214"/>
  <c r="R46" i="212"/>
  <c r="N38" i="209"/>
  <c r="U33" i="211"/>
  <c r="N8" i="212"/>
  <c r="S41" i="213"/>
  <c r="Q26" i="214"/>
  <c r="Q10" i="214"/>
  <c r="O42" i="214"/>
  <c r="S13" i="212"/>
  <c r="N14" i="211"/>
  <c r="R43" i="214"/>
  <c r="U23" i="209"/>
  <c r="P43" i="213"/>
  <c r="P10" i="214"/>
  <c r="N4" i="211"/>
  <c r="O5" i="211"/>
  <c r="S8" i="213"/>
  <c r="M45" i="213"/>
  <c r="U46" i="213"/>
  <c r="P7" i="213"/>
  <c r="U7" i="211"/>
  <c r="S4" i="214"/>
  <c r="T18" i="212"/>
  <c r="M42" i="211"/>
  <c r="Q8" i="214"/>
  <c r="M11" i="212"/>
  <c r="P43" i="212"/>
  <c r="P14" i="209"/>
  <c r="T28" i="209"/>
  <c r="P37" i="214"/>
  <c r="P41" i="211"/>
  <c r="T29" i="210"/>
  <c r="Q36" i="214"/>
  <c r="L42" i="211"/>
  <c r="P40" i="213"/>
  <c r="O14" i="213"/>
  <c r="L32" i="213"/>
  <c r="L42" i="213"/>
  <c r="P14" i="214"/>
  <c r="N32" i="208"/>
  <c r="L2" i="210"/>
  <c r="L4" i="205"/>
  <c r="Q17" i="213"/>
  <c r="O29" i="211"/>
  <c r="P32" i="214"/>
  <c r="S38" i="211"/>
  <c r="L42" i="214"/>
  <c r="M42" i="210"/>
  <c r="U14" i="214"/>
  <c r="L18" i="214"/>
  <c r="N3" i="213"/>
  <c r="M21" i="214"/>
  <c r="S35" i="213"/>
  <c r="M3" i="209"/>
  <c r="M22" i="214"/>
  <c r="S13" i="213"/>
  <c r="Q3" i="209"/>
  <c r="M29" i="209"/>
  <c r="S30" i="212"/>
  <c r="S26" i="211"/>
  <c r="O15" i="214"/>
  <c r="R37" i="214"/>
  <c r="S16" i="213"/>
  <c r="P44" i="214"/>
  <c r="O38" i="210"/>
  <c r="T33" i="214"/>
  <c r="O28" i="214"/>
  <c r="L27" i="214"/>
  <c r="S42" i="213"/>
  <c r="M14" i="210"/>
  <c r="Q37" i="211"/>
  <c r="T46" i="214"/>
  <c r="L40" i="214"/>
  <c r="O10" i="211"/>
  <c r="U21" i="214"/>
  <c r="S14" i="214"/>
  <c r="N18" i="214"/>
  <c r="R14" i="212"/>
  <c r="U46" i="210"/>
  <c r="O11" i="212"/>
  <c r="Q25" i="211"/>
  <c r="Q31" i="214"/>
  <c r="U32" i="212"/>
  <c r="U2" i="214"/>
  <c r="O25" i="209"/>
  <c r="Q38" i="213"/>
  <c r="T40" i="214"/>
  <c r="S16" i="212"/>
  <c r="Q37" i="210"/>
  <c r="M31" i="213"/>
  <c r="M10" i="214"/>
  <c r="Q39" i="213"/>
  <c r="O10" i="214"/>
  <c r="T3" i="211"/>
  <c r="Q23" i="214"/>
  <c r="R44" i="214"/>
  <c r="P25" i="213"/>
  <c r="Q42" i="212"/>
  <c r="T6" i="214"/>
  <c r="L4" i="210"/>
  <c r="O23" i="211"/>
  <c r="L17" i="211"/>
  <c r="S24" i="211"/>
  <c r="R30" i="211"/>
  <c r="U4" i="213"/>
  <c r="Q23" i="209"/>
  <c r="L7" i="213"/>
  <c r="Q7" i="214"/>
  <c r="U14" i="212"/>
  <c r="U24" i="213"/>
  <c r="Q41" i="213"/>
  <c r="T44" i="207"/>
  <c r="L34" i="213"/>
  <c r="P38" i="213"/>
  <c r="T37" i="214"/>
  <c r="R22" i="214"/>
  <c r="T44" i="213"/>
  <c r="L27" i="210"/>
  <c r="Q45" i="213"/>
  <c r="M45" i="211"/>
  <c r="O41" i="212"/>
  <c r="S26" i="209"/>
  <c r="N25" i="214"/>
  <c r="U3" i="213"/>
  <c r="Q35" i="212"/>
  <c r="R18" i="214"/>
  <c r="P23" i="211"/>
  <c r="P17" i="213"/>
  <c r="O17" i="211"/>
  <c r="U16" i="214"/>
  <c r="Q4" i="211"/>
  <c r="T31" i="214"/>
  <c r="S10" i="211"/>
  <c r="L29" i="213"/>
  <c r="U41" i="210"/>
  <c r="L14" i="214"/>
  <c r="Q46" i="212"/>
  <c r="Q41" i="210"/>
  <c r="T19" i="211"/>
  <c r="L46" i="213"/>
  <c r="S19" i="211"/>
  <c r="Q38" i="214"/>
  <c r="M16" i="213"/>
  <c r="S31" i="210"/>
  <c r="M40" i="211"/>
  <c r="M39" i="214"/>
  <c r="P25" i="209"/>
  <c r="L15" i="212"/>
  <c r="M27" i="211"/>
  <c r="Q45" i="214"/>
  <c r="N37" i="212"/>
  <c r="O34" i="211"/>
  <c r="U30" i="212"/>
  <c r="N19" i="212"/>
  <c r="R45" i="209"/>
  <c r="Q44" i="210"/>
  <c r="P29" i="213"/>
  <c r="S17" i="208"/>
  <c r="T8" i="214"/>
  <c r="N36" i="214"/>
  <c r="P46" i="212"/>
  <c r="N36" i="211"/>
  <c r="S20" i="212"/>
  <c r="Q41" i="211"/>
  <c r="U25" i="211"/>
  <c r="L4" i="213"/>
  <c r="O6" i="214"/>
  <c r="T28" i="213"/>
  <c r="Q23" i="208"/>
  <c r="N37" i="214"/>
  <c r="U45" i="213"/>
  <c r="P42" i="212"/>
  <c r="P19" i="213"/>
  <c r="U22" i="212"/>
  <c r="T27" i="211"/>
  <c r="P5" i="214"/>
  <c r="Q40" i="212"/>
  <c r="T43" i="211"/>
  <c r="M17" i="213"/>
  <c r="S7" i="214"/>
  <c r="S21" i="209"/>
  <c r="L10" i="214"/>
  <c r="S23" i="213"/>
  <c r="T30" i="214"/>
  <c r="U9" i="210"/>
  <c r="T15" i="209"/>
  <c r="Q3" i="212"/>
  <c r="R3" i="213"/>
  <c r="T10" i="211"/>
  <c r="L26" i="212"/>
  <c r="Q30" i="214"/>
  <c r="L23" i="212"/>
  <c r="T27" i="212"/>
  <c r="N17" i="209"/>
  <c r="N19" i="214"/>
  <c r="N19" i="213"/>
  <c r="N42" i="213"/>
  <c r="N20" i="214"/>
  <c r="S37" i="211"/>
  <c r="R39" i="208"/>
  <c r="S8" i="214"/>
  <c r="N29" i="212"/>
  <c r="M3" i="214"/>
  <c r="R37" i="213"/>
  <c r="M7" i="213"/>
  <c r="Q17" i="210"/>
  <c r="P3" i="212"/>
  <c r="L33" i="214"/>
  <c r="L24" i="213"/>
  <c r="S45" i="212"/>
  <c r="O9" i="214"/>
  <c r="O4" i="213"/>
  <c r="O46" i="211"/>
  <c r="R41" i="212"/>
  <c r="T10" i="212"/>
  <c r="O20" i="214"/>
  <c r="U2" i="212"/>
  <c r="P32" i="212"/>
  <c r="L35" i="210"/>
  <c r="N20" i="213"/>
  <c r="R40" i="211"/>
  <c r="O38" i="211"/>
  <c r="S38" i="214"/>
  <c r="P41" i="214"/>
  <c r="R9" i="214"/>
  <c r="R36" i="213"/>
  <c r="L38" i="213"/>
  <c r="L40" i="212"/>
  <c r="R34" i="214"/>
  <c r="T16" i="212"/>
  <c r="O29" i="213"/>
  <c r="L6" i="211"/>
  <c r="O24" i="210"/>
  <c r="U34" i="212"/>
  <c r="N12" i="214"/>
  <c r="Q26" i="207"/>
  <c r="O13" i="210"/>
  <c r="R4" i="208"/>
  <c r="R41" i="211"/>
  <c r="N42" i="214"/>
  <c r="O29" i="212"/>
  <c r="Q28" i="212"/>
  <c r="O44" i="212"/>
  <c r="P45" i="214"/>
  <c r="N24" i="212"/>
  <c r="P35" i="209"/>
  <c r="T17" i="214"/>
  <c r="N6" i="211"/>
  <c r="P36" i="214"/>
  <c r="L33" i="210"/>
  <c r="M38" i="214"/>
  <c r="T9" i="214"/>
  <c r="M40" i="209"/>
  <c r="L39" i="212"/>
  <c r="R12" i="213"/>
  <c r="R32" i="213"/>
  <c r="L24" i="214"/>
  <c r="S24" i="214"/>
  <c r="Q35" i="209"/>
  <c r="R31" i="213"/>
  <c r="T2" i="214"/>
  <c r="N44" i="214"/>
  <c r="T4" i="213"/>
  <c r="S35" i="214"/>
  <c r="T46" i="209"/>
  <c r="M41" i="214"/>
  <c r="L13" i="211"/>
  <c r="P27" i="213"/>
  <c r="R23" i="213"/>
  <c r="N15" i="213"/>
  <c r="P44" i="213"/>
  <c r="O22" i="214"/>
  <c r="S40" i="211"/>
  <c r="P38" i="212"/>
  <c r="M19" i="212"/>
  <c r="U39" i="210"/>
  <c r="S36" i="211"/>
  <c r="Q39" i="214"/>
  <c r="L15" i="214"/>
  <c r="U34" i="211"/>
  <c r="S11" i="212"/>
  <c r="O45" i="212"/>
  <c r="M40" i="212"/>
  <c r="O4" i="212"/>
  <c r="S3" i="214"/>
  <c r="L32" i="214"/>
  <c r="P31" i="211"/>
  <c r="L40" i="213"/>
  <c r="U45" i="201"/>
  <c r="P25" i="212"/>
  <c r="L13" i="214"/>
  <c r="P3" i="207"/>
  <c r="N13" i="209"/>
  <c r="M35" i="214"/>
  <c r="S19" i="213"/>
  <c r="O41" i="210"/>
  <c r="P18" i="211"/>
  <c r="T27" i="213"/>
  <c r="R10" i="211"/>
  <c r="O37" i="213"/>
  <c r="Q34" i="210"/>
  <c r="P39" i="212"/>
  <c r="Q39" i="211"/>
  <c r="P3" i="209"/>
  <c r="L4" i="211"/>
  <c r="O43" i="211"/>
  <c r="R35" i="213"/>
  <c r="M7" i="214"/>
  <c r="O34" i="214"/>
  <c r="L38" i="211"/>
  <c r="O26" i="212"/>
  <c r="Q42" i="210"/>
  <c r="T4" i="212"/>
  <c r="N26" i="214"/>
  <c r="M30" i="213"/>
  <c r="P42" i="210"/>
  <c r="N41" i="214"/>
  <c r="U5" i="214"/>
  <c r="U13" i="214"/>
  <c r="S32" i="213"/>
  <c r="O36" i="210"/>
  <c r="U19" i="214"/>
  <c r="Q5" i="213"/>
  <c r="T3" i="214"/>
  <c r="P2" i="213"/>
  <c r="S3" i="211"/>
  <c r="O9" i="213"/>
  <c r="S40" i="213"/>
  <c r="P20" i="214"/>
  <c r="M45" i="210"/>
  <c r="R24" i="214"/>
  <c r="P11" i="210"/>
  <c r="R15" i="209"/>
  <c r="Q34" i="214"/>
  <c r="R20" i="209"/>
  <c r="M27" i="209"/>
  <c r="T11" i="213"/>
  <c r="P7" i="211"/>
  <c r="O6" i="207"/>
  <c r="O17" i="209"/>
  <c r="S18" i="212"/>
  <c r="R30" i="214"/>
  <c r="S40" i="214"/>
  <c r="U8" i="213"/>
  <c r="M44" i="209"/>
  <c r="Q33" i="213"/>
  <c r="Q22" i="214"/>
  <c r="O27" i="212"/>
  <c r="P27" i="211"/>
  <c r="Q28" i="208"/>
  <c r="N31" i="212"/>
  <c r="N4" i="212"/>
  <c r="P21" i="209"/>
  <c r="R12" i="212"/>
  <c r="R44" i="211"/>
  <c r="N25" i="208"/>
  <c r="R2" i="213"/>
  <c r="U27" i="213"/>
  <c r="Q16" i="214"/>
  <c r="Q25" i="214"/>
  <c r="R12" i="214"/>
  <c r="S17" i="214"/>
  <c r="N3" i="212"/>
  <c r="S28" i="213"/>
  <c r="L45" i="213"/>
  <c r="L45" i="208"/>
  <c r="O42" i="213"/>
  <c r="O15" i="213"/>
  <c r="T30" i="213"/>
  <c r="L5" i="211"/>
  <c r="Q23" i="211"/>
  <c r="P46" i="213"/>
  <c r="P33" i="212"/>
  <c r="R26" i="214"/>
  <c r="U27" i="214"/>
  <c r="R44" i="210"/>
  <c r="N40" i="212"/>
  <c r="M32" i="207"/>
  <c r="N36" i="213"/>
  <c r="U23" i="212"/>
  <c r="L19" i="214"/>
  <c r="R37" i="212"/>
  <c r="S31" i="213"/>
  <c r="R36" i="211"/>
  <c r="Q44" i="214"/>
  <c r="T3" i="212"/>
  <c r="N30" i="214"/>
  <c r="U37" i="213"/>
  <c r="O35" i="211"/>
  <c r="M3" i="212"/>
  <c r="R31" i="211"/>
  <c r="R25" i="214"/>
  <c r="M9" i="213"/>
  <c r="O41" i="209"/>
  <c r="M26" i="214"/>
  <c r="M36" i="213"/>
  <c r="L22" i="213"/>
  <c r="U4" i="212"/>
  <c r="Q5" i="214"/>
  <c r="T24" i="212"/>
  <c r="S30" i="214"/>
  <c r="M2" i="210"/>
  <c r="P24" i="210"/>
  <c r="L36" i="213"/>
  <c r="P39" i="214"/>
  <c r="R36" i="214"/>
  <c r="N3" i="214"/>
  <c r="U8" i="211"/>
  <c r="L20" i="211"/>
  <c r="M9" i="214"/>
  <c r="T16" i="214"/>
  <c r="P12" i="213"/>
  <c r="N26" i="211"/>
  <c r="R35" i="214"/>
  <c r="S39" i="213"/>
  <c r="O40" i="210"/>
  <c r="M43" i="212"/>
  <c r="Q31" i="209"/>
  <c r="U13" i="210"/>
  <c r="P31" i="210"/>
  <c r="O11" i="214"/>
  <c r="M43" i="210"/>
  <c r="P21" i="214"/>
  <c r="U10" i="214"/>
  <c r="Q20" i="207"/>
  <c r="N10" i="214"/>
  <c r="Q18" i="214"/>
  <c r="S6" i="212"/>
  <c r="L9" i="212"/>
  <c r="M42" i="213"/>
  <c r="N32" i="209"/>
  <c r="T35" i="213"/>
  <c r="S44" i="213"/>
  <c r="T15" i="212"/>
  <c r="S46" i="214"/>
  <c r="T2" i="213"/>
  <c r="U45" i="214"/>
  <c r="O24" i="212"/>
  <c r="L37" i="214"/>
  <c r="N7" i="212"/>
  <c r="O46" i="212"/>
  <c r="T3" i="213"/>
  <c r="T44" i="214"/>
  <c r="M6" i="209"/>
  <c r="S11" i="214"/>
  <c r="M35" i="209"/>
  <c r="P5" i="209"/>
  <c r="N44" i="213"/>
  <c r="N30" i="212"/>
  <c r="M39" i="210"/>
  <c r="O13" i="212"/>
  <c r="Q16" i="211"/>
  <c r="S23" i="211"/>
  <c r="M30" i="211"/>
  <c r="T39" i="214"/>
  <c r="P30" i="214"/>
  <c r="S43" i="213"/>
  <c r="S42" i="208"/>
  <c r="U29" i="211"/>
  <c r="T15" i="214"/>
  <c r="O31" i="210"/>
  <c r="R38" i="209"/>
  <c r="M27" i="208"/>
  <c r="R28" i="208"/>
  <c r="P25" i="214"/>
  <c r="P41" i="207"/>
  <c r="N43" i="208"/>
  <c r="R42" i="209"/>
  <c r="O39" i="212"/>
  <c r="M34" i="209"/>
  <c r="O7" i="213"/>
  <c r="T6" i="213"/>
  <c r="M29" i="214"/>
  <c r="M44" i="211"/>
  <c r="M33" i="210"/>
  <c r="O23" i="213"/>
  <c r="U9" i="213"/>
  <c r="N34" i="211"/>
  <c r="M12" i="213"/>
  <c r="R23" i="212"/>
  <c r="S27" i="211"/>
  <c r="N2" i="214"/>
  <c r="Q26" i="211"/>
  <c r="Q9" i="213"/>
  <c r="L38" i="210"/>
  <c r="T29" i="209"/>
  <c r="M31" i="211"/>
  <c r="P13" i="212"/>
  <c r="R22" i="210"/>
  <c r="Q9" i="214"/>
  <c r="T29" i="208"/>
  <c r="N37" i="210"/>
  <c r="S45" i="214"/>
  <c r="U42" i="210"/>
  <c r="P44" i="208"/>
  <c r="O17" i="206"/>
  <c r="R42" i="210"/>
  <c r="T5" i="211"/>
  <c r="O20" i="211"/>
  <c r="S12" i="211"/>
  <c r="O30" i="210"/>
  <c r="R12" i="211"/>
  <c r="S42" i="210"/>
  <c r="U15" i="214"/>
  <c r="O43" i="214"/>
  <c r="S37" i="213"/>
  <c r="M38" i="205"/>
  <c r="Q7" i="210"/>
  <c r="M38" i="213"/>
  <c r="S43" i="214"/>
  <c r="Q46" i="211"/>
  <c r="Q46" i="213"/>
  <c r="P4" i="213"/>
  <c r="P2" i="214"/>
  <c r="P37" i="212"/>
  <c r="N45" i="214"/>
  <c r="M4" i="213"/>
  <c r="T11" i="212"/>
  <c r="R3" i="214"/>
  <c r="N14" i="212"/>
  <c r="S24" i="213"/>
  <c r="O6" i="210"/>
  <c r="U4" i="214"/>
  <c r="U41" i="209"/>
  <c r="L29" i="214"/>
  <c r="N17" i="213"/>
  <c r="O22" i="212"/>
  <c r="N34" i="214"/>
  <c r="Q12" i="211"/>
  <c r="M9" i="211"/>
  <c r="M15" i="211"/>
  <c r="O12" i="214"/>
  <c r="N16" i="212"/>
  <c r="M40" i="208"/>
  <c r="Q20" i="214"/>
  <c r="L25" i="210"/>
  <c r="R22" i="207"/>
  <c r="L2" i="214"/>
  <c r="P37" i="211"/>
  <c r="R34" i="212"/>
  <c r="S24" i="212"/>
  <c r="O36" i="209"/>
  <c r="L43" i="209"/>
  <c r="N5" i="212"/>
  <c r="Q38" i="210"/>
  <c r="N38" i="213"/>
  <c r="N27" i="214"/>
  <c r="U45" i="211"/>
  <c r="S33" i="212"/>
  <c r="Q22" i="206"/>
  <c r="L16" i="212"/>
  <c r="Q2" i="214"/>
  <c r="R46" i="213"/>
  <c r="P41" i="209"/>
  <c r="P20" i="212"/>
  <c r="N7" i="209"/>
  <c r="P13" i="211"/>
  <c r="T41" i="212"/>
  <c r="O12" i="213"/>
  <c r="S3" i="212"/>
  <c r="S21" i="208"/>
  <c r="M37" i="211"/>
  <c r="Q24" i="208"/>
  <c r="P34" i="213"/>
  <c r="T13" i="211"/>
  <c r="T35" i="210"/>
  <c r="T19" i="214"/>
  <c r="L15" i="213"/>
  <c r="M4" i="211"/>
  <c r="U12" i="203"/>
  <c r="R45" i="212"/>
  <c r="T29" i="212"/>
  <c r="O33" i="208"/>
  <c r="P13" i="214"/>
  <c r="S5" i="212"/>
  <c r="L8" i="212"/>
  <c r="N5" i="214"/>
  <c r="T2" i="211"/>
  <c r="U42" i="213"/>
  <c r="S20" i="213"/>
  <c r="T34" i="212"/>
  <c r="N27" i="213"/>
  <c r="N20" i="212"/>
  <c r="M22" i="209"/>
  <c r="O39" i="214"/>
  <c r="S6" i="209"/>
  <c r="R42" i="214"/>
  <c r="O6" i="213"/>
  <c r="R31" i="214"/>
  <c r="R46" i="214"/>
  <c r="O37" i="212"/>
  <c r="M38" i="210"/>
  <c r="O41" i="213"/>
  <c r="U31" i="214"/>
  <c r="Q2" i="210"/>
  <c r="L35" i="214"/>
  <c r="T38" i="210"/>
  <c r="N18" i="211"/>
  <c r="S37" i="214"/>
  <c r="R39" i="214"/>
  <c r="S2" i="214"/>
  <c r="P10" i="212"/>
  <c r="S15" i="213"/>
  <c r="P34" i="211"/>
  <c r="M19" i="206"/>
  <c r="P16" i="209"/>
  <c r="U11" i="210"/>
  <c r="P27" i="210"/>
  <c r="Q34" i="208"/>
  <c r="Q10" i="212"/>
  <c r="U26" i="213"/>
  <c r="O43" i="213"/>
  <c r="Q3" i="211"/>
  <c r="S10" i="214"/>
  <c r="Q30" i="211"/>
  <c r="M22" i="213"/>
  <c r="Q27" i="212"/>
  <c r="P9" i="213"/>
  <c r="L25" i="214"/>
  <c r="L43" i="214"/>
  <c r="U12" i="213"/>
  <c r="M36" i="209"/>
  <c r="O38" i="212"/>
  <c r="T6" i="211"/>
  <c r="R10" i="214"/>
  <c r="L19" i="210"/>
  <c r="P38" i="210"/>
  <c r="L42" i="212"/>
  <c r="U5" i="213"/>
  <c r="T31" i="213"/>
  <c r="R8" i="214"/>
  <c r="R17" i="211"/>
  <c r="R35" i="212"/>
  <c r="R40" i="212"/>
  <c r="Q28" i="213"/>
  <c r="U6" i="213"/>
  <c r="L36" i="214"/>
  <c r="N7" i="213"/>
  <c r="R19" i="211"/>
  <c r="Q31" i="213"/>
  <c r="T37" i="211"/>
  <c r="P11" i="211"/>
  <c r="R26" i="210"/>
  <c r="N46" i="214"/>
  <c r="U20" i="211"/>
  <c r="Q3" i="210"/>
  <c r="O40" i="214"/>
  <c r="U11" i="213"/>
  <c r="U28" i="214"/>
  <c r="U35" i="211"/>
  <c r="O3" i="214"/>
  <c r="P36" i="212"/>
  <c r="P15" i="211"/>
  <c r="S42" i="211"/>
  <c r="N21" i="214"/>
  <c r="O43" i="210"/>
  <c r="U46" i="208"/>
  <c r="S12" i="209"/>
  <c r="Q45" i="208"/>
  <c r="M13" i="214"/>
  <c r="O7" i="214"/>
  <c r="T30" i="208"/>
  <c r="R21" i="213"/>
  <c r="U24" i="214"/>
  <c r="O6" i="211"/>
  <c r="N19" i="206"/>
  <c r="M37" i="208"/>
  <c r="T8" i="207"/>
  <c r="T21" i="214"/>
  <c r="T36" i="210"/>
  <c r="R18" i="212"/>
  <c r="N21" i="212"/>
  <c r="L4" i="204"/>
  <c r="O12" i="205"/>
  <c r="Q40" i="208"/>
  <c r="L2" i="213"/>
  <c r="U7" i="212"/>
  <c r="U11" i="214"/>
  <c r="T28" i="210"/>
  <c r="O34" i="207"/>
  <c r="O25" i="213"/>
  <c r="Q6" i="212"/>
  <c r="S44" i="210"/>
  <c r="M12" i="212"/>
  <c r="U21" i="211"/>
  <c r="P15" i="214"/>
  <c r="P26" i="209"/>
  <c r="P24" i="213"/>
  <c r="N29" i="208"/>
  <c r="O36" i="207"/>
  <c r="L11" i="213"/>
  <c r="L37" i="208"/>
  <c r="O16" i="210"/>
  <c r="Q8" i="210"/>
  <c r="N26" i="213"/>
  <c r="U28" i="213"/>
  <c r="Q22" i="213"/>
  <c r="N19" i="211"/>
  <c r="M40" i="213"/>
  <c r="M14" i="212"/>
  <c r="P5" i="213"/>
  <c r="O46" i="210"/>
  <c r="N10" i="212"/>
  <c r="O36" i="213"/>
  <c r="R38" i="210"/>
  <c r="S31" i="214"/>
  <c r="R39" i="213"/>
  <c r="N43" i="213"/>
  <c r="T7" i="214"/>
  <c r="N24" i="214"/>
  <c r="N31" i="214"/>
  <c r="M10" i="208"/>
  <c r="M43" i="213"/>
  <c r="S41" i="210"/>
  <c r="M20" i="211"/>
  <c r="P4" i="211"/>
  <c r="O5" i="210"/>
  <c r="N18" i="212"/>
  <c r="R21" i="208"/>
  <c r="P39" i="213"/>
  <c r="U37" i="212"/>
  <c r="T46" i="213"/>
  <c r="U2" i="209"/>
  <c r="L20" i="212"/>
  <c r="L38" i="202"/>
  <c r="R4" i="214"/>
  <c r="L32" i="211"/>
  <c r="L5" i="210"/>
  <c r="M10" i="213"/>
  <c r="M23" i="212"/>
  <c r="S28" i="214"/>
  <c r="Q15" i="213"/>
  <c r="S31" i="209"/>
  <c r="P32" i="209"/>
  <c r="U2" i="210"/>
  <c r="P33" i="211"/>
  <c r="R32" i="214"/>
  <c r="R36" i="210"/>
  <c r="T10" i="214"/>
  <c r="Q21" i="213"/>
  <c r="P39" i="211"/>
  <c r="O26" i="211"/>
  <c r="U34" i="214"/>
  <c r="Q13" i="211"/>
  <c r="N13" i="211"/>
  <c r="U40" i="213"/>
  <c r="U32" i="213"/>
  <c r="Q12" i="213"/>
  <c r="M30" i="212"/>
  <c r="P34" i="207"/>
  <c r="R6" i="211"/>
  <c r="P18" i="214"/>
  <c r="U39" i="213"/>
  <c r="N31" i="210"/>
  <c r="M35" i="210"/>
  <c r="L46" i="212"/>
  <c r="M44" i="213"/>
  <c r="Q13" i="214"/>
  <c r="O10" i="213"/>
  <c r="M39" i="212"/>
  <c r="R8" i="206"/>
  <c r="T42" i="214"/>
  <c r="O11" i="211"/>
  <c r="P14" i="211"/>
  <c r="T29" i="213"/>
  <c r="Q43" i="211"/>
  <c r="M34" i="214"/>
  <c r="L41" i="214"/>
  <c r="U43" i="214"/>
  <c r="T25" i="212"/>
  <c r="O15" i="212"/>
  <c r="Q45" i="211"/>
  <c r="R3" i="212"/>
  <c r="L46" i="214"/>
  <c r="R4" i="213"/>
  <c r="T30" i="212"/>
  <c r="N30" i="210"/>
  <c r="T26" i="214"/>
  <c r="T12" i="207"/>
  <c r="U10" i="212"/>
  <c r="N40" i="213"/>
  <c r="R27" i="211"/>
  <c r="T37" i="212"/>
  <c r="S3" i="207"/>
  <c r="S44" i="212"/>
  <c r="S15" i="210"/>
  <c r="L8" i="213"/>
  <c r="P45" i="210"/>
  <c r="P19" i="210"/>
  <c r="L27" i="212"/>
  <c r="P17" i="206"/>
  <c r="U26" i="208"/>
  <c r="P45" i="212"/>
  <c r="P43" i="210"/>
  <c r="U16" i="211"/>
  <c r="S41" i="209"/>
  <c r="Q33" i="214"/>
  <c r="L26" i="213"/>
  <c r="O17" i="208"/>
  <c r="R7" i="211"/>
  <c r="L20" i="214"/>
  <c r="Q15" i="214"/>
  <c r="Q39" i="210"/>
  <c r="S29" i="212"/>
  <c r="T36" i="207"/>
  <c r="N41" i="213"/>
  <c r="R8" i="211"/>
  <c r="N23" i="214"/>
  <c r="P16" i="214"/>
  <c r="L39" i="214"/>
  <c r="P6" i="211"/>
  <c r="U6" i="209"/>
  <c r="P37" i="208"/>
  <c r="P3" i="213"/>
  <c r="R16" i="211"/>
  <c r="P26" i="213"/>
  <c r="U27" i="207"/>
  <c r="P12" i="214"/>
  <c r="P8" i="212"/>
  <c r="O16" i="214"/>
  <c r="U2" i="213"/>
  <c r="S26" i="214"/>
  <c r="N7" i="211"/>
  <c r="L5" i="207"/>
  <c r="O39" i="213"/>
  <c r="P43" i="214"/>
  <c r="O25" i="211"/>
  <c r="O18" i="214"/>
  <c r="T41" i="208"/>
  <c r="T16" i="213"/>
  <c r="L19" i="211"/>
  <c r="O22" i="211"/>
  <c r="N16" i="211"/>
  <c r="T42" i="211"/>
  <c r="P22" i="210"/>
  <c r="O16" i="209"/>
  <c r="N46" i="206"/>
  <c r="R37" i="210"/>
  <c r="Q22" i="209"/>
  <c r="U36" i="214"/>
  <c r="N43" i="211"/>
  <c r="U20" i="213"/>
  <c r="S40" i="212"/>
  <c r="S42" i="212"/>
  <c r="M20" i="214"/>
  <c r="N22" i="214"/>
  <c r="U38" i="214"/>
  <c r="Q19" i="212"/>
  <c r="Q25" i="213"/>
  <c r="S21" i="213"/>
  <c r="U6" i="210"/>
  <c r="R38" i="204"/>
  <c r="S16" i="207"/>
  <c r="U35" i="208"/>
  <c r="O34" i="212"/>
  <c r="R40" i="206"/>
  <c r="R40" i="213"/>
  <c r="O17" i="213"/>
  <c r="Q29" i="211"/>
  <c r="T27" i="214"/>
  <c r="M6" i="213"/>
  <c r="P31" i="213"/>
  <c r="N6" i="212"/>
  <c r="N6" i="210"/>
  <c r="T13" i="214"/>
  <c r="T24" i="211"/>
  <c r="O26" i="210"/>
  <c r="Q17" i="214"/>
  <c r="R28" i="211"/>
  <c r="S31" i="212"/>
  <c r="U20" i="212"/>
  <c r="S4" i="213"/>
  <c r="P17" i="214"/>
  <c r="R15" i="213"/>
  <c r="U40" i="214"/>
  <c r="Q21" i="214"/>
  <c r="T5" i="209"/>
  <c r="L44" i="214"/>
  <c r="Q4" i="212"/>
  <c r="N35" i="214"/>
  <c r="U26" i="214"/>
  <c r="M18" i="211"/>
  <c r="R40" i="214"/>
  <c r="L6" i="213"/>
  <c r="L10" i="210"/>
  <c r="M23" i="213"/>
  <c r="O19" i="213"/>
  <c r="Q13" i="212"/>
  <c r="O45" i="209"/>
  <c r="R38" i="214"/>
  <c r="U29" i="213"/>
  <c r="R32" i="211"/>
  <c r="T18" i="211"/>
  <c r="M7" i="211"/>
  <c r="U44" i="214"/>
  <c r="N17" i="214"/>
  <c r="Q35" i="213"/>
  <c r="U16" i="212"/>
  <c r="T35" i="214"/>
  <c r="P37" i="210"/>
  <c r="T44" i="212"/>
  <c r="T21" i="212"/>
  <c r="P44" i="209"/>
  <c r="M21" i="213"/>
  <c r="S13" i="214"/>
  <c r="Q18" i="211"/>
  <c r="N41" i="212"/>
  <c r="M3" i="213"/>
  <c r="L12" i="212"/>
  <c r="U20" i="205"/>
  <c r="M36" i="211"/>
  <c r="M2" i="212"/>
  <c r="S36" i="213"/>
  <c r="L37" i="211"/>
  <c r="M39" i="209"/>
  <c r="M32" i="209"/>
  <c r="N39" i="206"/>
  <c r="O44" i="209"/>
  <c r="M21" i="212"/>
  <c r="R26" i="211"/>
  <c r="Q43" i="207"/>
  <c r="S16" i="209"/>
  <c r="T38" i="214"/>
  <c r="N28" i="211"/>
  <c r="T41" i="209"/>
  <c r="Q12" i="208"/>
  <c r="M36" i="214"/>
  <c r="Q42" i="211"/>
  <c r="N21" i="213"/>
  <c r="T45" i="212"/>
  <c r="L14" i="213"/>
  <c r="L29" i="211"/>
  <c r="N4" i="209"/>
  <c r="L39" i="205"/>
  <c r="U33" i="213"/>
  <c r="S39" i="210"/>
  <c r="U22" i="207"/>
  <c r="R23" i="214"/>
  <c r="Q26" i="212"/>
  <c r="R18" i="213"/>
  <c r="O4" i="211"/>
  <c r="Q29" i="212"/>
  <c r="Q33" i="212"/>
  <c r="O21" i="214"/>
  <c r="S41" i="214"/>
  <c r="T34" i="210"/>
  <c r="Q44" i="213"/>
  <c r="S12" i="212"/>
  <c r="T20" i="212"/>
  <c r="N45" i="212"/>
  <c r="O20" i="210"/>
  <c r="T24" i="213"/>
  <c r="Q10" i="213"/>
  <c r="Q11" i="213"/>
  <c r="U15" i="212"/>
  <c r="L30" i="214"/>
  <c r="S43" i="212"/>
  <c r="O3" i="213"/>
  <c r="Q30" i="212"/>
  <c r="R11" i="213"/>
  <c r="U28" i="209"/>
  <c r="L11" i="211"/>
  <c r="S35" i="212"/>
  <c r="L31" i="214"/>
  <c r="R30" i="213"/>
  <c r="T42" i="212"/>
  <c r="O2" i="211"/>
  <c r="R5" i="212"/>
  <c r="M39" i="202"/>
  <c r="M20" i="212"/>
  <c r="R10" i="213"/>
  <c r="O23" i="212"/>
  <c r="T35" i="208"/>
  <c r="U41" i="213"/>
  <c r="L12" i="214"/>
  <c r="S8" i="211"/>
  <c r="M18" i="209"/>
  <c r="P25" i="208"/>
  <c r="S21" i="210"/>
  <c r="M16" i="212"/>
  <c r="U33" i="209"/>
  <c r="M26" i="209"/>
  <c r="R29" i="209"/>
  <c r="N14" i="213"/>
  <c r="R12" i="209"/>
  <c r="T38" i="211"/>
  <c r="O33" i="214"/>
  <c r="P44" i="210"/>
  <c r="M4" i="212"/>
  <c r="P46" i="209"/>
  <c r="T32" i="213"/>
  <c r="P46" i="214"/>
  <c r="R22" i="212"/>
  <c r="T14" i="214"/>
  <c r="T40" i="210"/>
  <c r="S32" i="205"/>
  <c r="M18" i="207"/>
  <c r="R38" i="206"/>
  <c r="S25" i="212"/>
  <c r="U10" i="213"/>
  <c r="M37" i="213"/>
  <c r="M29" i="206"/>
  <c r="T7" i="213"/>
  <c r="R19" i="214"/>
  <c r="Q37" i="208"/>
  <c r="O22" i="213"/>
  <c r="S39" i="214"/>
  <c r="O39" i="211"/>
  <c r="T26" i="211"/>
  <c r="N4" i="213"/>
  <c r="O20" i="213"/>
  <c r="Q39" i="212"/>
  <c r="S13" i="211"/>
  <c r="U3" i="210"/>
  <c r="M20" i="208"/>
  <c r="S4" i="209"/>
  <c r="Q19" i="209"/>
  <c r="U4" i="210"/>
  <c r="M46" i="208"/>
  <c r="U21" i="206"/>
  <c r="T4" i="211"/>
  <c r="Q5" i="204"/>
  <c r="P41" i="213"/>
  <c r="M37" i="206"/>
  <c r="U24" i="209"/>
  <c r="Q4" i="208"/>
  <c r="L21" i="213"/>
  <c r="S2" i="213"/>
  <c r="M42" i="201"/>
  <c r="M13" i="208"/>
  <c r="N29" i="211"/>
  <c r="O11" i="210"/>
  <c r="S6" i="200"/>
  <c r="N9" i="210"/>
  <c r="U35" i="213"/>
  <c r="P34" i="212"/>
  <c r="T2" i="206"/>
  <c r="M23" i="201"/>
  <c r="S19" i="207"/>
  <c r="L38" i="209"/>
  <c r="P25" i="210"/>
  <c r="U8" i="207"/>
  <c r="T35" i="202"/>
  <c r="Q18" i="209"/>
  <c r="S35" i="205"/>
  <c r="N7" i="210"/>
  <c r="S37" i="212"/>
  <c r="P33" i="210"/>
  <c r="S42" i="214"/>
  <c r="R15" i="205"/>
  <c r="O40" i="213"/>
  <c r="Q29" i="214"/>
  <c r="P35" i="207"/>
  <c r="U35" i="209"/>
  <c r="M23" i="214"/>
  <c r="U40" i="209"/>
  <c r="U14" i="213"/>
  <c r="P39" i="210"/>
  <c r="S44" i="208"/>
  <c r="O43" i="212"/>
  <c r="P11" i="214"/>
  <c r="Q14" i="214"/>
  <c r="T10" i="213"/>
  <c r="Q36" i="211"/>
  <c r="T23" i="206"/>
  <c r="O23" i="210"/>
  <c r="S34" i="214"/>
  <c r="N45" i="213"/>
  <c r="R10" i="210"/>
  <c r="S37" i="209"/>
  <c r="N3" i="209"/>
  <c r="O33" i="211"/>
  <c r="L37" i="207"/>
  <c r="M40" i="214"/>
  <c r="S14" i="213"/>
  <c r="U23" i="210"/>
  <c r="S36" i="210"/>
  <c r="O29" i="208"/>
  <c r="Q29" i="213"/>
  <c r="T15" i="207"/>
  <c r="T10" i="209"/>
  <c r="U12" i="208"/>
  <c r="S23" i="210"/>
  <c r="U35" i="214"/>
  <c r="R38" i="213"/>
  <c r="T5" i="213"/>
  <c r="P23" i="205"/>
  <c r="S21" i="206"/>
  <c r="U37" i="201"/>
  <c r="N41" i="207"/>
  <c r="M2" i="214"/>
  <c r="M11" i="213"/>
  <c r="M31" i="206"/>
  <c r="S25" i="211"/>
  <c r="O14" i="212"/>
  <c r="T31" i="212"/>
  <c r="R29" i="213"/>
  <c r="O33" i="210"/>
  <c r="Q26" i="210"/>
  <c r="P44" i="212"/>
  <c r="U39" i="206"/>
  <c r="U29" i="207"/>
  <c r="S27" i="204"/>
  <c r="O46" i="209"/>
  <c r="M39" i="204"/>
  <c r="T22" i="209"/>
  <c r="N10" i="207"/>
  <c r="O28" i="211"/>
  <c r="R16" i="212"/>
  <c r="L13" i="213"/>
  <c r="P15" i="213"/>
  <c r="M35" i="207"/>
  <c r="L24" i="210"/>
  <c r="M15" i="212"/>
  <c r="S30" i="210"/>
  <c r="Q38" i="211"/>
  <c r="L28" i="211"/>
  <c r="Q9" i="210"/>
  <c r="R2" i="212"/>
  <c r="S26" i="210"/>
  <c r="N44" i="210"/>
  <c r="P10" i="211"/>
  <c r="N46" i="213"/>
  <c r="U36" i="209"/>
  <c r="O45" i="213"/>
  <c r="Q27" i="214"/>
  <c r="O37" i="209"/>
  <c r="T5" i="214"/>
  <c r="S17" i="212"/>
  <c r="T37" i="213"/>
  <c r="S5" i="214"/>
  <c r="R21" i="211"/>
  <c r="N16" i="210"/>
  <c r="N25" i="209"/>
  <c r="O23" i="214"/>
  <c r="Q30" i="209"/>
  <c r="U38" i="209"/>
  <c r="Q26" i="203"/>
  <c r="T43" i="214"/>
  <c r="M9" i="212"/>
  <c r="R39" i="212"/>
  <c r="R4" i="210"/>
  <c r="Q34" i="212"/>
  <c r="T37" i="209"/>
  <c r="U23" i="214"/>
  <c r="S32" i="209"/>
  <c r="L38" i="207"/>
  <c r="N3" i="208"/>
  <c r="N43" i="209"/>
  <c r="S11" i="213"/>
  <c r="S4" i="211"/>
  <c r="N35" i="210"/>
  <c r="T17" i="213"/>
  <c r="L41" i="202"/>
  <c r="T12" i="203"/>
  <c r="L17" i="212"/>
  <c r="T15" i="213"/>
  <c r="L35" i="212"/>
  <c r="U14" i="209"/>
  <c r="L12" i="211"/>
  <c r="L9" i="211"/>
  <c r="Q2" i="211"/>
  <c r="M5" i="213"/>
  <c r="S25" i="210"/>
  <c r="O12" i="212"/>
  <c r="L5" i="212"/>
  <c r="S26" i="191"/>
  <c r="L2" i="211"/>
  <c r="L42" i="206"/>
  <c r="S22" i="209"/>
  <c r="M27" i="207"/>
  <c r="R20" i="212"/>
  <c r="U18" i="205"/>
  <c r="O27" i="209"/>
  <c r="P29" i="203"/>
  <c r="L23" i="208"/>
  <c r="P22" i="206"/>
  <c r="R14" i="207"/>
  <c r="L13" i="208"/>
  <c r="N27" i="211"/>
  <c r="R11" i="212"/>
  <c r="M32" i="210"/>
  <c r="S18" i="210"/>
  <c r="L14" i="204"/>
  <c r="U44" i="207"/>
  <c r="M28" i="213"/>
  <c r="O42" i="208"/>
  <c r="N39" i="212"/>
  <c r="Q24" i="214"/>
  <c r="L19" i="199"/>
  <c r="R19" i="207"/>
  <c r="O12" i="207"/>
  <c r="Q28" i="203"/>
  <c r="T34" i="202"/>
  <c r="P5" i="212"/>
  <c r="N38" i="207"/>
  <c r="O22" i="210"/>
  <c r="R29" i="208"/>
  <c r="N41" i="210"/>
  <c r="T33" i="210"/>
  <c r="L34" i="208"/>
  <c r="M13" i="209"/>
  <c r="N39" i="211"/>
  <c r="S28" i="206"/>
  <c r="N29" i="214"/>
  <c r="U29" i="214"/>
  <c r="T4" i="204"/>
  <c r="S18" i="213"/>
  <c r="L39" i="202"/>
  <c r="T34" i="211"/>
  <c r="Q32" i="214"/>
  <c r="R26" i="209"/>
  <c r="U41" i="214"/>
  <c r="N29" i="209"/>
  <c r="S33" i="214"/>
  <c r="N16" i="214"/>
  <c r="U16" i="213"/>
  <c r="L6" i="207"/>
  <c r="S22" i="213"/>
  <c r="T8" i="213"/>
  <c r="P13" i="213"/>
  <c r="T39" i="209"/>
  <c r="O13" i="213"/>
  <c r="O5" i="214"/>
  <c r="Q21" i="209"/>
  <c r="P13" i="208"/>
  <c r="M31" i="210"/>
  <c r="S6" i="210"/>
  <c r="L20" i="213"/>
  <c r="M12" i="205"/>
  <c r="R27" i="209"/>
  <c r="L17" i="214"/>
  <c r="N34" i="213"/>
  <c r="N8" i="213"/>
  <c r="M6" i="212"/>
  <c r="N22" i="210"/>
  <c r="P34" i="209"/>
  <c r="P26" i="212"/>
  <c r="R13" i="212"/>
  <c r="O28" i="210"/>
  <c r="M3" i="207"/>
  <c r="U25" i="213"/>
  <c r="O18" i="206"/>
  <c r="P12" i="211"/>
  <c r="T8" i="212"/>
  <c r="L30" i="203"/>
  <c r="R7" i="209"/>
  <c r="L36" i="212"/>
  <c r="N30" i="208"/>
  <c r="T45" i="214"/>
  <c r="U20" i="203"/>
  <c r="R33" i="212"/>
  <c r="T38" i="208"/>
  <c r="L34" i="210"/>
  <c r="Q13" i="207"/>
  <c r="P18" i="206"/>
  <c r="M36" i="201"/>
  <c r="S20" i="211"/>
  <c r="U45" i="206"/>
  <c r="T25" i="210"/>
  <c r="M29" i="205"/>
  <c r="O46" i="201"/>
  <c r="R32" i="212"/>
  <c r="U26" i="212"/>
  <c r="T22" i="207"/>
  <c r="T45" i="208"/>
  <c r="O14" i="210"/>
  <c r="L26" i="214"/>
  <c r="S6" i="213"/>
  <c r="Q15" i="211"/>
  <c r="T22" i="213"/>
  <c r="M22" i="212"/>
  <c r="U19" i="212"/>
  <c r="S27" i="208"/>
  <c r="Q43" i="213"/>
  <c r="P5" i="203"/>
  <c r="O10" i="212"/>
  <c r="T30" i="211"/>
  <c r="N20" i="211"/>
  <c r="T11" i="214"/>
  <c r="L26" i="210"/>
  <c r="M7" i="209"/>
  <c r="R12" i="210"/>
  <c r="P28" i="210"/>
  <c r="N32" i="211"/>
  <c r="P36" i="213"/>
  <c r="T12" i="208"/>
  <c r="Q18" i="212"/>
  <c r="R17" i="214"/>
  <c r="M37" i="202"/>
  <c r="O38" i="213"/>
  <c r="S27" i="210"/>
  <c r="M46" i="213"/>
  <c r="N29" i="205"/>
  <c r="L19" i="208"/>
  <c r="R31" i="208"/>
  <c r="N8" i="209"/>
  <c r="N11" i="210"/>
  <c r="N11" i="203"/>
  <c r="M31" i="202"/>
  <c r="O32" i="210"/>
  <c r="P22" i="212"/>
  <c r="O33" i="198"/>
  <c r="M8" i="206"/>
  <c r="U21" i="210"/>
  <c r="T2" i="209"/>
  <c r="R5" i="205"/>
  <c r="T14" i="207"/>
  <c r="O34" i="208"/>
  <c r="Q11" i="211"/>
  <c r="S3" i="213"/>
  <c r="U35" i="204"/>
  <c r="S24" i="210"/>
  <c r="T45" i="207"/>
  <c r="U4" i="209"/>
  <c r="S2" i="210"/>
  <c r="R2" i="214"/>
  <c r="T43" i="213"/>
  <c r="P16" i="202"/>
  <c r="S9" i="212"/>
  <c r="S24" i="208"/>
  <c r="N41" i="211"/>
  <c r="Q8" i="206"/>
  <c r="T28" i="212"/>
  <c r="R32" i="208"/>
  <c r="L17" i="205"/>
  <c r="T34" i="213"/>
  <c r="O21" i="212"/>
  <c r="O32" i="211"/>
  <c r="P35" i="212"/>
  <c r="O5" i="213"/>
  <c r="S5" i="213"/>
  <c r="S33" i="211"/>
  <c r="L12" i="213"/>
  <c r="N14" i="214"/>
  <c r="M11" i="214"/>
  <c r="M46" i="210"/>
  <c r="O8" i="214"/>
  <c r="S33" i="209"/>
  <c r="R25" i="212"/>
  <c r="L45" i="211"/>
  <c r="M38" i="212"/>
  <c r="T32" i="210"/>
  <c r="R15" i="211"/>
  <c r="Q9" i="212"/>
  <c r="P9" i="212"/>
  <c r="T4" i="209"/>
  <c r="N2" i="213"/>
  <c r="O21" i="213"/>
  <c r="N24" i="207"/>
  <c r="U44" i="213"/>
  <c r="U9" i="212"/>
  <c r="U38" i="213"/>
  <c r="P20" i="207"/>
  <c r="U42" i="214"/>
  <c r="M13" i="212"/>
  <c r="O36" i="211"/>
  <c r="T6" i="210"/>
  <c r="U11" i="207"/>
  <c r="R43" i="211"/>
  <c r="L37" i="213"/>
  <c r="T13" i="206"/>
  <c r="R41" i="208"/>
  <c r="R29" i="212"/>
  <c r="N29" i="213"/>
  <c r="T8" i="204"/>
  <c r="Q3" i="214"/>
  <c r="L40" i="209"/>
  <c r="N11" i="207"/>
  <c r="L36" i="198"/>
  <c r="N20" i="200"/>
  <c r="N37" i="209"/>
  <c r="Q21" i="212"/>
  <c r="M45" i="214"/>
  <c r="M17" i="210"/>
  <c r="M27" i="212"/>
  <c r="N34" i="212"/>
  <c r="R27" i="212"/>
  <c r="O4" i="210"/>
  <c r="M33" i="211"/>
  <c r="P20" i="213"/>
  <c r="S30" i="206"/>
  <c r="N37" i="205"/>
  <c r="Q16" i="207"/>
  <c r="U9" i="209"/>
  <c r="O24" i="209"/>
  <c r="S40" i="209"/>
  <c r="U30" i="204"/>
  <c r="M7" i="207"/>
  <c r="S5" i="208"/>
  <c r="N22" i="211"/>
  <c r="R45" i="213"/>
  <c r="L18" i="213"/>
  <c r="N13" i="214"/>
  <c r="P38" i="207"/>
  <c r="T39" i="210"/>
  <c r="M12" i="214"/>
  <c r="S18" i="214"/>
  <c r="L10" i="211"/>
  <c r="P23" i="213"/>
  <c r="S31" i="211"/>
  <c r="U22" i="213"/>
  <c r="T22" i="214"/>
  <c r="U12" i="211"/>
  <c r="M18" i="214"/>
  <c r="U43" i="211"/>
  <c r="O19" i="214"/>
  <c r="Q32" i="209"/>
  <c r="N11" i="211"/>
  <c r="O27" i="207"/>
  <c r="T38" i="213"/>
  <c r="Q24" i="213"/>
  <c r="Q36" i="209"/>
  <c r="L22" i="211"/>
  <c r="N24" i="211"/>
  <c r="M7" i="208"/>
  <c r="P30" i="211"/>
  <c r="O30" i="214"/>
  <c r="S22" i="210"/>
  <c r="N5" i="211"/>
  <c r="P34" i="214"/>
  <c r="R45" i="207"/>
  <c r="Q31" i="211"/>
  <c r="R44" i="212"/>
  <c r="M34" i="211"/>
  <c r="N36" i="203"/>
  <c r="P4" i="210"/>
  <c r="O40" i="203"/>
  <c r="M14" i="214"/>
  <c r="P4" i="214"/>
  <c r="S14" i="210"/>
  <c r="R24" i="213"/>
  <c r="N2" i="212"/>
  <c r="U3" i="212"/>
  <c r="T36" i="214"/>
  <c r="L44" i="210"/>
  <c r="S40" i="208"/>
  <c r="U31" i="212"/>
  <c r="Q20" i="208"/>
  <c r="P33" i="213"/>
  <c r="P34" i="210"/>
  <c r="P39" i="209"/>
  <c r="M24" i="210"/>
  <c r="O38" i="208"/>
  <c r="M44" i="205"/>
  <c r="T7" i="208"/>
  <c r="Q17" i="209"/>
  <c r="L8" i="206"/>
  <c r="P42" i="211"/>
  <c r="P21" i="211"/>
  <c r="M42" i="202"/>
  <c r="Q44" i="207"/>
  <c r="P25" i="206"/>
  <c r="Q32" i="208"/>
  <c r="U11" i="206"/>
  <c r="N26" i="205"/>
  <c r="Q6" i="205"/>
  <c r="P4" i="208"/>
  <c r="M8" i="207"/>
  <c r="S14" i="207"/>
  <c r="R20" i="208"/>
  <c r="U26" i="210"/>
  <c r="P9" i="211"/>
  <c r="S46" i="211"/>
  <c r="U42" i="207"/>
  <c r="L18" i="209"/>
  <c r="P15" i="212"/>
  <c r="N16" i="209"/>
  <c r="L37" i="203"/>
  <c r="P7" i="204"/>
  <c r="M25" i="204"/>
  <c r="T16" i="210"/>
  <c r="T5" i="212"/>
  <c r="Q37" i="207"/>
  <c r="N41" i="206"/>
  <c r="N12" i="203"/>
  <c r="Q23" i="213"/>
  <c r="R27" i="206"/>
  <c r="R43" i="212"/>
  <c r="P40" i="210"/>
  <c r="Q44" i="212"/>
  <c r="T33" i="213"/>
  <c r="O24" i="213"/>
  <c r="Q18" i="213"/>
  <c r="N22" i="208"/>
  <c r="O30" i="211"/>
  <c r="S32" i="212"/>
  <c r="P27" i="214"/>
  <c r="T45" i="211"/>
  <c r="L23" i="213"/>
  <c r="R26" i="212"/>
  <c r="O30" i="212"/>
  <c r="P22" i="213"/>
  <c r="O14" i="208"/>
  <c r="U24" i="211"/>
  <c r="O27" i="208"/>
  <c r="T42" i="208"/>
  <c r="R34" i="210"/>
  <c r="Q24" i="212"/>
  <c r="N8" i="214"/>
  <c r="M33" i="213"/>
  <c r="L20" i="208"/>
  <c r="Q38" i="212"/>
  <c r="S27" i="214"/>
  <c r="O41" i="211"/>
  <c r="N17" i="211"/>
  <c r="U38" i="207"/>
  <c r="L2" i="212"/>
  <c r="O24" i="211"/>
  <c r="M36" i="206"/>
  <c r="N12" i="212"/>
  <c r="R42" i="212"/>
  <c r="P38" i="211"/>
  <c r="R5" i="214"/>
  <c r="S6" i="214"/>
  <c r="O31" i="211"/>
  <c r="O19" i="206"/>
  <c r="M21" i="206"/>
  <c r="O8" i="213"/>
  <c r="S18" i="208"/>
  <c r="S34" i="213"/>
  <c r="M11" i="207"/>
  <c r="S26" i="212"/>
  <c r="M40" i="206"/>
  <c r="M39" i="206"/>
  <c r="L29" i="206"/>
  <c r="P12" i="212"/>
  <c r="P24" i="211"/>
  <c r="M37" i="210"/>
  <c r="L2" i="209"/>
  <c r="Q29" i="208"/>
  <c r="T19" i="212"/>
  <c r="U36" i="211"/>
  <c r="P2" i="208"/>
  <c r="R9" i="208"/>
  <c r="U9" i="203"/>
  <c r="P14" i="208"/>
  <c r="M5" i="208"/>
  <c r="R25" i="211"/>
  <c r="N21" i="211"/>
  <c r="U3" i="211"/>
  <c r="N22" i="213"/>
  <c r="Q35" i="214"/>
  <c r="L19" i="212"/>
  <c r="T8" i="211"/>
  <c r="S44" i="214"/>
  <c r="L40" i="210"/>
  <c r="T31" i="209"/>
  <c r="U44" i="210"/>
  <c r="R45" i="214"/>
  <c r="R4" i="211"/>
  <c r="M41" i="208"/>
  <c r="P26" i="214"/>
  <c r="P43" i="209"/>
  <c r="S38" i="212"/>
  <c r="T4" i="208"/>
  <c r="T41" i="214"/>
  <c r="T33" i="211"/>
  <c r="U23" i="208"/>
  <c r="T28" i="214"/>
  <c r="R31" i="210"/>
  <c r="P2" i="211"/>
  <c r="T28" i="207"/>
  <c r="U40" i="210"/>
  <c r="M32" i="212"/>
  <c r="S21" i="212"/>
  <c r="T10" i="199"/>
  <c r="Q36" i="213"/>
  <c r="P17" i="210"/>
  <c r="O44" i="211"/>
  <c r="T12" i="213"/>
  <c r="S34" i="211"/>
  <c r="Q19" i="202"/>
  <c r="P37" i="204"/>
  <c r="Q18" i="210"/>
  <c r="L36" i="211"/>
  <c r="M32" i="206"/>
  <c r="T40" i="209"/>
  <c r="Q30" i="206"/>
  <c r="S26" i="208"/>
  <c r="O20" i="204"/>
  <c r="P29" i="206"/>
  <c r="Q7" i="212"/>
  <c r="T32" i="212"/>
  <c r="T31" i="208"/>
  <c r="S34" i="208"/>
  <c r="M34" i="212"/>
  <c r="M41" i="205"/>
  <c r="Q43" i="205"/>
  <c r="R23" i="209"/>
  <c r="U7" i="214"/>
  <c r="P24" i="214"/>
  <c r="T39" i="202"/>
  <c r="N26" i="212"/>
  <c r="T29" i="214"/>
  <c r="U16" i="209"/>
  <c r="N27" i="210"/>
  <c r="R15" i="210"/>
  <c r="P37" i="213"/>
  <c r="R17" i="212"/>
  <c r="M21" i="211"/>
  <c r="P42" i="213"/>
  <c r="N19" i="208"/>
  <c r="T39" i="211"/>
  <c r="U37" i="210"/>
  <c r="R2" i="209"/>
  <c r="P43" i="205"/>
  <c r="L14" i="211"/>
  <c r="L38" i="212"/>
  <c r="P45" i="208"/>
  <c r="U15" i="210"/>
  <c r="L37" i="209"/>
  <c r="U8" i="205"/>
  <c r="P46" i="211"/>
  <c r="R16" i="210"/>
  <c r="M20" i="209"/>
  <c r="P40" i="211"/>
  <c r="P40" i="208"/>
  <c r="U42" i="212"/>
  <c r="R22" i="206"/>
  <c r="Q38" i="206"/>
  <c r="P6" i="209"/>
  <c r="U28" i="211"/>
  <c r="O11" i="208"/>
  <c r="T26" i="213"/>
  <c r="S7" i="213"/>
  <c r="N33" i="213"/>
  <c r="S46" i="213"/>
  <c r="U39" i="207"/>
  <c r="O35" i="210"/>
  <c r="U6" i="212"/>
  <c r="M11" i="211"/>
  <c r="P4" i="212"/>
  <c r="R3" i="211"/>
  <c r="Q14" i="213"/>
  <c r="M42" i="212"/>
  <c r="T27" i="204"/>
  <c r="U45" i="208"/>
  <c r="N8" i="211"/>
  <c r="P18" i="212"/>
  <c r="U44" i="209"/>
  <c r="Q18" i="208"/>
  <c r="S45" i="210"/>
  <c r="L29" i="210"/>
  <c r="R45" i="210"/>
  <c r="U27" i="211"/>
  <c r="S29" i="211"/>
  <c r="T39" i="201"/>
  <c r="O5" i="209"/>
  <c r="S14" i="212"/>
  <c r="N15" i="208"/>
  <c r="R33" i="207"/>
  <c r="U5" i="209"/>
  <c r="Q20" i="213"/>
  <c r="L46" i="210"/>
  <c r="L16" i="211"/>
  <c r="S12" i="214"/>
  <c r="S5" i="205"/>
  <c r="Q15" i="206"/>
  <c r="M44" i="208"/>
  <c r="O36" i="212"/>
  <c r="M11" i="210"/>
  <c r="L22" i="209"/>
  <c r="Q45" i="206"/>
  <c r="L9" i="209"/>
  <c r="T2" i="207"/>
  <c r="Q40" i="210"/>
  <c r="N33" i="212"/>
  <c r="P19" i="209"/>
  <c r="L4" i="201"/>
  <c r="O30" i="204"/>
  <c r="S30" i="207"/>
  <c r="R46" i="208"/>
  <c r="U9" i="207"/>
  <c r="O37" i="208"/>
  <c r="P33" i="204"/>
  <c r="P24" i="208"/>
  <c r="R6" i="214"/>
  <c r="R41" i="206"/>
  <c r="N22" i="209"/>
  <c r="U34" i="213"/>
  <c r="R21" i="214"/>
  <c r="Q8" i="213"/>
  <c r="R43" i="209"/>
  <c r="U38" i="206"/>
  <c r="T29" i="207"/>
  <c r="N40" i="207"/>
  <c r="P32" i="211"/>
  <c r="T31" i="207"/>
  <c r="O43" i="203"/>
  <c r="L46" i="202"/>
  <c r="R8" i="205"/>
  <c r="S32" i="214"/>
  <c r="O28" i="208"/>
  <c r="Q11" i="207"/>
  <c r="R25" i="209"/>
  <c r="T5" i="207"/>
  <c r="Q21" i="211"/>
  <c r="O9" i="204"/>
  <c r="N42" i="212"/>
  <c r="S35" i="209"/>
  <c r="N44" i="205"/>
  <c r="S28" i="211"/>
  <c r="R13" i="203"/>
  <c r="T7" i="205"/>
  <c r="P40" i="205"/>
  <c r="T26" i="210"/>
  <c r="R12" i="208"/>
  <c r="N15" i="205"/>
  <c r="M16" i="211"/>
  <c r="O34" i="210"/>
  <c r="T7" i="200"/>
  <c r="S32" i="206"/>
  <c r="T9" i="212"/>
  <c r="S30" i="213"/>
  <c r="N3" i="202"/>
  <c r="R30" i="212"/>
  <c r="S36" i="214"/>
  <c r="M24" i="207"/>
  <c r="S16" i="214"/>
  <c r="U40" i="206"/>
  <c r="Q9" i="200"/>
  <c r="M20" i="201"/>
  <c r="O42" i="205"/>
  <c r="M5" i="207"/>
  <c r="M37" i="204"/>
  <c r="Q30" i="204"/>
  <c r="O34" i="213"/>
  <c r="O2" i="206"/>
  <c r="T20" i="210"/>
  <c r="R13" i="213"/>
  <c r="L19" i="213"/>
  <c r="N40" i="210"/>
  <c r="Q33" i="211"/>
  <c r="O28" i="212"/>
  <c r="Q7" i="213"/>
  <c r="N15" i="212"/>
  <c r="L16" i="213"/>
  <c r="T38" i="212"/>
  <c r="Q23" i="212"/>
  <c r="P3" i="210"/>
  <c r="U18" i="210"/>
  <c r="T33" i="206"/>
  <c r="L34" i="199"/>
  <c r="O3" i="201"/>
  <c r="L8" i="214"/>
  <c r="Q12" i="209"/>
  <c r="T8" i="208"/>
  <c r="R20" i="211"/>
  <c r="N25" i="206"/>
  <c r="O16" i="202"/>
  <c r="Q42" i="205"/>
  <c r="R31" i="200"/>
  <c r="O21" i="207"/>
  <c r="P28" i="211"/>
  <c r="T45" i="210"/>
  <c r="T32" i="205"/>
  <c r="Q34" i="211"/>
  <c r="M41" i="209"/>
  <c r="M10" i="210"/>
  <c r="P42" i="209"/>
  <c r="P8" i="207"/>
  <c r="R29" i="210"/>
  <c r="M2" i="205"/>
  <c r="Q43" i="198"/>
  <c r="P37" i="206"/>
  <c r="Q40" i="206"/>
  <c r="U45" i="207"/>
  <c r="P42" i="205"/>
  <c r="U29" i="208"/>
  <c r="S40" i="205"/>
  <c r="Q11" i="210"/>
  <c r="P19" i="208"/>
  <c r="R31" i="206"/>
  <c r="U46" i="204"/>
  <c r="P27" i="198"/>
  <c r="S37" i="204"/>
  <c r="T27" i="200"/>
  <c r="P12" i="209"/>
  <c r="T10" i="198"/>
  <c r="T36" i="212"/>
  <c r="M34" i="204"/>
  <c r="R23" i="208"/>
  <c r="U22" i="210"/>
  <c r="O11" i="213"/>
  <c r="L34" i="214"/>
  <c r="S36" i="209"/>
  <c r="S6" i="208"/>
  <c r="S2" i="208"/>
  <c r="T26" i="207"/>
  <c r="U8" i="210"/>
  <c r="U20" i="209"/>
  <c r="L27" i="211"/>
  <c r="N13" i="208"/>
  <c r="L35" i="200"/>
  <c r="U12" i="212"/>
  <c r="N45" i="209"/>
  <c r="T36" i="213"/>
  <c r="L4" i="199"/>
  <c r="Q41" i="208"/>
  <c r="Q15" i="208"/>
  <c r="P21" i="212"/>
  <c r="T8" i="201"/>
  <c r="R30" i="201"/>
  <c r="N32" i="197"/>
  <c r="L18" i="207"/>
  <c r="M22" i="205"/>
  <c r="N41" i="204"/>
  <c r="N17" i="206"/>
  <c r="L35" i="206"/>
  <c r="T40" i="212"/>
  <c r="R28" i="209"/>
  <c r="L43" i="213"/>
  <c r="L9" i="213"/>
  <c r="R41" i="213"/>
  <c r="T27" i="210"/>
  <c r="M24" i="213"/>
  <c r="O23" i="209"/>
  <c r="R33" i="214"/>
  <c r="U18" i="206"/>
  <c r="U33" i="214"/>
  <c r="M40" i="207"/>
  <c r="O25" i="206"/>
  <c r="N22" i="206"/>
  <c r="S34" i="209"/>
  <c r="P39" i="202"/>
  <c r="P21" i="213"/>
  <c r="T37" i="204"/>
  <c r="T8" i="205"/>
  <c r="R9" i="211"/>
  <c r="T24" i="214"/>
  <c r="L28" i="210"/>
  <c r="L21" i="209"/>
  <c r="P4" i="209"/>
  <c r="S15" i="209"/>
  <c r="U41" i="211"/>
  <c r="N26" i="207"/>
  <c r="T11" i="210"/>
  <c r="T43" i="198"/>
  <c r="M18" i="205"/>
  <c r="S17" i="198"/>
  <c r="T41" i="213"/>
  <c r="L7" i="211"/>
  <c r="N25" i="213"/>
  <c r="L9" i="203"/>
  <c r="O21" i="208"/>
  <c r="S45" i="211"/>
  <c r="M24" i="212"/>
  <c r="U17" i="211"/>
  <c r="T16" i="208"/>
  <c r="L13" i="209"/>
  <c r="R34" i="211"/>
  <c r="L33" i="211"/>
  <c r="U22" i="209"/>
  <c r="Q14" i="212"/>
  <c r="R46" i="203"/>
  <c r="N23" i="212"/>
  <c r="M10" i="209"/>
  <c r="O43" i="208"/>
  <c r="R3" i="207"/>
  <c r="N44" i="208"/>
  <c r="Q2" i="205"/>
  <c r="L23" i="211"/>
  <c r="T4" i="214"/>
  <c r="O10" i="209"/>
  <c r="Q4" i="210"/>
  <c r="L30" i="209"/>
  <c r="L35" i="211"/>
  <c r="S35" i="211"/>
  <c r="L13" i="210"/>
  <c r="P7" i="210"/>
  <c r="L33" i="213"/>
  <c r="O39" i="209"/>
  <c r="Q41" i="209"/>
  <c r="U36" i="210"/>
  <c r="R8" i="200"/>
  <c r="Q21" i="207"/>
  <c r="S2" i="211"/>
  <c r="P44" i="207"/>
  <c r="L22" i="208"/>
  <c r="U43" i="213"/>
  <c r="O42" i="211"/>
  <c r="R33" i="206"/>
  <c r="N3" i="210"/>
  <c r="S10" i="210"/>
  <c r="O31" i="212"/>
  <c r="Q2" i="209"/>
  <c r="L11" i="209"/>
  <c r="T35" i="212"/>
  <c r="P46" i="197"/>
  <c r="U6" i="214"/>
  <c r="L4" i="212"/>
  <c r="U17" i="208"/>
  <c r="P41" i="212"/>
  <c r="N35" i="211"/>
  <c r="S40" i="206"/>
  <c r="U30" i="213"/>
  <c r="L25" i="213"/>
  <c r="M42" i="206"/>
  <c r="Q15" i="207"/>
  <c r="S10" i="209"/>
  <c r="P20" i="211"/>
  <c r="S17" i="213"/>
  <c r="O4" i="209"/>
  <c r="T19" i="208"/>
  <c r="R2" i="207"/>
  <c r="Q35" i="211"/>
  <c r="S39" i="209"/>
  <c r="U21" i="213"/>
  <c r="M35" i="212"/>
  <c r="T14" i="209"/>
  <c r="Q16" i="210"/>
  <c r="T43" i="206"/>
  <c r="P29" i="214"/>
  <c r="O9" i="212"/>
  <c r="T11" i="204"/>
  <c r="M44" i="198"/>
  <c r="O27" i="205"/>
  <c r="O32" i="207"/>
  <c r="T6" i="209"/>
  <c r="M29" i="208"/>
  <c r="U12" i="209"/>
  <c r="S4" i="206"/>
  <c r="P30" i="212"/>
  <c r="M4" i="214"/>
  <c r="U13" i="212"/>
  <c r="M4" i="209"/>
  <c r="O39" i="208"/>
  <c r="N41" i="209"/>
  <c r="R26" i="204"/>
  <c r="T43" i="209"/>
  <c r="M23" i="200"/>
  <c r="T41" i="211"/>
  <c r="L9" i="214"/>
  <c r="L26" i="206"/>
  <c r="Q9" i="211"/>
  <c r="N27" i="206"/>
  <c r="U20" i="214"/>
  <c r="L43" i="210"/>
  <c r="T32" i="211"/>
  <c r="M32" i="211"/>
  <c r="L6" i="208"/>
  <c r="M9" i="208"/>
  <c r="U21" i="204"/>
  <c r="P33" i="206"/>
  <c r="T13" i="207"/>
  <c r="M8" i="209"/>
  <c r="L17" i="213"/>
  <c r="L12" i="205"/>
  <c r="M2" i="207"/>
  <c r="Q17" i="212"/>
  <c r="N9" i="209"/>
  <c r="O30" i="208"/>
  <c r="U46" i="209"/>
  <c r="R16" i="204"/>
  <c r="M46" i="209"/>
  <c r="Q8" i="211"/>
  <c r="T14" i="205"/>
  <c r="O33" i="204"/>
  <c r="U44" i="206"/>
  <c r="M34" i="213"/>
  <c r="P16" i="212"/>
  <c r="N2" i="205"/>
  <c r="O22" i="204"/>
  <c r="N27" i="212"/>
  <c r="U35" i="212"/>
  <c r="M15" i="210"/>
  <c r="M44" i="199"/>
  <c r="T2" i="212"/>
  <c r="M5" i="214"/>
  <c r="U24" i="208"/>
  <c r="R13" i="207"/>
  <c r="Q6" i="203"/>
  <c r="S31" i="202"/>
  <c r="M8" i="211"/>
  <c r="R30" i="206"/>
  <c r="M42" i="205"/>
  <c r="R22" i="211"/>
  <c r="O24" i="203"/>
  <c r="T7" i="206"/>
  <c r="U35" i="206"/>
  <c r="L43" i="211"/>
  <c r="S9" i="213"/>
  <c r="U46" i="212"/>
  <c r="L13" i="212"/>
  <c r="O9" i="207"/>
  <c r="L28" i="214"/>
  <c r="S42" i="207"/>
  <c r="S29" i="214"/>
  <c r="T14" i="206"/>
  <c r="S46" i="212"/>
  <c r="Q24" i="207"/>
  <c r="U32" i="210"/>
  <c r="R25" i="207"/>
  <c r="Q28" i="214"/>
  <c r="Q42" i="206"/>
  <c r="L37" i="200"/>
  <c r="M12" i="207"/>
  <c r="L22" i="214"/>
  <c r="P17" i="202"/>
  <c r="U11" i="211"/>
  <c r="Q20" i="212"/>
  <c r="R9" i="213"/>
  <c r="T36" i="208"/>
  <c r="U22" i="214"/>
  <c r="T43" i="212"/>
  <c r="O28" i="204"/>
  <c r="Q31" i="212"/>
  <c r="P21" i="208"/>
  <c r="S44" i="211"/>
  <c r="P19" i="212"/>
  <c r="R7" i="203"/>
  <c r="N38" i="214"/>
  <c r="Q26" i="213"/>
  <c r="U21" i="212"/>
  <c r="M26" i="210"/>
  <c r="L9" i="210"/>
  <c r="M32" i="205"/>
  <c r="U16" i="201"/>
  <c r="M43" i="205"/>
  <c r="S20" i="209"/>
  <c r="T10" i="208"/>
  <c r="Q27" i="208"/>
  <c r="P39" i="205"/>
  <c r="N18" i="209"/>
  <c r="T14" i="208"/>
  <c r="U17" i="205"/>
  <c r="M6" i="206"/>
  <c r="R4" i="204"/>
  <c r="M43" i="209"/>
  <c r="M21" i="199"/>
  <c r="S19" i="212"/>
  <c r="M31" i="209"/>
  <c r="N35" i="212"/>
  <c r="P23" i="196"/>
  <c r="N20" i="208"/>
  <c r="N45" i="199"/>
  <c r="O37" i="210"/>
  <c r="Q4" i="214"/>
  <c r="R7" i="214"/>
  <c r="T37" i="208"/>
  <c r="Q17" i="208"/>
  <c r="P23" i="214"/>
  <c r="O5" i="208"/>
  <c r="R42" i="213"/>
  <c r="M33" i="212"/>
  <c r="P15" i="203"/>
  <c r="T44" i="210"/>
  <c r="M7" i="212"/>
  <c r="S12" i="213"/>
  <c r="U35" i="205"/>
  <c r="U39" i="214"/>
  <c r="R36" i="208"/>
  <c r="N11" i="209"/>
  <c r="R15" i="212"/>
  <c r="U38" i="208"/>
  <c r="O45" i="214"/>
  <c r="O24" i="214"/>
  <c r="L4" i="208"/>
  <c r="O18" i="213"/>
  <c r="S45" i="208"/>
  <c r="N5" i="213"/>
  <c r="N21" i="207"/>
  <c r="Q26" i="209"/>
  <c r="R7" i="210"/>
  <c r="O28" i="213"/>
  <c r="R28" i="213"/>
  <c r="N25" i="210"/>
  <c r="P5" i="202"/>
  <c r="S29" i="213"/>
  <c r="L19" i="195"/>
  <c r="M20" i="202"/>
  <c r="Q45" i="207"/>
  <c r="N37" i="204"/>
  <c r="U34" i="207"/>
  <c r="T46" i="211"/>
  <c r="L28" i="212"/>
  <c r="O36" i="214"/>
  <c r="P6" i="212"/>
  <c r="O7" i="212"/>
  <c r="R13" i="211"/>
  <c r="U17" i="213"/>
  <c r="Q6" i="214"/>
  <c r="N30" i="213"/>
  <c r="U28" i="202"/>
  <c r="S46" i="210"/>
  <c r="N13" i="207"/>
  <c r="O14" i="214"/>
  <c r="Q7" i="209"/>
  <c r="U45" i="209"/>
  <c r="R24" i="206"/>
  <c r="O3" i="203"/>
  <c r="R22" i="213"/>
  <c r="M29" i="211"/>
  <c r="P32" i="210"/>
  <c r="L21" i="212"/>
  <c r="P22" i="207"/>
  <c r="R21" i="212"/>
  <c r="O40" i="205"/>
  <c r="L41" i="213"/>
  <c r="R14" i="205"/>
  <c r="Q42" i="204"/>
  <c r="U8" i="212"/>
  <c r="S44" i="206"/>
  <c r="P22" i="214"/>
  <c r="S4" i="212"/>
  <c r="N17" i="208"/>
  <c r="S29" i="210"/>
  <c r="L44" i="209"/>
  <c r="N25" i="212"/>
  <c r="U2" i="211"/>
  <c r="M39" i="213"/>
  <c r="M43" i="211"/>
  <c r="S9" i="211"/>
  <c r="N27" i="195"/>
  <c r="S35" i="207"/>
  <c r="Q14" i="209"/>
  <c r="S17" i="210"/>
  <c r="Q6" i="210"/>
  <c r="R31" i="212"/>
  <c r="N10" i="210"/>
  <c r="Q3" i="213"/>
  <c r="S2" i="212"/>
  <c r="M46" i="212"/>
  <c r="T21" i="211"/>
  <c r="N17" i="212"/>
  <c r="T21" i="213"/>
  <c r="U8" i="214"/>
  <c r="S8" i="212"/>
  <c r="M44" i="214"/>
  <c r="Q37" i="206"/>
  <c r="S18" i="207"/>
  <c r="R19" i="204"/>
  <c r="O19" i="211"/>
  <c r="M6" i="211"/>
  <c r="R45" i="211"/>
  <c r="S10" i="205"/>
  <c r="L33" i="212"/>
  <c r="T18" i="214"/>
  <c r="N11" i="208"/>
  <c r="T18" i="200"/>
  <c r="O40" i="208"/>
  <c r="R5" i="206"/>
  <c r="N25" i="211"/>
  <c r="L22" i="198"/>
  <c r="R16" i="209"/>
  <c r="U22" i="211"/>
  <c r="T4" i="205"/>
  <c r="T16" i="209"/>
  <c r="P9" i="210"/>
  <c r="U9" i="211"/>
  <c r="S38" i="208"/>
  <c r="U25" i="208"/>
  <c r="R41" i="214"/>
  <c r="S24" i="203"/>
  <c r="Q4" i="207"/>
  <c r="P4" i="207"/>
  <c r="P31" i="205"/>
  <c r="M29" i="210"/>
  <c r="M14" i="209"/>
  <c r="P32" i="208"/>
  <c r="S6" i="211"/>
  <c r="N6" i="213"/>
  <c r="N40" i="204"/>
  <c r="N9" i="212"/>
  <c r="N28" i="214"/>
  <c r="P16" i="210"/>
  <c r="P35" i="208"/>
  <c r="S36" i="212"/>
  <c r="N29" i="210"/>
  <c r="N15" i="202"/>
  <c r="N29" i="202"/>
  <c r="N3" i="211"/>
  <c r="M24" i="214"/>
  <c r="Q28" i="210"/>
  <c r="L5" i="214"/>
  <c r="Q25" i="209"/>
  <c r="P36" i="206"/>
  <c r="S6" i="207"/>
  <c r="T37" i="210"/>
  <c r="R27" i="210"/>
  <c r="Q16" i="204"/>
  <c r="O29" i="205"/>
  <c r="Q14" i="210"/>
  <c r="T46" i="212"/>
  <c r="Q14" i="211"/>
  <c r="Q36" i="212"/>
  <c r="Q43" i="212"/>
  <c r="S33" i="213"/>
  <c r="O38" i="209"/>
  <c r="N10" i="211"/>
  <c r="N43" i="214"/>
  <c r="M27" i="214"/>
  <c r="P16" i="211"/>
  <c r="Q20" i="205"/>
  <c r="T25" i="211"/>
  <c r="T29" i="211"/>
  <c r="M24" i="209"/>
  <c r="M38" i="209"/>
  <c r="M23" i="211"/>
  <c r="T40" i="207"/>
  <c r="S27" i="212"/>
  <c r="L31" i="210"/>
  <c r="S45" i="206"/>
  <c r="O25" i="214"/>
  <c r="U15" i="209"/>
  <c r="T12" i="212"/>
  <c r="U36" i="212"/>
  <c r="N33" i="211"/>
  <c r="N35" i="213"/>
  <c r="O33" i="212"/>
  <c r="N42" i="211"/>
  <c r="L3" i="212"/>
  <c r="N42" i="207"/>
  <c r="P31" i="214"/>
  <c r="R34" i="209"/>
  <c r="S27" i="202"/>
  <c r="T13" i="209"/>
  <c r="O10" i="198"/>
  <c r="P31" i="203"/>
  <c r="R11" i="210"/>
  <c r="S46" i="209"/>
  <c r="S9" i="210"/>
  <c r="S28" i="212"/>
  <c r="M17" i="214"/>
  <c r="O21" i="209"/>
  <c r="T45" i="206"/>
  <c r="O25" i="212"/>
  <c r="M18" i="212"/>
  <c r="T35" i="206"/>
  <c r="T31" i="206"/>
  <c r="R26" i="213"/>
  <c r="N31" i="208"/>
  <c r="P5" i="198"/>
  <c r="Q17" i="207"/>
  <c r="S45" i="213"/>
  <c r="T17" i="212"/>
  <c r="Q19" i="214"/>
  <c r="M23" i="209"/>
  <c r="P5" i="211"/>
  <c r="M9" i="210"/>
  <c r="O18" i="212"/>
  <c r="T26" i="212"/>
  <c r="T33" i="212"/>
  <c r="L44" i="211"/>
  <c r="P35" i="213"/>
  <c r="N46" i="210"/>
  <c r="T14" i="213"/>
  <c r="T28" i="204"/>
  <c r="O46" i="205"/>
  <c r="R14" i="210"/>
  <c r="L29" i="212"/>
  <c r="L15" i="207"/>
  <c r="U30" i="207"/>
  <c r="T29" i="206"/>
  <c r="T23" i="207"/>
  <c r="Q17" i="199"/>
  <c r="S11" i="210"/>
  <c r="Q41" i="207"/>
  <c r="N9" i="213"/>
  <c r="N35" i="208"/>
  <c r="U10" i="211"/>
  <c r="N7" i="214"/>
  <c r="N32" i="201"/>
  <c r="P41" i="206"/>
  <c r="U4" i="208"/>
  <c r="M21" i="208"/>
  <c r="Q30" i="207"/>
  <c r="M44" i="212"/>
  <c r="T7" i="196"/>
  <c r="L4" i="214"/>
  <c r="N31" i="207"/>
  <c r="N43" i="206"/>
  <c r="S44" i="199"/>
  <c r="T20" i="213"/>
  <c r="O8" i="206"/>
  <c r="U38" i="204"/>
  <c r="M5" i="206"/>
  <c r="P25" i="205"/>
  <c r="P31" i="209"/>
  <c r="M22" i="204"/>
  <c r="N35" i="209"/>
  <c r="R25" i="201"/>
  <c r="P19" i="211"/>
  <c r="M35" i="208"/>
  <c r="Q40" i="213"/>
  <c r="Q30" i="213"/>
  <c r="Q42" i="208"/>
  <c r="P42" i="214"/>
  <c r="T45" i="213"/>
  <c r="L14" i="207"/>
  <c r="M8" i="214"/>
  <c r="O41" i="201"/>
  <c r="L42" i="210"/>
  <c r="M24" i="206"/>
  <c r="Q35" i="206"/>
  <c r="L10" i="213"/>
  <c r="U25" i="212"/>
  <c r="U7" i="209"/>
  <c r="M25" i="201"/>
  <c r="P8" i="214"/>
  <c r="P8" i="210"/>
  <c r="U21" i="209"/>
  <c r="S41" i="212"/>
  <c r="Q21" i="210"/>
  <c r="R19" i="212"/>
  <c r="U20" i="210"/>
  <c r="M16" i="214"/>
  <c r="N44" i="209"/>
  <c r="P6" i="214"/>
  <c r="U46" i="206"/>
  <c r="T22" i="212"/>
  <c r="O30" i="213"/>
  <c r="Q28" i="207"/>
  <c r="M24" i="208"/>
  <c r="N17" i="200"/>
  <c r="R39" i="210"/>
  <c r="Q44" i="211"/>
  <c r="O36" i="205"/>
  <c r="T22" i="204"/>
  <c r="M37" i="203"/>
  <c r="O29" i="210"/>
  <c r="O6" i="209"/>
  <c r="M37" i="212"/>
  <c r="M6" i="204"/>
  <c r="O35" i="214"/>
  <c r="N32" i="210"/>
  <c r="L24" i="211"/>
  <c r="N44" i="212"/>
  <c r="L24" i="209"/>
  <c r="T40" i="213"/>
  <c r="N10" i="213"/>
  <c r="T17" i="197"/>
  <c r="N39" i="205"/>
  <c r="Q7" i="208"/>
  <c r="S11" i="200"/>
  <c r="U25" i="210"/>
  <c r="S46" i="207"/>
  <c r="U6" i="211"/>
  <c r="Q18" i="207"/>
  <c r="L40" i="211"/>
  <c r="P38" i="204"/>
  <c r="N7" i="208"/>
  <c r="U35" i="210"/>
  <c r="O38" i="207"/>
  <c r="L22" i="204"/>
  <c r="O16" i="205"/>
  <c r="Q16" i="202"/>
  <c r="T42" i="207"/>
  <c r="R29" i="214"/>
  <c r="N18" i="213"/>
  <c r="P12" i="210"/>
  <c r="U3" i="214"/>
  <c r="R7" i="199"/>
  <c r="O37" i="211"/>
  <c r="T42" i="210"/>
  <c r="Q16" i="209"/>
  <c r="S21" i="214"/>
  <c r="M8" i="212"/>
  <c r="N10" i="209"/>
  <c r="L39" i="203"/>
  <c r="P33" i="214"/>
  <c r="R46" i="211"/>
  <c r="U46" i="205"/>
  <c r="Q46" i="210"/>
  <c r="U35" i="207"/>
  <c r="S7" i="207"/>
  <c r="O34" i="205"/>
  <c r="N15" i="211"/>
  <c r="M43" i="206"/>
  <c r="U33" i="210"/>
  <c r="Q24" i="210"/>
  <c r="R30" i="209"/>
  <c r="L16" i="209"/>
  <c r="Q16" i="213"/>
  <c r="L8" i="211"/>
  <c r="T30" i="209"/>
  <c r="N33" i="214"/>
  <c r="Q10" i="211"/>
  <c r="O29" i="207"/>
  <c r="O38" i="214"/>
  <c r="M38" i="211"/>
  <c r="N38" i="212"/>
  <c r="M24" i="211"/>
  <c r="T23" i="212"/>
  <c r="R20" i="213"/>
  <c r="L10" i="212"/>
  <c r="T23" i="208"/>
  <c r="O45" i="210"/>
  <c r="O27" i="211"/>
  <c r="S38" i="207"/>
  <c r="L28" i="213"/>
  <c r="Q33" i="210"/>
  <c r="R7" i="212"/>
  <c r="L30" i="213"/>
  <c r="O33" i="206"/>
  <c r="L31" i="197"/>
  <c r="S38" i="213"/>
  <c r="S15" i="214"/>
  <c r="O16" i="213"/>
  <c r="O19" i="212"/>
  <c r="Q43" i="210"/>
  <c r="T39" i="212"/>
  <c r="S30" i="211"/>
  <c r="Q2" i="212"/>
  <c r="P35" i="214"/>
  <c r="T31" i="211"/>
  <c r="U23" i="205"/>
  <c r="M12" i="211"/>
  <c r="N39" i="210"/>
  <c r="U16" i="200"/>
  <c r="M40" i="210"/>
  <c r="T39" i="199"/>
  <c r="Q2" i="203"/>
  <c r="R38" i="205"/>
  <c r="N44" i="211"/>
  <c r="O37" i="206"/>
  <c r="N7" i="196"/>
  <c r="P10" i="207"/>
  <c r="Q6" i="213"/>
  <c r="L33" i="193"/>
  <c r="N20" i="204"/>
  <c r="O16" i="204"/>
  <c r="R32" i="199"/>
  <c r="T35" i="205"/>
  <c r="S10" i="213"/>
  <c r="L10" i="206"/>
  <c r="T17" i="207"/>
  <c r="Q46" i="208"/>
  <c r="R45" i="206"/>
  <c r="S25" i="208"/>
  <c r="Q31" i="198"/>
  <c r="L41" i="205"/>
  <c r="P12" i="200"/>
  <c r="R23" i="211"/>
  <c r="S2" i="206"/>
  <c r="Q44" i="201"/>
  <c r="P42" i="208"/>
  <c r="M34" i="210"/>
  <c r="N33" i="202"/>
  <c r="N22" i="195"/>
  <c r="R17" i="206"/>
  <c r="P30" i="201"/>
  <c r="S23" i="201"/>
  <c r="L6" i="210"/>
  <c r="T11" i="207"/>
  <c r="U22" i="208"/>
  <c r="Q29" i="206"/>
  <c r="P22" i="204"/>
  <c r="R16" i="198"/>
  <c r="S14" i="206"/>
  <c r="S45" i="199"/>
  <c r="R41" i="192"/>
  <c r="N4" i="208"/>
  <c r="L26" i="209"/>
  <c r="R18" i="208"/>
  <c r="L12" i="209"/>
  <c r="L46" i="211"/>
  <c r="Q38" i="208"/>
  <c r="L45" i="214"/>
  <c r="S3" i="208"/>
  <c r="T13" i="210"/>
  <c r="L6" i="214"/>
  <c r="S27" i="213"/>
  <c r="M23" i="208"/>
  <c r="P6" i="213"/>
  <c r="T20" i="207"/>
  <c r="R43" i="204"/>
  <c r="M22" i="203"/>
  <c r="L19" i="201"/>
  <c r="P32" i="213"/>
  <c r="U43" i="209"/>
  <c r="N40" i="211"/>
  <c r="R11" i="202"/>
  <c r="N10" i="191"/>
  <c r="L45" i="212"/>
  <c r="P2" i="207"/>
  <c r="M6" i="214"/>
  <c r="L41" i="211"/>
  <c r="O20" i="205"/>
  <c r="M43" i="207"/>
  <c r="L23" i="202"/>
  <c r="O46" i="206"/>
  <c r="R14" i="206"/>
  <c r="T12" i="209"/>
  <c r="Q39" i="209"/>
  <c r="R2" i="202"/>
  <c r="U40" i="207"/>
  <c r="P40" i="209"/>
  <c r="M43" i="197"/>
  <c r="Q39" i="204"/>
  <c r="R20" i="204"/>
  <c r="N44" i="207"/>
  <c r="Q43" i="191"/>
  <c r="R35" i="202"/>
  <c r="R39" i="194"/>
  <c r="P24" i="207"/>
  <c r="R8" i="212"/>
  <c r="P17" i="212"/>
  <c r="T10" i="205"/>
  <c r="U33" i="207"/>
  <c r="M11" i="203"/>
  <c r="R46" i="204"/>
  <c r="U22" i="206"/>
  <c r="N33" i="209"/>
  <c r="S6" i="201"/>
  <c r="T42" i="209"/>
  <c r="M15" i="209"/>
  <c r="L32" i="202"/>
  <c r="O35" i="209"/>
  <c r="M44" i="207"/>
  <c r="P24" i="206"/>
  <c r="T4" i="207"/>
  <c r="S8" i="194"/>
  <c r="O19" i="207"/>
  <c r="S11" i="206"/>
  <c r="O44" i="208"/>
  <c r="L2" i="206"/>
  <c r="Q10" i="208"/>
  <c r="S22" i="206"/>
  <c r="N46" i="205"/>
  <c r="S39" i="205"/>
  <c r="U10" i="209"/>
  <c r="O16" i="199"/>
  <c r="P30" i="213"/>
  <c r="Q5" i="212"/>
  <c r="P8" i="213"/>
  <c r="M11" i="205"/>
  <c r="S18" i="201"/>
  <c r="P45" i="213"/>
  <c r="S38" i="204"/>
  <c r="S21" i="205"/>
  <c r="S3" i="209"/>
  <c r="P35" i="204"/>
  <c r="L25" i="212"/>
  <c r="Q9" i="208"/>
  <c r="T21" i="210"/>
  <c r="Q8" i="209"/>
  <c r="S35" i="204"/>
  <c r="R5" i="209"/>
  <c r="N16" i="203"/>
  <c r="Q34" i="209"/>
  <c r="P4" i="205"/>
  <c r="M39" i="211"/>
  <c r="L7" i="205"/>
  <c r="Q12" i="203"/>
  <c r="R18" i="205"/>
  <c r="M29" i="213"/>
  <c r="L32" i="210"/>
  <c r="N37" i="203"/>
  <c r="R5" i="204"/>
  <c r="N40" i="195"/>
  <c r="M33" i="208"/>
  <c r="S37" i="202"/>
  <c r="O14" i="201"/>
  <c r="P3" i="211"/>
  <c r="S46" i="208"/>
  <c r="Q20" i="210"/>
  <c r="R24" i="199"/>
  <c r="L6" i="202"/>
  <c r="M45" i="199"/>
  <c r="T40" i="211"/>
  <c r="R9" i="212"/>
  <c r="Q24" i="206"/>
  <c r="T34" i="214"/>
  <c r="P13" i="203"/>
  <c r="N4" i="203"/>
  <c r="Q9" i="202"/>
  <c r="M14" i="195"/>
  <c r="T13" i="204"/>
  <c r="R35" i="211"/>
  <c r="S10" i="206"/>
  <c r="L42" i="208"/>
  <c r="N17" i="203"/>
  <c r="P38" i="208"/>
  <c r="R39" i="198"/>
  <c r="S20" i="203"/>
  <c r="R9" i="205"/>
  <c r="O35" i="205"/>
  <c r="P43" i="207"/>
  <c r="M36" i="207"/>
  <c r="O43" i="206"/>
  <c r="R41" i="207"/>
  <c r="N30" i="204"/>
  <c r="T19" i="207"/>
  <c r="L3" i="214"/>
  <c r="O32" i="214"/>
  <c r="R13" i="202"/>
  <c r="O7" i="209"/>
  <c r="M12" i="199"/>
  <c r="L21" i="206"/>
  <c r="U46" i="200"/>
  <c r="O42" i="203"/>
  <c r="P24" i="202"/>
  <c r="P40" i="204"/>
  <c r="Q13" i="200"/>
  <c r="P39" i="207"/>
  <c r="U30" i="206"/>
  <c r="L17" i="206"/>
  <c r="R35" i="208"/>
  <c r="T40" i="204"/>
  <c r="T46" i="207"/>
  <c r="R4" i="198"/>
  <c r="U30" i="198"/>
  <c r="U17" i="203"/>
  <c r="O22" i="209"/>
  <c r="P15" i="209"/>
  <c r="O12" i="210"/>
  <c r="L17" i="209"/>
  <c r="M41" i="210"/>
  <c r="S12" i="198"/>
  <c r="R30" i="204"/>
  <c r="M35" i="199"/>
  <c r="L9" i="208"/>
  <c r="N31" i="201"/>
  <c r="P27" i="209"/>
  <c r="T45" i="203"/>
  <c r="O26" i="205"/>
  <c r="Q45" i="192"/>
  <c r="O15" i="211"/>
  <c r="M38" i="198"/>
  <c r="P13" i="196"/>
  <c r="P23" i="201"/>
  <c r="S10" i="212"/>
  <c r="Q33" i="206"/>
  <c r="Q40" i="214"/>
  <c r="M21" i="207"/>
  <c r="O20" i="207"/>
  <c r="U13" i="207"/>
  <c r="R44" i="207"/>
  <c r="N23" i="210"/>
  <c r="S20" i="206"/>
  <c r="O21" i="211"/>
  <c r="M19" i="214"/>
  <c r="U17" i="212"/>
  <c r="U13" i="211"/>
  <c r="R42" i="208"/>
  <c r="N44" i="201"/>
  <c r="O37" i="196"/>
  <c r="N9" i="203"/>
  <c r="T43" i="200"/>
  <c r="P45" i="211"/>
  <c r="M23" i="198"/>
  <c r="S5" i="197"/>
  <c r="P26" i="211"/>
  <c r="T4" i="202"/>
  <c r="M2" i="208"/>
  <c r="L21" i="207"/>
  <c r="Q5" i="209"/>
  <c r="U4" i="207"/>
  <c r="S24" i="200"/>
  <c r="N9" i="214"/>
  <c r="T46" i="203"/>
  <c r="O22" i="207"/>
  <c r="N36" i="206"/>
  <c r="M10" i="211"/>
  <c r="N6" i="199"/>
  <c r="T7" i="212"/>
  <c r="U43" i="207"/>
  <c r="O3" i="208"/>
  <c r="M45" i="204"/>
  <c r="O19" i="198"/>
  <c r="R31" i="205"/>
  <c r="T24" i="209"/>
  <c r="T25" i="214"/>
  <c r="R25" i="210"/>
  <c r="T46" i="201"/>
  <c r="P11" i="212"/>
  <c r="M7" i="205"/>
  <c r="N34" i="202"/>
  <c r="N14" i="207"/>
  <c r="Q16" i="212"/>
  <c r="Q41" i="206"/>
  <c r="T19" i="213"/>
  <c r="T5" i="208"/>
  <c r="S13" i="208"/>
  <c r="T43" i="202"/>
  <c r="S23" i="212"/>
  <c r="L8" i="205"/>
  <c r="O19" i="204"/>
  <c r="S32" i="207"/>
  <c r="T14" i="203"/>
  <c r="S16" i="211"/>
  <c r="T12" i="211"/>
  <c r="R29" i="199"/>
  <c r="U28" i="200"/>
  <c r="T45" i="209"/>
  <c r="Q8" i="203"/>
  <c r="U25" i="198"/>
  <c r="L46" i="205"/>
  <c r="S45" i="205"/>
  <c r="L12" i="207"/>
  <c r="T27" i="194"/>
  <c r="O41" i="206"/>
  <c r="Q40" i="211"/>
  <c r="Q13" i="199"/>
  <c r="L11" i="210"/>
  <c r="U39" i="208"/>
  <c r="T44" i="211"/>
  <c r="M20" i="213"/>
  <c r="R28" i="210"/>
  <c r="S11" i="196"/>
  <c r="T27" i="208"/>
  <c r="M14" i="211"/>
  <c r="R34" i="208"/>
  <c r="U45" i="202"/>
  <c r="R35" i="206"/>
  <c r="R24" i="211"/>
  <c r="T37" i="203"/>
  <c r="T14" i="200"/>
  <c r="Q8" i="196"/>
  <c r="S33" i="203"/>
  <c r="Q40" i="209"/>
  <c r="P17" i="211"/>
  <c r="M27" i="210"/>
  <c r="R14" i="213"/>
  <c r="P35" i="210"/>
  <c r="R7" i="213"/>
  <c r="R28" i="212"/>
  <c r="T44" i="208"/>
  <c r="O17" i="214"/>
  <c r="Q29" i="210"/>
  <c r="O5" i="212"/>
  <c r="L37" i="204"/>
  <c r="R5" i="211"/>
  <c r="N8" i="202"/>
  <c r="P9" i="208"/>
  <c r="S37" i="207"/>
  <c r="O23" i="200"/>
  <c r="N9" i="204"/>
  <c r="M29" i="207"/>
  <c r="Q22" i="207"/>
  <c r="U23" i="211"/>
  <c r="S8" i="203"/>
  <c r="S11" i="211"/>
  <c r="T29" i="205"/>
  <c r="L29" i="193"/>
  <c r="O35" i="213"/>
  <c r="P34" i="199"/>
  <c r="T9" i="197"/>
  <c r="Q45" i="210"/>
  <c r="S42" i="209"/>
  <c r="L9" i="207"/>
  <c r="L46" i="194"/>
  <c r="U42" i="209"/>
  <c r="T34" i="209"/>
  <c r="M38" i="207"/>
  <c r="S41" i="204"/>
  <c r="Q43" i="209"/>
  <c r="O23" i="208"/>
  <c r="S9" i="204"/>
  <c r="S43" i="198"/>
  <c r="N18" i="207"/>
  <c r="T7" i="201"/>
  <c r="L23" i="204"/>
  <c r="Q30" i="205"/>
  <c r="P8" i="211"/>
  <c r="M18" i="204"/>
  <c r="Q38" i="205"/>
  <c r="O8" i="210"/>
  <c r="S17" i="202"/>
  <c r="M6" i="191"/>
  <c r="R18" i="211"/>
  <c r="P2" i="209"/>
  <c r="S7" i="205"/>
  <c r="U31" i="211"/>
  <c r="L4" i="206"/>
  <c r="R8" i="204"/>
  <c r="R9" i="206"/>
  <c r="O16" i="212"/>
  <c r="O18" i="208"/>
  <c r="R6" i="208"/>
  <c r="U33" i="208"/>
  <c r="L14" i="209"/>
  <c r="U24" i="212"/>
  <c r="N43" i="212"/>
  <c r="M15" i="207"/>
  <c r="U30" i="211"/>
  <c r="N12" i="208"/>
  <c r="U36" i="203"/>
  <c r="R29" i="203"/>
  <c r="Q28" i="205"/>
  <c r="M46" i="199"/>
  <c r="Q15" i="201"/>
  <c r="L12" i="206"/>
  <c r="T21" i="203"/>
  <c r="R33" i="213"/>
  <c r="U38" i="212"/>
  <c r="P7" i="207"/>
  <c r="T25" i="213"/>
  <c r="T15" i="210"/>
  <c r="L41" i="204"/>
  <c r="U10" i="206"/>
  <c r="U12" i="210"/>
  <c r="L9" i="206"/>
  <c r="O26" i="200"/>
  <c r="T40" i="208"/>
  <c r="L43" i="208"/>
  <c r="P45" i="209"/>
  <c r="M45" i="209"/>
  <c r="U5" i="207"/>
  <c r="N40" i="206"/>
  <c r="Q28" i="209"/>
  <c r="N34" i="198"/>
  <c r="L16" i="208"/>
  <c r="S39" i="211"/>
  <c r="O41" i="203"/>
  <c r="Q21" i="198"/>
  <c r="M18" i="203"/>
  <c r="M41" i="192"/>
  <c r="N5" i="205"/>
  <c r="R41" i="210"/>
  <c r="S26" i="205"/>
  <c r="Q24" i="211"/>
  <c r="U15" i="205"/>
  <c r="R30" i="207"/>
  <c r="L44" i="206"/>
  <c r="P44" i="211"/>
  <c r="N34" i="204"/>
  <c r="N28" i="210"/>
  <c r="L3" i="213"/>
  <c r="Q26" i="208"/>
  <c r="T38" i="209"/>
  <c r="L32" i="201"/>
  <c r="R27" i="195"/>
  <c r="L36" i="203"/>
  <c r="S33" i="206"/>
  <c r="Q6" i="209"/>
  <c r="O6" i="212"/>
  <c r="M2" i="202"/>
  <c r="U41" i="207"/>
  <c r="T8" i="209"/>
  <c r="L9" i="200"/>
  <c r="U6" i="201"/>
  <c r="O16" i="211"/>
  <c r="P23" i="207"/>
  <c r="N24" i="205"/>
  <c r="T39" i="207"/>
  <c r="P4" i="204"/>
  <c r="U42" i="208"/>
  <c r="Q25" i="208"/>
  <c r="S7" i="208"/>
  <c r="M22" i="206"/>
  <c r="O31" i="209"/>
  <c r="Q37" i="214"/>
  <c r="Q13" i="209"/>
  <c r="S19" i="208"/>
  <c r="R46" i="210"/>
  <c r="R27" i="205"/>
  <c r="P37" i="200"/>
  <c r="U17" i="195"/>
  <c r="O35" i="212"/>
  <c r="T30" i="203"/>
  <c r="N7" i="206"/>
  <c r="N41" i="205"/>
  <c r="P8" i="202"/>
  <c r="U20" i="201"/>
  <c r="T41" i="205"/>
  <c r="O18" i="199"/>
  <c r="Q33" i="204"/>
  <c r="S15" i="207"/>
  <c r="N31" i="213"/>
  <c r="S43" i="201"/>
  <c r="N14" i="206"/>
  <c r="L13" i="206"/>
  <c r="M41" i="212"/>
  <c r="O26" i="199"/>
  <c r="T31" i="197"/>
  <c r="U27" i="204"/>
  <c r="O3" i="209"/>
  <c r="P11" i="204"/>
  <c r="L42" i="200"/>
  <c r="S10" i="204"/>
  <c r="S25" i="203"/>
  <c r="T11" i="205"/>
  <c r="U34" i="204"/>
  <c r="N8" i="208"/>
  <c r="Q33" i="201"/>
  <c r="N36" i="202"/>
  <c r="S6" i="204"/>
  <c r="U40" i="205"/>
  <c r="N11" i="214"/>
  <c r="L16" i="210"/>
  <c r="T41" i="207"/>
  <c r="T12" i="210"/>
  <c r="S13" i="207"/>
  <c r="L18" i="204"/>
  <c r="S24" i="197"/>
  <c r="S5" i="209"/>
  <c r="Q28" i="211"/>
  <c r="O20" i="193"/>
  <c r="U12" i="198"/>
  <c r="R30" i="203"/>
  <c r="Q37" i="212"/>
  <c r="L20" i="202"/>
  <c r="Q17" i="200"/>
  <c r="Q12" i="206"/>
  <c r="O9" i="210"/>
  <c r="U45" i="204"/>
  <c r="R4" i="202"/>
  <c r="U33" i="212"/>
  <c r="M31" i="208"/>
  <c r="Q10" i="203"/>
  <c r="N21" i="202"/>
  <c r="S5" i="206"/>
  <c r="M29" i="202"/>
  <c r="S4" i="203"/>
  <c r="M15" i="203"/>
  <c r="R22" i="198"/>
  <c r="Q12" i="198"/>
  <c r="M46" i="207"/>
  <c r="N24" i="199"/>
  <c r="U26" i="205"/>
  <c r="P42" i="203"/>
  <c r="N45" i="207"/>
  <c r="O41" i="205"/>
  <c r="Q46" i="214"/>
  <c r="R19" i="206"/>
  <c r="L41" i="208"/>
  <c r="U32" i="204"/>
  <c r="T30" i="201"/>
  <c r="T15" i="192"/>
  <c r="S26" i="200"/>
  <c r="R11" i="207"/>
  <c r="S36" i="204"/>
  <c r="O41" i="200"/>
  <c r="P33" i="195"/>
  <c r="P26" i="199"/>
  <c r="Q34" i="203"/>
  <c r="L12" i="204"/>
  <c r="S19" i="205"/>
  <c r="M26" i="196"/>
  <c r="T19" i="204"/>
  <c r="M13" i="197"/>
  <c r="O36" i="204"/>
  <c r="P36" i="205"/>
  <c r="T19" i="202"/>
  <c r="M19" i="204"/>
  <c r="Q11" i="208"/>
  <c r="L34" i="206"/>
  <c r="O39" i="202"/>
  <c r="U25" i="209"/>
  <c r="N24" i="202"/>
  <c r="L40" i="195"/>
  <c r="U37" i="205"/>
  <c r="P41" i="203"/>
  <c r="M8" i="197"/>
  <c r="L27" i="205"/>
  <c r="O17" i="205"/>
  <c r="S44" i="203"/>
  <c r="Q19" i="213"/>
  <c r="Q15" i="210"/>
  <c r="P38" i="214"/>
  <c r="T5" i="204"/>
  <c r="M11" i="208"/>
  <c r="L3" i="195"/>
  <c r="Q43" i="202"/>
  <c r="M45" i="208"/>
  <c r="O13" i="211"/>
  <c r="M18" i="208"/>
  <c r="N39" i="209"/>
  <c r="P21" i="203"/>
  <c r="M26" i="213"/>
  <c r="L28" i="207"/>
  <c r="N24" i="196"/>
  <c r="L28" i="208"/>
  <c r="R42" i="197"/>
  <c r="M16" i="206"/>
  <c r="O8" i="207"/>
  <c r="N15" i="214"/>
  <c r="S15" i="206"/>
  <c r="O42" i="209"/>
  <c r="P18" i="207"/>
  <c r="T29" i="203"/>
  <c r="R40" i="202"/>
  <c r="P38" i="201"/>
  <c r="N22" i="212"/>
  <c r="N24" i="208"/>
  <c r="P7" i="205"/>
  <c r="M42" i="214"/>
  <c r="L33" i="209"/>
  <c r="T17" i="211"/>
  <c r="U26" i="206"/>
  <c r="U23" i="200"/>
  <c r="S7" i="206"/>
  <c r="U45" i="205"/>
  <c r="T20" i="203"/>
  <c r="Q6" i="206"/>
  <c r="R13" i="214"/>
  <c r="S4" i="210"/>
  <c r="Q32" i="206"/>
  <c r="L5" i="202"/>
  <c r="U31" i="208"/>
  <c r="L29" i="202"/>
  <c r="M11" i="198"/>
  <c r="T36" i="211"/>
  <c r="U18" i="214"/>
  <c r="O4" i="206"/>
  <c r="P8" i="203"/>
  <c r="M33" i="198"/>
  <c r="N28" i="213"/>
  <c r="R28" i="204"/>
  <c r="L31" i="205"/>
  <c r="M28" i="209"/>
  <c r="Q35" i="201"/>
  <c r="N46" i="212"/>
  <c r="T43" i="205"/>
  <c r="S19" i="214"/>
  <c r="Q11" i="203"/>
  <c r="L15" i="210"/>
  <c r="L21" i="203"/>
  <c r="L12" i="208"/>
  <c r="S33" i="197"/>
  <c r="R19" i="208"/>
  <c r="R33" i="199"/>
  <c r="S3" i="201"/>
  <c r="Q38" i="202"/>
  <c r="O44" i="210"/>
  <c r="L44" i="203"/>
  <c r="Q17" i="211"/>
  <c r="R33" i="204"/>
  <c r="M16" i="210"/>
  <c r="M39" i="201"/>
  <c r="O43" i="204"/>
  <c r="Q36" i="204"/>
  <c r="M6" i="205"/>
  <c r="Q35" i="210"/>
  <c r="T31" i="205"/>
  <c r="S20" i="201"/>
  <c r="R45" i="203"/>
  <c r="S17" i="200"/>
  <c r="U21" i="207"/>
  <c r="P16" i="205"/>
  <c r="P3" i="204"/>
  <c r="S19" i="202"/>
  <c r="L40" i="208"/>
  <c r="N31" i="211"/>
  <c r="Q40" i="203"/>
  <c r="M19" i="208"/>
  <c r="R5" i="199"/>
  <c r="R27" i="207"/>
  <c r="P14" i="207"/>
  <c r="U2" i="198"/>
  <c r="N31" i="206"/>
  <c r="R3" i="201"/>
  <c r="T43" i="201"/>
  <c r="R41" i="200"/>
  <c r="M25" i="200"/>
  <c r="Q22" i="204"/>
  <c r="T24" i="199"/>
  <c r="T28" i="208"/>
  <c r="Q41" i="212"/>
  <c r="N38" i="208"/>
  <c r="L46" i="209"/>
  <c r="R6" i="207"/>
  <c r="U24" i="206"/>
  <c r="M9" i="201"/>
  <c r="N40" i="191"/>
  <c r="Q25" i="212"/>
  <c r="P31" i="208"/>
  <c r="U45" i="212"/>
  <c r="P46" i="210"/>
  <c r="M26" i="202"/>
  <c r="O22" i="208"/>
  <c r="R39" i="205"/>
  <c r="L18" i="211"/>
  <c r="M23" i="199"/>
  <c r="O6" i="205"/>
  <c r="T42" i="204"/>
  <c r="M26" i="206"/>
  <c r="P13" i="206"/>
  <c r="P11" i="207"/>
  <c r="S6" i="205"/>
  <c r="P6" i="205"/>
  <c r="R17" i="209"/>
  <c r="Q37" i="205"/>
  <c r="P25" i="207"/>
  <c r="U36" i="213"/>
  <c r="U12" i="199"/>
  <c r="R38" i="196"/>
  <c r="U39" i="211"/>
  <c r="P12" i="206"/>
  <c r="R26" i="202"/>
  <c r="P10" i="213"/>
  <c r="L6" i="209"/>
  <c r="U29" i="206"/>
  <c r="R9" i="200"/>
  <c r="P45" i="207"/>
  <c r="P8" i="208"/>
  <c r="U27" i="205"/>
  <c r="S46" i="198"/>
  <c r="S13" i="209"/>
  <c r="S21" i="211"/>
  <c r="Q18" i="204"/>
  <c r="N28" i="212"/>
  <c r="L35" i="207"/>
  <c r="M9" i="207"/>
  <c r="R40" i="209"/>
  <c r="S32" i="211"/>
  <c r="U43" i="212"/>
  <c r="R17" i="203"/>
  <c r="Q36" i="208"/>
  <c r="P43" i="198"/>
  <c r="T23" i="205"/>
  <c r="T35" i="209"/>
  <c r="L24" i="206"/>
  <c r="Q27" i="206"/>
  <c r="O33" i="207"/>
  <c r="Q34" i="213"/>
  <c r="O32" i="208"/>
  <c r="P46" i="201"/>
  <c r="U33" i="205"/>
  <c r="M25" i="211"/>
  <c r="T15" i="200"/>
  <c r="L44" i="200"/>
  <c r="T20" i="209"/>
  <c r="L28" i="209"/>
  <c r="Q33" i="207"/>
  <c r="U13" i="203"/>
  <c r="T45" i="205"/>
  <c r="P22" i="203"/>
  <c r="M25" i="213"/>
  <c r="T41" i="204"/>
  <c r="P5" i="206"/>
  <c r="L37" i="210"/>
  <c r="P27" i="203"/>
  <c r="M19" i="207"/>
  <c r="L18" i="212"/>
  <c r="L36" i="199"/>
  <c r="U32" i="211"/>
  <c r="L5" i="204"/>
  <c r="O15" i="206"/>
  <c r="P5" i="204"/>
  <c r="O13" i="207"/>
  <c r="L26" i="211"/>
  <c r="N38" i="211"/>
  <c r="M28" i="214"/>
  <c r="R34" i="213"/>
  <c r="T6" i="205"/>
  <c r="L4" i="200"/>
  <c r="S13" i="206"/>
  <c r="O20" i="212"/>
  <c r="L44" i="207"/>
  <c r="P40" i="212"/>
  <c r="Q22" i="211"/>
  <c r="S41" i="202"/>
  <c r="O36" i="203"/>
  <c r="R10" i="205"/>
  <c r="P6" i="203"/>
  <c r="N20" i="203"/>
  <c r="P28" i="212"/>
  <c r="M29" i="196"/>
  <c r="O2" i="210"/>
  <c r="O23" i="207"/>
  <c r="P15" i="206"/>
  <c r="M10" i="212"/>
  <c r="U37" i="206"/>
  <c r="L31" i="212"/>
  <c r="M26" i="204"/>
  <c r="R9" i="210"/>
  <c r="S41" i="207"/>
  <c r="L22" i="210"/>
  <c r="O6" i="208"/>
  <c r="S37" i="195"/>
  <c r="O20" i="206"/>
  <c r="T12" i="206"/>
  <c r="M16" i="193"/>
  <c r="U11" i="212"/>
  <c r="N34" i="203"/>
  <c r="P14" i="199"/>
  <c r="M2" i="203"/>
  <c r="T6" i="207"/>
  <c r="R31" i="209"/>
  <c r="N20" i="197"/>
  <c r="U24" i="200"/>
  <c r="O45" i="201"/>
  <c r="N30" i="205"/>
  <c r="P42" i="201"/>
  <c r="T26" i="205"/>
  <c r="U46" i="211"/>
  <c r="O10" i="195"/>
  <c r="L8" i="201"/>
  <c r="Q14" i="206"/>
  <c r="Q13" i="208"/>
  <c r="Q34" i="204"/>
  <c r="R17" i="207"/>
  <c r="O34" i="194"/>
  <c r="O12" i="199"/>
  <c r="U17" i="206"/>
  <c r="L34" i="198"/>
  <c r="L4" i="207"/>
  <c r="O17" i="204"/>
  <c r="O26" i="208"/>
  <c r="R27" i="200"/>
  <c r="T17" i="203"/>
  <c r="P38" i="205"/>
  <c r="P46" i="207"/>
  <c r="P29" i="204"/>
  <c r="P28" i="200"/>
  <c r="R7" i="204"/>
  <c r="Q7" i="211"/>
  <c r="L12" i="201"/>
  <c r="O3" i="204"/>
  <c r="R25" i="202"/>
  <c r="M5" i="212"/>
  <c r="R19" i="213"/>
  <c r="M26" i="211"/>
  <c r="M13" i="206"/>
  <c r="Q23" i="202"/>
  <c r="U7" i="210"/>
  <c r="N24" i="213"/>
  <c r="U24" i="199"/>
  <c r="M22" i="208"/>
  <c r="L14" i="212"/>
  <c r="P24" i="212"/>
  <c r="Q41" i="202"/>
  <c r="Q42" i="214"/>
  <c r="M31" i="207"/>
  <c r="S27" i="203"/>
  <c r="N2" i="209"/>
  <c r="N6" i="214"/>
  <c r="O4" i="200"/>
  <c r="Q28" i="199"/>
  <c r="O11" i="203"/>
  <c r="N26" i="210"/>
  <c r="P27" i="212"/>
  <c r="S5" i="211"/>
  <c r="O19" i="208"/>
  <c r="T46" i="210"/>
  <c r="O7" i="208"/>
  <c r="R25" i="204"/>
  <c r="R14" i="211"/>
  <c r="P30" i="210"/>
  <c r="P10" i="208"/>
  <c r="P33" i="207"/>
  <c r="N12" i="197"/>
  <c r="Q11" i="212"/>
  <c r="O41" i="204"/>
  <c r="N10" i="208"/>
  <c r="S31" i="207"/>
  <c r="L24" i="198"/>
  <c r="S23" i="204"/>
  <c r="R8" i="209"/>
  <c r="L44" i="213"/>
  <c r="L22" i="202"/>
  <c r="P40" i="207"/>
  <c r="P37" i="209"/>
  <c r="U9" i="208"/>
  <c r="N13" i="201"/>
  <c r="P16" i="208"/>
  <c r="S9" i="209"/>
  <c r="M18" i="198"/>
  <c r="R45" i="199"/>
  <c r="T29" i="199"/>
  <c r="O39" i="203"/>
  <c r="M37" i="214"/>
  <c r="S25" i="207"/>
  <c r="R40" i="204"/>
  <c r="R37" i="203"/>
  <c r="S16" i="199"/>
  <c r="L28" i="203"/>
  <c r="O32" i="203"/>
  <c r="N45" i="205"/>
  <c r="P10" i="203"/>
  <c r="N20" i="205"/>
  <c r="M32" i="204"/>
  <c r="U16" i="210"/>
  <c r="M8" i="213"/>
  <c r="P27" i="207"/>
  <c r="U42" i="211"/>
  <c r="P18" i="213"/>
  <c r="O13" i="214"/>
  <c r="O11" i="206"/>
  <c r="T24" i="208"/>
  <c r="R37" i="208"/>
  <c r="S43" i="206"/>
  <c r="R37" i="209"/>
  <c r="U18" i="212"/>
  <c r="M13" i="204"/>
  <c r="T20" i="214"/>
  <c r="U12" i="207"/>
  <c r="S22" i="212"/>
  <c r="S7" i="211"/>
  <c r="P13" i="210"/>
  <c r="S2" i="207"/>
  <c r="T46" i="205"/>
  <c r="P36" i="210"/>
  <c r="N37" i="213"/>
  <c r="N42" i="206"/>
  <c r="R17" i="208"/>
  <c r="R44" i="209"/>
  <c r="S32" i="208"/>
  <c r="M29" i="203"/>
  <c r="L23" i="205"/>
  <c r="S8" i="209"/>
  <c r="Q12" i="210"/>
  <c r="U43" i="210"/>
  <c r="P17" i="208"/>
  <c r="U8" i="204"/>
  <c r="T17" i="206"/>
  <c r="N34" i="206"/>
  <c r="U42" i="205"/>
  <c r="L18" i="210"/>
  <c r="L45" i="202"/>
  <c r="Q13" i="205"/>
  <c r="Q33" i="203"/>
  <c r="L45" i="206"/>
  <c r="O23" i="201"/>
  <c r="T3" i="193"/>
  <c r="T45" i="197"/>
  <c r="U34" i="208"/>
  <c r="T33" i="204"/>
  <c r="S20" i="195"/>
  <c r="O43" i="207"/>
  <c r="R6" i="209"/>
  <c r="O21" i="210"/>
  <c r="R18" i="202"/>
  <c r="U2" i="205"/>
  <c r="N25" i="205"/>
  <c r="P28" i="213"/>
  <c r="O46" i="213"/>
  <c r="O37" i="214"/>
  <c r="T34" i="208"/>
  <c r="M6" i="208"/>
  <c r="M5" i="211"/>
  <c r="Q8" i="208"/>
  <c r="N38" i="199"/>
  <c r="P14" i="205"/>
  <c r="T23" i="213"/>
  <c r="N36" i="207"/>
  <c r="L20" i="206"/>
  <c r="S43" i="208"/>
  <c r="M14" i="213"/>
  <c r="R14" i="200"/>
  <c r="N21" i="198"/>
  <c r="N46" i="208"/>
  <c r="N32" i="212"/>
  <c r="P34" i="205"/>
  <c r="T32" i="214"/>
  <c r="R29" i="211"/>
  <c r="O13" i="200"/>
  <c r="L18" i="208"/>
  <c r="P7" i="202"/>
  <c r="T20" i="204"/>
  <c r="L28" i="204"/>
  <c r="P22" i="211"/>
  <c r="O40" i="212"/>
  <c r="R3" i="202"/>
  <c r="U44" i="211"/>
  <c r="M36" i="212"/>
  <c r="T12" i="214"/>
  <c r="T6" i="208"/>
  <c r="R33" i="210"/>
  <c r="T10" i="210"/>
  <c r="O33" i="209"/>
  <c r="Q6" i="207"/>
  <c r="L25" i="198"/>
  <c r="Q27" i="204"/>
  <c r="P18" i="201"/>
  <c r="R37" i="207"/>
  <c r="N17" i="205"/>
  <c r="N11" i="204"/>
  <c r="U21" i="196"/>
  <c r="O34" i="209"/>
  <c r="P9" i="206"/>
  <c r="L33" i="198"/>
  <c r="M15" i="213"/>
  <c r="R16" i="214"/>
  <c r="P29" i="210"/>
  <c r="T2" i="210"/>
  <c r="S34" i="212"/>
  <c r="T14" i="202"/>
  <c r="Q29" i="207"/>
  <c r="P4" i="206"/>
  <c r="L44" i="205"/>
  <c r="R34" i="205"/>
  <c r="N33" i="198"/>
  <c r="L8" i="208"/>
  <c r="N30" i="206"/>
  <c r="M11" i="209"/>
  <c r="S41" i="200"/>
  <c r="T25" i="209"/>
  <c r="U19" i="206"/>
  <c r="P8" i="206"/>
  <c r="L34" i="212"/>
  <c r="Q15" i="212"/>
  <c r="U26" i="203"/>
  <c r="L27" i="206"/>
  <c r="U15" i="208"/>
  <c r="U31" i="206"/>
  <c r="T39" i="213"/>
  <c r="M17" i="209"/>
  <c r="R2" i="211"/>
  <c r="P18" i="210"/>
  <c r="T21" i="206"/>
  <c r="M6" i="207"/>
  <c r="N18" i="203"/>
  <c r="U13" i="209"/>
  <c r="L41" i="210"/>
  <c r="P19" i="200"/>
  <c r="U5" i="203"/>
  <c r="R20" i="207"/>
  <c r="T44" i="201"/>
  <c r="S20" i="214"/>
  <c r="O9" i="205"/>
  <c r="Q24" i="205"/>
  <c r="U25" i="203"/>
  <c r="U41" i="204"/>
  <c r="S8" i="195"/>
  <c r="O15" i="208"/>
  <c r="T23" i="209"/>
  <c r="Q19" i="200"/>
  <c r="O4" i="198"/>
  <c r="Q35" i="204"/>
  <c r="S31" i="204"/>
  <c r="O15" i="202"/>
  <c r="U44" i="205"/>
  <c r="S45" i="209"/>
  <c r="M31" i="200"/>
  <c r="T21" i="209"/>
  <c r="R3" i="206"/>
  <c r="P7" i="209"/>
  <c r="T14" i="201"/>
  <c r="L2" i="197"/>
  <c r="S40" i="202"/>
  <c r="R20" i="206"/>
  <c r="U10" i="207"/>
  <c r="P31" i="204"/>
  <c r="L30" i="200"/>
  <c r="O32" i="204"/>
  <c r="O27" i="197"/>
  <c r="U46" i="199"/>
  <c r="Q29" i="209"/>
  <c r="Q7" i="207"/>
  <c r="L14" i="202"/>
  <c r="Q7" i="205"/>
  <c r="U4" i="211"/>
  <c r="Q35" i="199"/>
  <c r="L31" i="213"/>
  <c r="N4" i="206"/>
  <c r="S12" i="200"/>
  <c r="R22" i="201"/>
  <c r="N6" i="200"/>
  <c r="M44" i="202"/>
  <c r="R14" i="208"/>
  <c r="N32" i="199"/>
  <c r="P17" i="200"/>
  <c r="P4" i="202"/>
  <c r="R34" i="207"/>
  <c r="T24" i="202"/>
  <c r="L14" i="206"/>
  <c r="N46" i="200"/>
  <c r="T38" i="203"/>
  <c r="R8" i="193"/>
  <c r="R43" i="208"/>
  <c r="Q26" i="205"/>
  <c r="O3" i="210"/>
  <c r="U28" i="207"/>
  <c r="M36" i="200"/>
  <c r="Q40" i="200"/>
  <c r="O25" i="208"/>
  <c r="U26" i="209"/>
  <c r="M14" i="208"/>
  <c r="R36" i="207"/>
  <c r="P19" i="207"/>
  <c r="S17" i="209"/>
  <c r="P29" i="209"/>
  <c r="Q10" i="205"/>
  <c r="U10" i="210"/>
  <c r="N23" i="206"/>
  <c r="N5" i="208"/>
  <c r="P6" i="207"/>
  <c r="P14" i="200"/>
  <c r="S46" i="204"/>
  <c r="T37" i="198"/>
  <c r="S41" i="208"/>
  <c r="N28" i="204"/>
  <c r="T24" i="195"/>
  <c r="T11" i="211"/>
  <c r="P6" i="204"/>
  <c r="N19" i="209"/>
  <c r="S43" i="210"/>
  <c r="R23" i="200"/>
  <c r="L46" i="203"/>
  <c r="Q19" i="211"/>
  <c r="S15" i="202"/>
  <c r="N29" i="193"/>
  <c r="R9" i="197"/>
  <c r="P6" i="202"/>
  <c r="Q27" i="209"/>
  <c r="S39" i="212"/>
  <c r="T7" i="207"/>
  <c r="R35" i="209"/>
  <c r="T46" i="204"/>
  <c r="T12" i="204"/>
  <c r="S26" i="204"/>
  <c r="L39" i="193"/>
  <c r="T38" i="206"/>
  <c r="Q30" i="210"/>
  <c r="T15" i="194"/>
  <c r="Q41" i="197"/>
  <c r="R45" i="208"/>
  <c r="P41" i="204"/>
  <c r="U9" i="198"/>
  <c r="L3" i="207"/>
  <c r="M46" i="211"/>
  <c r="Q2" i="207"/>
  <c r="P22" i="205"/>
  <c r="M16" i="208"/>
  <c r="O19" i="209"/>
  <c r="Q32" i="211"/>
  <c r="N6" i="195"/>
  <c r="L7" i="214"/>
  <c r="S29" i="203"/>
  <c r="Q4" i="206"/>
  <c r="M39" i="199"/>
  <c r="P5" i="207"/>
  <c r="U29" i="212"/>
  <c r="R5" i="200"/>
  <c r="U14" i="201"/>
  <c r="T12" i="202"/>
  <c r="M11" i="204"/>
  <c r="T19" i="206"/>
  <c r="U37" i="199"/>
  <c r="T6" i="198"/>
  <c r="O44" i="205"/>
  <c r="S42" i="203"/>
  <c r="N28" i="202"/>
  <c r="T13" i="197"/>
  <c r="N36" i="212"/>
  <c r="N38" i="204"/>
  <c r="R24" i="198"/>
  <c r="P28" i="214"/>
  <c r="S19" i="203"/>
  <c r="P45" i="199"/>
  <c r="O3" i="194"/>
  <c r="L7" i="209"/>
  <c r="M31" i="212"/>
  <c r="N7" i="205"/>
  <c r="M20" i="203"/>
  <c r="M25" i="214"/>
  <c r="U37" i="204"/>
  <c r="O18" i="209"/>
  <c r="T3" i="209"/>
  <c r="P36" i="208"/>
  <c r="P19" i="201"/>
  <c r="P35" i="198"/>
  <c r="U16" i="203"/>
  <c r="Q23" i="199"/>
  <c r="L31" i="207"/>
  <c r="S2" i="203"/>
  <c r="L25" i="206"/>
  <c r="R3" i="210"/>
  <c r="L11" i="208"/>
  <c r="O42" i="200"/>
  <c r="U41" i="198"/>
  <c r="N11" i="202"/>
  <c r="T28" i="206"/>
  <c r="Q39" i="207"/>
  <c r="M17" i="212"/>
  <c r="U45" i="210"/>
  <c r="T45" i="204"/>
  <c r="L43" i="200"/>
  <c r="L8" i="209"/>
  <c r="T26" i="208"/>
  <c r="L35" i="203"/>
  <c r="T14" i="199"/>
  <c r="T11" i="202"/>
  <c r="O18" i="194"/>
  <c r="L34" i="202"/>
  <c r="N23" i="209"/>
  <c r="S43" i="204"/>
  <c r="N6" i="209"/>
  <c r="U7" i="213"/>
  <c r="O19" i="210"/>
  <c r="L44" i="212"/>
  <c r="S22" i="208"/>
  <c r="S15" i="212"/>
  <c r="U25" i="205"/>
  <c r="R6" i="210"/>
  <c r="U23" i="207"/>
  <c r="S39" i="206"/>
  <c r="O41" i="214"/>
  <c r="L36" i="206"/>
  <c r="M17" i="211"/>
  <c r="N40" i="208"/>
  <c r="M43" i="202"/>
  <c r="Q18" i="198"/>
  <c r="P31" i="207"/>
  <c r="T8" i="202"/>
  <c r="P30" i="206"/>
  <c r="T13" i="208"/>
  <c r="S3" i="203"/>
  <c r="U18" i="211"/>
  <c r="O25" i="207"/>
  <c r="N33" i="196"/>
  <c r="S40" i="210"/>
  <c r="P13" i="205"/>
  <c r="L19" i="198"/>
  <c r="T23" i="210"/>
  <c r="N18" i="210"/>
  <c r="Q32" i="210"/>
  <c r="L17" i="208"/>
  <c r="S40" i="195"/>
  <c r="N30" i="211"/>
  <c r="R31" i="203"/>
  <c r="M35" i="202"/>
  <c r="L23" i="210"/>
  <c r="P35" i="197"/>
  <c r="O22" i="203"/>
  <c r="R21" i="204"/>
  <c r="Q15" i="194"/>
  <c r="Q14" i="205"/>
  <c r="U28" i="206"/>
  <c r="Q7" i="199"/>
  <c r="M10" i="201"/>
  <c r="S40" i="201"/>
  <c r="L45" i="207"/>
  <c r="Q30" i="196"/>
  <c r="Q12" i="191"/>
  <c r="O23" i="206"/>
  <c r="O39" i="197"/>
  <c r="S13" i="196"/>
  <c r="O4" i="205"/>
  <c r="U23" i="204"/>
  <c r="P36" i="203"/>
  <c r="O19" i="191"/>
  <c r="R40" i="193"/>
  <c r="R44" i="192"/>
  <c r="M14" i="196"/>
  <c r="M21" i="192"/>
  <c r="L45" i="204"/>
  <c r="N30" i="199"/>
  <c r="U27" i="198"/>
  <c r="M42" i="209"/>
  <c r="R35" i="197"/>
  <c r="Q45" i="200"/>
  <c r="T14" i="204"/>
  <c r="L15" i="204"/>
  <c r="P32" i="202"/>
  <c r="P10" i="209"/>
  <c r="T23" i="201"/>
  <c r="L3" i="210"/>
  <c r="L45" i="203"/>
  <c r="N12" i="205"/>
  <c r="U16" i="206"/>
  <c r="L39" i="199"/>
  <c r="Q9" i="197"/>
  <c r="M4" i="210"/>
  <c r="T39" i="197"/>
  <c r="L25" i="197"/>
  <c r="S33" i="193"/>
  <c r="Q35" i="193"/>
  <c r="O15" i="195"/>
  <c r="O13" i="191"/>
  <c r="S4" i="207"/>
  <c r="R34" i="206"/>
  <c r="N5" i="204"/>
  <c r="Q24" i="197"/>
  <c r="L17" i="191"/>
  <c r="O5" i="193"/>
  <c r="L26" i="195"/>
  <c r="Q33" i="200"/>
  <c r="L5" i="206"/>
  <c r="L32" i="205"/>
  <c r="N45" i="204"/>
  <c r="U31" i="207"/>
  <c r="R37" i="205"/>
  <c r="Q4" i="205"/>
  <c r="O16" i="200"/>
  <c r="R6" i="201"/>
  <c r="M41" i="207"/>
  <c r="T3" i="203"/>
  <c r="R3" i="204"/>
  <c r="M42" i="200"/>
  <c r="N34" i="197"/>
  <c r="N5" i="198"/>
  <c r="N14" i="201"/>
  <c r="S28" i="209"/>
  <c r="L34" i="205"/>
  <c r="T3" i="200"/>
  <c r="S43" i="193"/>
  <c r="P6" i="200"/>
  <c r="R19" i="197"/>
  <c r="R31" i="202"/>
  <c r="U7" i="195"/>
  <c r="L3" i="202"/>
  <c r="O26" i="206"/>
  <c r="U45" i="198"/>
  <c r="L27" i="193"/>
  <c r="N9" i="191"/>
  <c r="R16" i="203"/>
  <c r="R42" i="203"/>
  <c r="U3" i="195"/>
  <c r="M16" i="205"/>
  <c r="N20" i="202"/>
  <c r="O37" i="197"/>
  <c r="R23" i="207"/>
  <c r="S44" i="207"/>
  <c r="Q38" i="209"/>
  <c r="R22" i="209"/>
  <c r="R34" i="203"/>
  <c r="Q8" i="207"/>
  <c r="Q23" i="210"/>
  <c r="N5" i="209"/>
  <c r="O29" i="209"/>
  <c r="P38" i="209"/>
  <c r="M38" i="208"/>
  <c r="M27" i="205"/>
  <c r="N12" i="193"/>
  <c r="Q32" i="207"/>
  <c r="S23" i="208"/>
  <c r="L7" i="194"/>
  <c r="P21" i="197"/>
  <c r="S29" i="202"/>
  <c r="U31" i="202"/>
  <c r="S29" i="200"/>
  <c r="T13" i="205"/>
  <c r="M19" i="210"/>
  <c r="M29" i="200"/>
  <c r="S31" i="201"/>
  <c r="U43" i="202"/>
  <c r="P14" i="196"/>
  <c r="L35" i="195"/>
  <c r="P28" i="207"/>
  <c r="S26" i="194"/>
  <c r="M17" i="202"/>
  <c r="Q19" i="197"/>
  <c r="O31" i="196"/>
  <c r="O11" i="209"/>
  <c r="N17" i="202"/>
  <c r="T19" i="196"/>
  <c r="S18" i="203"/>
  <c r="R21" i="197"/>
  <c r="N42" i="210"/>
  <c r="Q38" i="197"/>
  <c r="R17" i="195"/>
  <c r="U3" i="202"/>
  <c r="N30" i="203"/>
  <c r="N5" i="210"/>
  <c r="R4" i="209"/>
  <c r="N38" i="210"/>
  <c r="T27" i="207"/>
  <c r="O35" i="208"/>
  <c r="S25" i="214"/>
  <c r="L36" i="204"/>
  <c r="L12" i="199"/>
  <c r="L15" i="198"/>
  <c r="O15" i="207"/>
  <c r="L25" i="208"/>
  <c r="L24" i="199"/>
  <c r="M36" i="204"/>
  <c r="R19" i="210"/>
  <c r="L25" i="201"/>
  <c r="M4" i="202"/>
  <c r="L6" i="198"/>
  <c r="L5" i="208"/>
  <c r="Q11" i="209"/>
  <c r="L33" i="204"/>
  <c r="R40" i="205"/>
  <c r="R27" i="204"/>
  <c r="O5" i="202"/>
  <c r="S16" i="210"/>
  <c r="O25" i="198"/>
  <c r="M29" i="201"/>
  <c r="N4" i="197"/>
  <c r="M13" i="200"/>
  <c r="O36" i="202"/>
  <c r="T43" i="207"/>
  <c r="N12" i="196"/>
  <c r="M30" i="201"/>
  <c r="Q19" i="206"/>
  <c r="O3" i="207"/>
  <c r="R32" i="202"/>
  <c r="N2" i="195"/>
  <c r="S46" i="205"/>
  <c r="R26" i="200"/>
  <c r="M6" i="202"/>
  <c r="M4" i="205"/>
  <c r="S30" i="198"/>
  <c r="N11" i="206"/>
  <c r="L27" i="203"/>
  <c r="M3" i="210"/>
  <c r="L15" i="200"/>
  <c r="N16" i="199"/>
  <c r="L22" i="200"/>
  <c r="M10" i="194"/>
  <c r="N25" i="203"/>
  <c r="M31" i="199"/>
  <c r="M24" i="204"/>
  <c r="R14" i="209"/>
  <c r="T4" i="195"/>
  <c r="Q37" i="213"/>
  <c r="P45" i="202"/>
  <c r="O28" i="207"/>
  <c r="O17" i="212"/>
  <c r="S10" i="207"/>
  <c r="U41" i="212"/>
  <c r="T30" i="205"/>
  <c r="N32" i="206"/>
  <c r="Q8" i="212"/>
  <c r="L21" i="194"/>
  <c r="O21" i="203"/>
  <c r="Q16" i="208"/>
  <c r="L42" i="209"/>
  <c r="Q6" i="211"/>
  <c r="N38" i="202"/>
  <c r="L12" i="210"/>
  <c r="O35" i="202"/>
  <c r="O45" i="205"/>
  <c r="N19" i="210"/>
  <c r="M44" i="210"/>
  <c r="P38" i="202"/>
  <c r="S15" i="203"/>
  <c r="N28" i="197"/>
  <c r="L45" i="200"/>
  <c r="M8" i="210"/>
  <c r="Q5" i="199"/>
  <c r="L30" i="197"/>
  <c r="L24" i="208"/>
  <c r="N21" i="208"/>
  <c r="S12" i="204"/>
  <c r="Q45" i="198"/>
  <c r="N9" i="206"/>
  <c r="Q45" i="203"/>
  <c r="T43" i="204"/>
  <c r="T8" i="206"/>
  <c r="T39" i="206"/>
  <c r="R13" i="209"/>
  <c r="P31" i="202"/>
  <c r="S11" i="204"/>
  <c r="T40" i="201"/>
  <c r="N26" i="208"/>
  <c r="Q25" i="207"/>
  <c r="S42" i="202"/>
  <c r="N24" i="209"/>
  <c r="N9" i="201"/>
  <c r="O13" i="196"/>
  <c r="L42" i="196"/>
  <c r="O11" i="198"/>
  <c r="T34" i="198"/>
  <c r="O44" i="213"/>
  <c r="T34" i="207"/>
  <c r="R3" i="209"/>
  <c r="Q11" i="205"/>
  <c r="Q46" i="207"/>
  <c r="L29" i="207"/>
  <c r="Q36" i="205"/>
  <c r="N22" i="203"/>
  <c r="O13" i="206"/>
  <c r="R18" i="200"/>
  <c r="N13" i="212"/>
  <c r="P11" i="205"/>
  <c r="T22" i="208"/>
  <c r="P32" i="207"/>
  <c r="L31" i="206"/>
  <c r="U11" i="202"/>
  <c r="R14" i="201"/>
  <c r="N34" i="199"/>
  <c r="U3" i="209"/>
  <c r="M26" i="208"/>
  <c r="U27" i="206"/>
  <c r="Q3" i="199"/>
  <c r="N17" i="210"/>
  <c r="T12" i="201"/>
  <c r="U39" i="199"/>
  <c r="O35" i="203"/>
  <c r="T30" i="191"/>
  <c r="R27" i="198"/>
  <c r="N32" i="204"/>
  <c r="L21" i="199"/>
  <c r="Q37" i="197"/>
  <c r="Q39" i="208"/>
  <c r="U2" i="208"/>
  <c r="L35" i="208"/>
  <c r="N4" i="214"/>
  <c r="M34" i="208"/>
  <c r="M12" i="201"/>
  <c r="Q10" i="207"/>
  <c r="O2" i="212"/>
  <c r="R43" i="202"/>
  <c r="U40" i="202"/>
  <c r="U7" i="199"/>
  <c r="S4" i="202"/>
  <c r="M27" i="213"/>
  <c r="O19" i="205"/>
  <c r="U44" i="208"/>
  <c r="M39" i="205"/>
  <c r="O18" i="210"/>
  <c r="L27" i="204"/>
  <c r="M40" i="203"/>
  <c r="U19" i="204"/>
  <c r="U34" i="194"/>
  <c r="N7" i="207"/>
  <c r="M44" i="206"/>
  <c r="U31" i="213"/>
  <c r="R44" i="213"/>
  <c r="N20" i="210"/>
  <c r="M14" i="201"/>
  <c r="N17" i="199"/>
  <c r="U30" i="208"/>
  <c r="P6" i="208"/>
  <c r="S42" i="195"/>
  <c r="P24" i="198"/>
  <c r="L9" i="193"/>
  <c r="U38" i="211"/>
  <c r="L10" i="207"/>
  <c r="M43" i="214"/>
  <c r="T32" i="208"/>
  <c r="T5" i="203"/>
  <c r="S19" i="195"/>
  <c r="O21" i="204"/>
  <c r="L2" i="203"/>
  <c r="Q45" i="202"/>
  <c r="U43" i="206"/>
  <c r="O42" i="212"/>
  <c r="N35" i="204"/>
  <c r="U19" i="202"/>
  <c r="O44" i="203"/>
  <c r="U15" i="211"/>
  <c r="U44" i="198"/>
  <c r="N6" i="198"/>
  <c r="L17" i="200"/>
  <c r="P15" i="210"/>
  <c r="U14" i="211"/>
  <c r="U22" i="204"/>
  <c r="U15" i="213"/>
  <c r="Q42" i="197"/>
  <c r="O3" i="205"/>
  <c r="Q23" i="196"/>
  <c r="M24" i="191"/>
  <c r="O25" i="193"/>
  <c r="U19" i="198"/>
  <c r="O17" i="197"/>
  <c r="M21" i="195"/>
  <c r="T17" i="210"/>
  <c r="M23" i="202"/>
  <c r="L41" i="194"/>
  <c r="N42" i="200"/>
  <c r="Q13" i="202"/>
  <c r="O17" i="196"/>
  <c r="L33" i="192"/>
  <c r="R38" i="197"/>
  <c r="M27" i="195"/>
  <c r="M30" i="198"/>
  <c r="P8" i="204"/>
  <c r="Q44" i="200"/>
  <c r="S36" i="206"/>
  <c r="T8" i="199"/>
  <c r="O15" i="205"/>
  <c r="T12" i="200"/>
  <c r="M11" i="196"/>
  <c r="O5" i="200"/>
  <c r="M39" i="207"/>
  <c r="P29" i="199"/>
  <c r="P13" i="200"/>
  <c r="L27" i="196"/>
  <c r="S34" i="202"/>
  <c r="U28" i="193"/>
  <c r="U15" i="202"/>
  <c r="S26" i="206"/>
  <c r="T35" i="204"/>
  <c r="R39" i="191"/>
  <c r="S38" i="200"/>
  <c r="T41" i="191"/>
  <c r="L24" i="196"/>
  <c r="U37" i="203"/>
  <c r="N27" i="202"/>
  <c r="N15" i="195"/>
  <c r="S34" i="199"/>
  <c r="O22" i="206"/>
  <c r="L12" i="193"/>
  <c r="M4" i="206"/>
  <c r="N8" i="192"/>
  <c r="L11" i="212"/>
  <c r="L46" i="196"/>
  <c r="L44" i="194"/>
  <c r="N14" i="208"/>
  <c r="M27" i="202"/>
  <c r="L17" i="196"/>
  <c r="N29" i="203"/>
  <c r="N22" i="205"/>
  <c r="S21" i="207"/>
  <c r="R13" i="193"/>
  <c r="P9" i="214"/>
  <c r="L21" i="211"/>
  <c r="P21" i="204"/>
  <c r="S39" i="197"/>
  <c r="N2" i="210"/>
  <c r="N13" i="205"/>
  <c r="N23" i="197"/>
  <c r="O3" i="206"/>
  <c r="U8" i="206"/>
  <c r="O24" i="204"/>
  <c r="O20" i="209"/>
  <c r="P22" i="199"/>
  <c r="R45" i="201"/>
  <c r="N33" i="204"/>
  <c r="M8" i="195"/>
  <c r="P20" i="203"/>
  <c r="P37" i="198"/>
  <c r="T9" i="201"/>
  <c r="R4" i="194"/>
  <c r="N39" i="201"/>
  <c r="M20" i="206"/>
  <c r="N42" i="192"/>
  <c r="S23" i="191"/>
  <c r="S36" i="195"/>
  <c r="P25" i="191"/>
  <c r="T43" i="192"/>
  <c r="T15" i="208"/>
  <c r="M33" i="207"/>
  <c r="R33" i="200"/>
  <c r="N11" i="199"/>
  <c r="U4" i="206"/>
  <c r="P42" i="207"/>
  <c r="L18" i="199"/>
  <c r="U28" i="212"/>
  <c r="S9" i="214"/>
  <c r="Q46" i="209"/>
  <c r="Q2" i="206"/>
  <c r="Q3" i="205"/>
  <c r="R18" i="209"/>
  <c r="T34" i="204"/>
  <c r="M20" i="210"/>
  <c r="L32" i="212"/>
  <c r="L11" i="205"/>
  <c r="P25" i="204"/>
  <c r="R32" i="205"/>
  <c r="S34" i="207"/>
  <c r="P6" i="192"/>
  <c r="U20" i="200"/>
  <c r="T22" i="211"/>
  <c r="M37" i="195"/>
  <c r="M23" i="203"/>
  <c r="O27" i="206"/>
  <c r="R16" i="201"/>
  <c r="M23" i="192"/>
  <c r="S40" i="199"/>
  <c r="Q5" i="195"/>
  <c r="M36" i="199"/>
  <c r="Q41" i="203"/>
  <c r="M39" i="208"/>
  <c r="S20" i="205"/>
  <c r="L38" i="195"/>
  <c r="L28" i="194"/>
  <c r="N31" i="205"/>
  <c r="Q38" i="195"/>
  <c r="Q19" i="207"/>
  <c r="N22" i="198"/>
  <c r="S28" i="208"/>
  <c r="R36" i="196"/>
  <c r="T36" i="196"/>
  <c r="P19" i="205"/>
  <c r="P39" i="203"/>
  <c r="M21" i="202"/>
  <c r="M29" i="195"/>
  <c r="S12" i="205"/>
  <c r="R2" i="201"/>
  <c r="S13" i="205"/>
  <c r="S37" i="210"/>
  <c r="U11" i="209"/>
  <c r="N39" i="194"/>
  <c r="U22" i="199"/>
  <c r="T32" i="206"/>
  <c r="M10" i="207"/>
  <c r="Q2" i="204"/>
  <c r="R21" i="201"/>
  <c r="R13" i="210"/>
  <c r="M19" i="195"/>
  <c r="R37" i="192"/>
  <c r="R13" i="198"/>
  <c r="O19" i="194"/>
  <c r="L32" i="194"/>
  <c r="P12" i="203"/>
  <c r="N23" i="205"/>
  <c r="Q5" i="200"/>
  <c r="O19" i="200"/>
  <c r="N12" i="211"/>
  <c r="P5" i="199"/>
  <c r="M36" i="197"/>
  <c r="N42" i="198"/>
  <c r="L21" i="210"/>
  <c r="R40" i="199"/>
  <c r="N6" i="194"/>
  <c r="N42" i="205"/>
  <c r="R12" i="203"/>
  <c r="M30" i="204"/>
  <c r="N33" i="205"/>
  <c r="R12" i="207"/>
  <c r="P17" i="201"/>
  <c r="S18" i="209"/>
  <c r="L39" i="207"/>
  <c r="S16" i="204"/>
  <c r="Q10" i="194"/>
  <c r="O9" i="208"/>
  <c r="S38" i="205"/>
  <c r="T23" i="195"/>
  <c r="R20" i="202"/>
  <c r="S28" i="205"/>
  <c r="R2" i="204"/>
  <c r="Q44" i="194"/>
  <c r="O35" i="201"/>
  <c r="N44" i="206"/>
  <c r="R40" i="207"/>
  <c r="R26" i="197"/>
  <c r="O40" i="204"/>
  <c r="R17" i="210"/>
  <c r="P18" i="208"/>
  <c r="Q39" i="193"/>
  <c r="O43" i="205"/>
  <c r="O29" i="196"/>
  <c r="P5" i="210"/>
  <c r="L38" i="198"/>
  <c r="R45" i="202"/>
  <c r="R38" i="212"/>
  <c r="T13" i="212"/>
  <c r="L32" i="207"/>
  <c r="R21" i="200"/>
  <c r="T41" i="195"/>
  <c r="Q42" i="203"/>
  <c r="T22" i="201"/>
  <c r="O11" i="207"/>
  <c r="M13" i="205"/>
  <c r="R23" i="201"/>
  <c r="O30" i="205"/>
  <c r="S10" i="208"/>
  <c r="P38" i="196"/>
  <c r="R24" i="212"/>
  <c r="R40" i="203"/>
  <c r="M36" i="194"/>
  <c r="Q44" i="209"/>
  <c r="M45" i="212"/>
  <c r="S38" i="209"/>
  <c r="R5" i="208"/>
  <c r="O26" i="194"/>
  <c r="T3" i="205"/>
  <c r="O43" i="202"/>
  <c r="T38" i="197"/>
  <c r="N2" i="206"/>
  <c r="M5" i="209"/>
  <c r="R20" i="200"/>
  <c r="T22" i="210"/>
  <c r="N33" i="210"/>
  <c r="L20" i="207"/>
  <c r="R24" i="207"/>
  <c r="Q40" i="207"/>
  <c r="S45" i="202"/>
  <c r="L3" i="205"/>
  <c r="Q17" i="198"/>
  <c r="S30" i="201"/>
  <c r="Q30" i="208"/>
  <c r="L5" i="198"/>
  <c r="T4" i="206"/>
  <c r="N16" i="213"/>
  <c r="S45" i="207"/>
  <c r="U3" i="204"/>
  <c r="S5" i="199"/>
  <c r="O25" i="204"/>
  <c r="S11" i="205"/>
  <c r="N10" i="206"/>
  <c r="U46" i="207"/>
  <c r="N6" i="206"/>
  <c r="M45" i="205"/>
  <c r="N31" i="202"/>
  <c r="N32" i="205"/>
  <c r="M45" i="202"/>
  <c r="M15" i="214"/>
  <c r="N39" i="213"/>
  <c r="O8" i="209"/>
  <c r="T37" i="207"/>
  <c r="R8" i="203"/>
  <c r="P43" i="202"/>
  <c r="L12" i="202"/>
  <c r="R30" i="205"/>
  <c r="U35" i="202"/>
  <c r="S10" i="202"/>
  <c r="Q46" i="198"/>
  <c r="Q18" i="193"/>
  <c r="T14" i="211"/>
  <c r="T18" i="203"/>
  <c r="Q44" i="195"/>
  <c r="S17" i="204"/>
  <c r="S31" i="208"/>
  <c r="O15" i="193"/>
  <c r="M13" i="202"/>
  <c r="S22" i="197"/>
  <c r="L16" i="197"/>
  <c r="S7" i="203"/>
  <c r="M43" i="203"/>
  <c r="N18" i="204"/>
  <c r="O6" i="204"/>
  <c r="L5" i="199"/>
  <c r="U36" i="200"/>
  <c r="R10" i="202"/>
  <c r="L7" i="206"/>
  <c r="U15" i="207"/>
  <c r="U7" i="203"/>
  <c r="M44" i="203"/>
  <c r="Q20" i="211"/>
  <c r="N42" i="209"/>
  <c r="U2" i="193"/>
  <c r="L16" i="205"/>
  <c r="U43" i="199"/>
  <c r="O7" i="210"/>
  <c r="L28" i="197"/>
  <c r="P27" i="206"/>
  <c r="T10" i="206"/>
  <c r="P25" i="211"/>
  <c r="P46" i="208"/>
  <c r="L39" i="209"/>
  <c r="O30" i="206"/>
  <c r="L44" i="204"/>
  <c r="L4" i="209"/>
  <c r="P13" i="202"/>
  <c r="T26" i="209"/>
  <c r="Q9" i="207"/>
  <c r="U28" i="204"/>
  <c r="M2" i="206"/>
  <c r="O31" i="208"/>
  <c r="N4" i="207"/>
  <c r="U9" i="200"/>
  <c r="U43" i="204"/>
  <c r="M40" i="202"/>
  <c r="M5" i="203"/>
  <c r="T31" i="203"/>
  <c r="M18" i="201"/>
  <c r="N15" i="210"/>
  <c r="O37" i="198"/>
  <c r="N34" i="209"/>
  <c r="O29" i="204"/>
  <c r="R11" i="199"/>
  <c r="R19" i="209"/>
  <c r="N9" i="197"/>
  <c r="Q35" i="208"/>
  <c r="T23" i="199"/>
  <c r="R25" i="205"/>
  <c r="P2" i="200"/>
  <c r="M8" i="201"/>
  <c r="N15" i="196"/>
  <c r="O36" i="208"/>
  <c r="P37" i="202"/>
  <c r="S34" i="205"/>
  <c r="O10" i="205"/>
  <c r="Q43" i="195"/>
  <c r="M5" i="192"/>
  <c r="T35" i="194"/>
  <c r="U33" i="198"/>
  <c r="S10" i="199"/>
  <c r="M41" i="204"/>
  <c r="S19" i="204"/>
  <c r="U9" i="204"/>
  <c r="T17" i="201"/>
  <c r="R37" i="194"/>
  <c r="S19" i="196"/>
  <c r="P2" i="202"/>
  <c r="M15" i="193"/>
  <c r="R15" i="197"/>
  <c r="U19" i="203"/>
  <c r="L10" i="205"/>
  <c r="T25" i="205"/>
  <c r="L38" i="204"/>
  <c r="L19" i="207"/>
  <c r="O22" i="195"/>
  <c r="O28" i="200"/>
  <c r="U13" i="202"/>
  <c r="T39" i="196"/>
  <c r="M33" i="199"/>
  <c r="O36" i="206"/>
  <c r="L40" i="202"/>
  <c r="U9" i="197"/>
  <c r="N32" i="207"/>
  <c r="S25" i="202"/>
  <c r="U39" i="209"/>
  <c r="T42" i="202"/>
  <c r="U12" i="196"/>
  <c r="P3" i="194"/>
  <c r="M36" i="193"/>
  <c r="S27" i="196"/>
  <c r="T16" i="199"/>
  <c r="R38" i="207"/>
  <c r="S35" i="199"/>
  <c r="O25" i="205"/>
  <c r="R26" i="205"/>
  <c r="T32" i="191"/>
  <c r="U19" i="196"/>
  <c r="P13" i="204"/>
  <c r="Q13" i="197"/>
  <c r="Q24" i="191"/>
  <c r="N30" i="209"/>
  <c r="R25" i="196"/>
  <c r="O33" i="205"/>
  <c r="L45" i="194"/>
  <c r="M8" i="204"/>
  <c r="N23" i="213"/>
  <c r="P13" i="209"/>
  <c r="P16" i="203"/>
  <c r="R28" i="200"/>
  <c r="N30" i="202"/>
  <c r="L6" i="204"/>
  <c r="S35" i="202"/>
  <c r="O5" i="206"/>
  <c r="P24" i="201"/>
  <c r="M26" i="197"/>
  <c r="S21" i="199"/>
  <c r="O30" i="207"/>
  <c r="L15" i="209"/>
  <c r="P38" i="195"/>
  <c r="N24" i="203"/>
  <c r="O8" i="200"/>
  <c r="R14" i="203"/>
  <c r="N41" i="192"/>
  <c r="T10" i="203"/>
  <c r="R10" i="203"/>
  <c r="R15" i="196"/>
  <c r="U18" i="199"/>
  <c r="L13" i="204"/>
  <c r="T38" i="198"/>
  <c r="P17" i="192"/>
  <c r="O30" i="209"/>
  <c r="T15" i="193"/>
  <c r="L41" i="201"/>
  <c r="S33" i="199"/>
  <c r="O38" i="205"/>
  <c r="P23" i="194"/>
  <c r="R39" i="207"/>
  <c r="L19" i="206"/>
  <c r="T17" i="209"/>
  <c r="P14" i="203"/>
  <c r="M36" i="208"/>
  <c r="U14" i="204"/>
  <c r="L23" i="199"/>
  <c r="Q6" i="195"/>
  <c r="O24" i="201"/>
  <c r="P30" i="207"/>
  <c r="S14" i="211"/>
  <c r="Q45" i="201"/>
  <c r="T5" i="210"/>
  <c r="U42" i="206"/>
  <c r="L20" i="209"/>
  <c r="P16" i="199"/>
  <c r="R10" i="207"/>
  <c r="M7" i="198"/>
  <c r="M33" i="191"/>
  <c r="N43" i="191"/>
  <c r="P41" i="198"/>
  <c r="N3" i="192"/>
  <c r="U20" i="195"/>
  <c r="M17" i="191"/>
  <c r="M15" i="201"/>
  <c r="T44" i="200"/>
  <c r="T6" i="201"/>
  <c r="N31" i="199"/>
  <c r="P38" i="192"/>
  <c r="N22" i="197"/>
  <c r="T18" i="194"/>
  <c r="T4" i="201"/>
  <c r="Q3" i="195"/>
  <c r="L23" i="194"/>
  <c r="S26" i="195"/>
  <c r="M15" i="200"/>
  <c r="Q37" i="201"/>
  <c r="N22" i="204"/>
  <c r="T5" i="197"/>
  <c r="M45" i="203"/>
  <c r="R21" i="199"/>
  <c r="P43" i="197"/>
  <c r="P44" i="203"/>
  <c r="R26" i="208"/>
  <c r="P21" i="191"/>
  <c r="Q8" i="201"/>
  <c r="N23" i="208"/>
  <c r="L19" i="203"/>
  <c r="M4" i="204"/>
  <c r="R19" i="199"/>
  <c r="T38" i="193"/>
  <c r="U5" i="206"/>
  <c r="S28" i="197"/>
  <c r="Q42" i="213"/>
  <c r="L11" i="206"/>
  <c r="S46" i="197"/>
  <c r="Q16" i="199"/>
  <c r="O42" i="197"/>
  <c r="O14" i="202"/>
  <c r="S22" i="205"/>
  <c r="Q19" i="210"/>
  <c r="N11" i="213"/>
  <c r="Q44" i="203"/>
  <c r="Q9" i="195"/>
  <c r="L8" i="202"/>
  <c r="U32" i="201"/>
  <c r="O13" i="204"/>
  <c r="N45" i="211"/>
  <c r="T42" i="213"/>
  <c r="L44" i="195"/>
  <c r="P18" i="204"/>
  <c r="U28" i="205"/>
  <c r="N13" i="200"/>
  <c r="M46" i="205"/>
  <c r="Q41" i="198"/>
  <c r="O41" i="207"/>
  <c r="P39" i="208"/>
  <c r="M33" i="203"/>
  <c r="T45" i="199"/>
  <c r="U11" i="203"/>
  <c r="O12" i="209"/>
  <c r="S25" i="205"/>
  <c r="U34" i="203"/>
  <c r="U33" i="203"/>
  <c r="N27" i="203"/>
  <c r="O8" i="201"/>
  <c r="N2" i="202"/>
  <c r="L27" i="200"/>
  <c r="S30" i="193"/>
  <c r="M31" i="205"/>
  <c r="M35" i="211"/>
  <c r="S15" i="204"/>
  <c r="L27" i="209"/>
  <c r="M17" i="201"/>
  <c r="R17" i="202"/>
  <c r="P38" i="203"/>
  <c r="L15" i="206"/>
  <c r="M16" i="196"/>
  <c r="R2" i="199"/>
  <c r="S20" i="210"/>
  <c r="P30" i="205"/>
  <c r="R15" i="208"/>
  <c r="S25" i="209"/>
  <c r="O14" i="207"/>
  <c r="R15" i="204"/>
  <c r="S15" i="208"/>
  <c r="L2" i="208"/>
  <c r="S43" i="207"/>
  <c r="N40" i="205"/>
  <c r="L7" i="212"/>
  <c r="S38" i="203"/>
  <c r="O26" i="204"/>
  <c r="U10" i="192"/>
  <c r="Q9" i="205"/>
  <c r="T10" i="202"/>
  <c r="M16" i="202"/>
  <c r="P17" i="207"/>
  <c r="L46" i="208"/>
  <c r="S12" i="208"/>
  <c r="U40" i="204"/>
  <c r="S41" i="205"/>
  <c r="R17" i="213"/>
  <c r="Q45" i="205"/>
  <c r="M34" i="206"/>
  <c r="T4" i="210"/>
  <c r="P36" i="209"/>
  <c r="O20" i="200"/>
  <c r="L24" i="201"/>
  <c r="M19" i="209"/>
  <c r="T3" i="198"/>
  <c r="N32" i="198"/>
  <c r="L29" i="209"/>
  <c r="N26" i="198"/>
  <c r="O14" i="199"/>
  <c r="M16" i="203"/>
  <c r="L30" i="210"/>
  <c r="M5" i="204"/>
  <c r="L30" i="207"/>
  <c r="T18" i="208"/>
  <c r="Q28" i="201"/>
  <c r="L25" i="204"/>
  <c r="S10" i="203"/>
  <c r="O40" i="207"/>
  <c r="R20" i="210"/>
  <c r="U23" i="213"/>
  <c r="M36" i="210"/>
  <c r="O24" i="199"/>
  <c r="S28" i="203"/>
  <c r="T5" i="205"/>
  <c r="S44" i="209"/>
  <c r="P9" i="203"/>
  <c r="T42" i="206"/>
  <c r="M41" i="203"/>
  <c r="N46" i="203"/>
  <c r="M28" i="206"/>
  <c r="U31" i="210"/>
  <c r="N38" i="196"/>
  <c r="O9" i="195"/>
  <c r="Q17" i="197"/>
  <c r="L6" i="212"/>
  <c r="N31" i="209"/>
  <c r="L36" i="210"/>
  <c r="Q25" i="204"/>
  <c r="O44" i="206"/>
  <c r="P24" i="205"/>
  <c r="N19" i="205"/>
  <c r="S22" i="202"/>
  <c r="S14" i="204"/>
  <c r="S22" i="198"/>
  <c r="M13" i="207"/>
  <c r="Q39" i="205"/>
  <c r="R10" i="209"/>
  <c r="U32" i="214"/>
  <c r="L20" i="195"/>
  <c r="N8" i="204"/>
  <c r="U38" i="210"/>
  <c r="U45" i="195"/>
  <c r="P46" i="206"/>
  <c r="O44" i="201"/>
  <c r="Q14" i="208"/>
  <c r="U6" i="205"/>
  <c r="R27" i="213"/>
  <c r="N18" i="197"/>
  <c r="U17" i="200"/>
  <c r="Q11" i="214"/>
  <c r="Q4" i="199"/>
  <c r="S28" i="207"/>
  <c r="O20" i="208"/>
  <c r="R20" i="214"/>
  <c r="O3" i="202"/>
  <c r="N17" i="204"/>
  <c r="Q27" i="207"/>
  <c r="T15" i="205"/>
  <c r="P9" i="205"/>
  <c r="M12" i="210"/>
  <c r="U10" i="200"/>
  <c r="T35" i="211"/>
  <c r="N17" i="207"/>
  <c r="U6" i="193"/>
  <c r="S27" i="199"/>
  <c r="Q36" i="210"/>
  <c r="S13" i="194"/>
  <c r="R35" i="203"/>
  <c r="T24" i="210"/>
  <c r="Q2" i="208"/>
  <c r="N16" i="208"/>
  <c r="O42" i="207"/>
  <c r="N43" i="207"/>
  <c r="T15" i="203"/>
  <c r="P14" i="204"/>
  <c r="T13" i="202"/>
  <c r="R25" i="198"/>
  <c r="P2" i="210"/>
  <c r="P26" i="198"/>
  <c r="P3" i="205"/>
  <c r="N13" i="210"/>
  <c r="R24" i="205"/>
  <c r="Q27" i="199"/>
  <c r="S2" i="202"/>
  <c r="L10" i="201"/>
  <c r="M42" i="198"/>
  <c r="U4" i="204"/>
  <c r="T35" i="198"/>
  <c r="S37" i="200"/>
  <c r="R19" i="191"/>
  <c r="N40" i="196"/>
  <c r="T43" i="210"/>
  <c r="L21" i="197"/>
  <c r="Q27" i="195"/>
  <c r="R2" i="200"/>
  <c r="P40" i="197"/>
  <c r="R30" i="196"/>
  <c r="M42" i="197"/>
  <c r="S43" i="195"/>
  <c r="N13" i="206"/>
  <c r="S41" i="198"/>
  <c r="O7" i="198"/>
  <c r="S28" i="192"/>
  <c r="U25" i="206"/>
  <c r="R12" i="200"/>
  <c r="O4" i="197"/>
  <c r="T28" i="196"/>
  <c r="N4" i="200"/>
  <c r="S10" i="194"/>
  <c r="M18" i="202"/>
  <c r="S36" i="208"/>
  <c r="N21" i="210"/>
  <c r="M46" i="200"/>
  <c r="N19" i="203"/>
  <c r="S23" i="205"/>
  <c r="N43" i="205"/>
  <c r="M5" i="210"/>
  <c r="U43" i="198"/>
  <c r="P20" i="202"/>
  <c r="Q22" i="210"/>
  <c r="R35" i="194"/>
  <c r="P14" i="206"/>
  <c r="L5" i="201"/>
  <c r="U32" i="202"/>
  <c r="O43" i="195"/>
  <c r="T43" i="203"/>
  <c r="L3" i="194"/>
  <c r="N15" i="203"/>
  <c r="M12" i="195"/>
  <c r="R27" i="194"/>
  <c r="U46" i="203"/>
  <c r="L26" i="202"/>
  <c r="S33" i="202"/>
  <c r="R26" i="207"/>
  <c r="P36" i="192"/>
  <c r="M21" i="193"/>
  <c r="S24" i="194"/>
  <c r="O15" i="192"/>
  <c r="U24" i="193"/>
  <c r="N46" i="192"/>
  <c r="P34" i="198"/>
  <c r="R46" i="202"/>
  <c r="O34" i="199"/>
  <c r="R41" i="202"/>
  <c r="R26" i="195"/>
  <c r="N18" i="206"/>
  <c r="Q31" i="208"/>
  <c r="M21" i="201"/>
  <c r="T26" i="206"/>
  <c r="T45" i="198"/>
  <c r="N45" i="206"/>
  <c r="U14" i="203"/>
  <c r="S33" i="194"/>
  <c r="S34" i="198"/>
  <c r="R41" i="205"/>
  <c r="L38" i="205"/>
  <c r="L30" i="208"/>
  <c r="L18" i="206"/>
  <c r="U38" i="200"/>
  <c r="L11" i="197"/>
  <c r="Q21" i="203"/>
  <c r="S41" i="211"/>
  <c r="P17" i="203"/>
  <c r="L32" i="203"/>
  <c r="M42" i="191"/>
  <c r="N46" i="207"/>
  <c r="U34" i="209"/>
  <c r="S46" i="206"/>
  <c r="S29" i="204"/>
  <c r="L21" i="193"/>
  <c r="R31" i="204"/>
  <c r="P3" i="196"/>
  <c r="P33" i="199"/>
  <c r="R40" i="201"/>
  <c r="L28" i="205"/>
  <c r="R11" i="214"/>
  <c r="Q17" i="205"/>
  <c r="O11" i="205"/>
  <c r="R46" i="206"/>
  <c r="U16" i="207"/>
  <c r="N45" i="195"/>
  <c r="U30" i="209"/>
  <c r="U13" i="213"/>
  <c r="M32" i="200"/>
  <c r="Q31" i="196"/>
  <c r="L16" i="214"/>
  <c r="Q36" i="206"/>
  <c r="L36" i="205"/>
  <c r="U27" i="203"/>
  <c r="Q32" i="201"/>
  <c r="S35" i="208"/>
  <c r="U7" i="207"/>
  <c r="O25" i="195"/>
  <c r="L46" i="207"/>
  <c r="U27" i="195"/>
  <c r="L3" i="208"/>
  <c r="U13" i="206"/>
  <c r="R30" i="208"/>
  <c r="O15" i="204"/>
  <c r="N18" i="192"/>
  <c r="S22" i="193"/>
  <c r="U35" i="191"/>
  <c r="M40" i="191"/>
  <c r="S7" i="194"/>
  <c r="U38" i="201"/>
  <c r="S45" i="201"/>
  <c r="O38" i="204"/>
  <c r="R44" i="195"/>
  <c r="T33" i="192"/>
  <c r="N2" i="198"/>
  <c r="P38" i="206"/>
  <c r="S43" i="197"/>
  <c r="O2" i="200"/>
  <c r="N3" i="197"/>
  <c r="N5" i="203"/>
  <c r="L31" i="211"/>
  <c r="L17" i="207"/>
  <c r="P2" i="203"/>
  <c r="T15" i="206"/>
  <c r="R10" i="206"/>
  <c r="L17" i="201"/>
  <c r="M21" i="200"/>
  <c r="R36" i="194"/>
  <c r="S15" i="192"/>
  <c r="O36" i="201"/>
  <c r="L40" i="198"/>
  <c r="P40" i="206"/>
  <c r="O39" i="200"/>
  <c r="L40" i="207"/>
  <c r="L30" i="211"/>
  <c r="M46" i="204"/>
  <c r="P8" i="197"/>
  <c r="R34" i="193"/>
  <c r="Q17" i="203"/>
  <c r="P31" i="200"/>
  <c r="U44" i="196"/>
  <c r="N13" i="194"/>
  <c r="U7" i="206"/>
  <c r="M27" i="199"/>
  <c r="P25" i="192"/>
  <c r="P38" i="198"/>
  <c r="P26" i="203"/>
  <c r="N15" i="197"/>
  <c r="L43" i="195"/>
  <c r="L10" i="200"/>
  <c r="U34" i="205"/>
  <c r="N44" i="198"/>
  <c r="R18" i="204"/>
  <c r="T18" i="198"/>
  <c r="L37" i="193"/>
  <c r="R26" i="191"/>
  <c r="S31" i="196"/>
  <c r="O12" i="198"/>
  <c r="R21" i="203"/>
  <c r="S18" i="196"/>
  <c r="N30" i="194"/>
  <c r="Q45" i="204"/>
  <c r="U31" i="204"/>
  <c r="R27" i="203"/>
  <c r="R31" i="207"/>
  <c r="T7" i="210"/>
  <c r="M30" i="205"/>
  <c r="S37" i="208"/>
  <c r="Q12" i="207"/>
  <c r="U34" i="198"/>
  <c r="L28" i="202"/>
  <c r="O5" i="201"/>
  <c r="T44" i="205"/>
  <c r="N46" i="209"/>
  <c r="S39" i="207"/>
  <c r="R36" i="200"/>
  <c r="U12" i="214"/>
  <c r="T10" i="207"/>
  <c r="R6" i="213"/>
  <c r="O14" i="200"/>
  <c r="L40" i="200"/>
  <c r="O46" i="204"/>
  <c r="L21" i="208"/>
  <c r="R5" i="207"/>
  <c r="T27" i="196"/>
  <c r="P10" i="206"/>
  <c r="O29" i="198"/>
  <c r="M25" i="198"/>
  <c r="O18" i="211"/>
  <c r="Q14" i="195"/>
  <c r="Q42" i="193"/>
  <c r="M37" i="196"/>
  <c r="U3" i="194"/>
  <c r="Q11" i="202"/>
  <c r="M39" i="193"/>
  <c r="L9" i="204"/>
  <c r="S40" i="204"/>
  <c r="M12" i="202"/>
  <c r="T8" i="193"/>
  <c r="M22" i="193"/>
  <c r="P36" i="199"/>
  <c r="P4" i="196"/>
  <c r="R23" i="198"/>
  <c r="U18" i="197"/>
  <c r="L44" i="208"/>
  <c r="L7" i="192"/>
  <c r="U34" i="210"/>
  <c r="S36" i="191"/>
  <c r="R36" i="206"/>
  <c r="P17" i="204"/>
  <c r="T24" i="203"/>
  <c r="T27" i="195"/>
  <c r="O33" i="200"/>
  <c r="O46" i="203"/>
  <c r="R27" i="202"/>
  <c r="O7" i="204"/>
  <c r="U6" i="202"/>
  <c r="S16" i="195"/>
  <c r="M11" i="206"/>
  <c r="R18" i="198"/>
  <c r="R17" i="205"/>
  <c r="L2" i="198"/>
  <c r="T41" i="198"/>
  <c r="L10" i="191"/>
  <c r="O29" i="192"/>
  <c r="P18" i="197"/>
  <c r="Q2" i="193"/>
  <c r="P27" i="202"/>
  <c r="Q45" i="209"/>
  <c r="M24" i="203"/>
  <c r="O29" i="201"/>
  <c r="N21" i="191"/>
  <c r="Q20" i="200"/>
  <c r="N2" i="192"/>
  <c r="L22" i="206"/>
  <c r="N37" i="201"/>
  <c r="R29" i="200"/>
  <c r="T45" i="191"/>
  <c r="S7" i="202"/>
  <c r="R2" i="198"/>
  <c r="T18" i="199"/>
  <c r="P31" i="206"/>
  <c r="U5" i="204"/>
  <c r="Q10" i="195"/>
  <c r="P36" i="211"/>
  <c r="M32" i="213"/>
  <c r="L6" i="206"/>
  <c r="O25" i="200"/>
  <c r="T20" i="208"/>
  <c r="P8" i="199"/>
  <c r="N19" i="204"/>
  <c r="S26" i="198"/>
  <c r="R28" i="207"/>
  <c r="N27" i="193"/>
  <c r="Q24" i="192"/>
  <c r="U9" i="196"/>
  <c r="S6" i="206"/>
  <c r="P32" i="206"/>
  <c r="T7" i="211"/>
  <c r="R14" i="214"/>
  <c r="M16" i="207"/>
  <c r="L27" i="201"/>
  <c r="R17" i="204"/>
  <c r="U30" i="205"/>
  <c r="P28" i="195"/>
  <c r="Q35" i="197"/>
  <c r="U6" i="206"/>
  <c r="M31" i="191"/>
  <c r="U24" i="192"/>
  <c r="U19" i="210"/>
  <c r="U19" i="209"/>
  <c r="L16" i="198"/>
  <c r="L11" i="202"/>
  <c r="L26" i="204"/>
  <c r="Q15" i="202"/>
  <c r="T35" i="201"/>
  <c r="U39" i="204"/>
  <c r="O27" i="200"/>
  <c r="T14" i="198"/>
  <c r="N40" i="192"/>
  <c r="Q34" i="205"/>
  <c r="L7" i="210"/>
  <c r="L26" i="205"/>
  <c r="N26" i="195"/>
  <c r="M16" i="204"/>
  <c r="Q27" i="205"/>
  <c r="Q19" i="203"/>
  <c r="R3" i="198"/>
  <c r="R32" i="210"/>
  <c r="S11" i="209"/>
  <c r="P43" i="206"/>
  <c r="Q13" i="204"/>
  <c r="M2" i="201"/>
  <c r="P7" i="206"/>
  <c r="U42" i="204"/>
  <c r="M25" i="209"/>
  <c r="R35" i="210"/>
  <c r="U11" i="200"/>
  <c r="T30" i="197"/>
  <c r="R9" i="204"/>
  <c r="L13" i="194"/>
  <c r="M26" i="191"/>
  <c r="S45" i="193"/>
  <c r="U13" i="200"/>
  <c r="N40" i="203"/>
  <c r="U37" i="197"/>
  <c r="N40" i="194"/>
  <c r="R42" i="196"/>
  <c r="S3" i="193"/>
  <c r="O21" i="206"/>
  <c r="S13" i="210"/>
  <c r="T26" i="196"/>
  <c r="M6" i="193"/>
  <c r="L34" i="204"/>
  <c r="L41" i="209"/>
  <c r="L8" i="193"/>
  <c r="Q17" i="206"/>
  <c r="S16" i="194"/>
  <c r="T45" i="201"/>
  <c r="U2" i="194"/>
  <c r="M15" i="206"/>
  <c r="R11" i="208"/>
  <c r="Q4" i="201"/>
  <c r="P26" i="191"/>
  <c r="U3" i="193"/>
  <c r="N11" i="191"/>
  <c r="Q43" i="201"/>
  <c r="O38" i="200"/>
  <c r="Q15" i="198"/>
  <c r="O39" i="201"/>
  <c r="M44" i="204"/>
  <c r="P43" i="208"/>
  <c r="Q38" i="207"/>
  <c r="L36" i="202"/>
  <c r="L17" i="192"/>
  <c r="R18" i="192"/>
  <c r="U15" i="197"/>
  <c r="O39" i="192"/>
  <c r="L4" i="197"/>
  <c r="O3" i="212"/>
  <c r="O23" i="204"/>
  <c r="R2" i="203"/>
  <c r="P41" i="193"/>
  <c r="T9" i="193"/>
  <c r="T28" i="198"/>
  <c r="S9" i="203"/>
  <c r="U34" i="200"/>
  <c r="O31" i="203"/>
  <c r="P9" i="204"/>
  <c r="Q27" i="211"/>
  <c r="O16" i="203"/>
  <c r="N4" i="201"/>
  <c r="T39" i="205"/>
  <c r="N19" i="195"/>
  <c r="N7" i="193"/>
  <c r="R3" i="195"/>
  <c r="M26" i="201"/>
  <c r="U16" i="195"/>
  <c r="P32" i="194"/>
  <c r="L45" i="193"/>
  <c r="N6" i="204"/>
  <c r="O40" i="200"/>
  <c r="R32" i="207"/>
  <c r="R7" i="202"/>
  <c r="P43" i="196"/>
  <c r="M8" i="196"/>
  <c r="P13" i="197"/>
  <c r="R42" i="200"/>
  <c r="M9" i="206"/>
  <c r="Q31" i="207"/>
  <c r="L9" i="196"/>
  <c r="T7" i="194"/>
  <c r="R12" i="201"/>
  <c r="M10" i="198"/>
  <c r="L43" i="198"/>
  <c r="N46" i="211"/>
  <c r="P23" i="202"/>
  <c r="Q16" i="196"/>
  <c r="P42" i="202"/>
  <c r="P29" i="197"/>
  <c r="S4" i="195"/>
  <c r="N14" i="203"/>
  <c r="T20" i="195"/>
  <c r="M26" i="200"/>
  <c r="Q38" i="192"/>
  <c r="M28" i="203"/>
  <c r="M28" i="208"/>
  <c r="M28" i="205"/>
  <c r="M23" i="194"/>
  <c r="O11" i="191"/>
  <c r="M45" i="200"/>
  <c r="N22" i="201"/>
  <c r="S2" i="193"/>
  <c r="T5" i="195"/>
  <c r="N38" i="200"/>
  <c r="P45" i="201"/>
  <c r="M3" i="195"/>
  <c r="N27" i="209"/>
  <c r="R40" i="196"/>
  <c r="U14" i="197"/>
  <c r="S12" i="202"/>
  <c r="P37" i="201"/>
  <c r="R35" i="191"/>
  <c r="S29" i="193"/>
  <c r="R45" i="205"/>
  <c r="U17" i="201"/>
  <c r="M40" i="195"/>
  <c r="U5" i="208"/>
  <c r="M17" i="197"/>
  <c r="O3" i="193"/>
  <c r="T25" i="203"/>
  <c r="P3" i="203"/>
  <c r="U27" i="200"/>
  <c r="P3" i="200"/>
  <c r="U31" i="199"/>
  <c r="N16" i="197"/>
  <c r="N39" i="195"/>
  <c r="T32" i="193"/>
  <c r="U24" i="198"/>
  <c r="N3" i="196"/>
  <c r="P2" i="212"/>
  <c r="R7" i="208"/>
  <c r="N41" i="203"/>
  <c r="P35" i="205"/>
  <c r="Q35" i="202"/>
  <c r="S24" i="207"/>
  <c r="U36" i="204"/>
  <c r="Q44" i="208"/>
  <c r="Q9" i="204"/>
  <c r="O35" i="206"/>
  <c r="P29" i="205"/>
  <c r="M10" i="206"/>
  <c r="T41" i="197"/>
  <c r="L10" i="198"/>
  <c r="S17" i="194"/>
  <c r="T9" i="207"/>
  <c r="P12" i="197"/>
  <c r="O10" i="207"/>
  <c r="S41" i="195"/>
  <c r="M17" i="203"/>
  <c r="P24" i="203"/>
  <c r="O39" i="204"/>
  <c r="Q39" i="191"/>
  <c r="L32" i="204"/>
  <c r="N25" i="207"/>
  <c r="N15" i="204"/>
  <c r="L6" i="205"/>
  <c r="R19" i="205"/>
  <c r="L40" i="205"/>
  <c r="P46" i="205"/>
  <c r="S5" i="198"/>
  <c r="N3" i="203"/>
  <c r="T13" i="200"/>
  <c r="O20" i="203"/>
  <c r="M21" i="209"/>
  <c r="P28" i="209"/>
  <c r="P35" i="202"/>
  <c r="Q41" i="199"/>
  <c r="N12" i="204"/>
  <c r="M45" i="206"/>
  <c r="S22" i="207"/>
  <c r="S2" i="198"/>
  <c r="Q3" i="191"/>
  <c r="P41" i="195"/>
  <c r="U15" i="191"/>
  <c r="R45" i="196"/>
  <c r="R2" i="206"/>
  <c r="U11" i="198"/>
  <c r="R27" i="199"/>
  <c r="M45" i="193"/>
  <c r="M15" i="191"/>
  <c r="S20" i="204"/>
  <c r="O29" i="214"/>
  <c r="R11" i="205"/>
  <c r="O3" i="199"/>
  <c r="U8" i="209"/>
  <c r="Q15" i="191"/>
  <c r="M37" i="193"/>
  <c r="P45" i="200"/>
  <c r="Q19" i="208"/>
  <c r="P10" i="204"/>
  <c r="N33" i="193"/>
  <c r="U9" i="202"/>
  <c r="T22" i="205"/>
  <c r="R27" i="214"/>
  <c r="S26" i="207"/>
  <c r="S42" i="193"/>
  <c r="U24" i="204"/>
  <c r="R20" i="203"/>
  <c r="O32" i="209"/>
  <c r="M42" i="196"/>
  <c r="R15" i="191"/>
  <c r="L23" i="207"/>
  <c r="O18" i="207"/>
  <c r="S46" i="201"/>
  <c r="L45" i="199"/>
  <c r="S6" i="202"/>
  <c r="P18" i="203"/>
  <c r="U27" i="209"/>
  <c r="L10" i="197"/>
  <c r="L14" i="193"/>
  <c r="U14" i="207"/>
  <c r="M8" i="203"/>
  <c r="R46" i="200"/>
  <c r="O44" i="191"/>
  <c r="O32" i="197"/>
  <c r="M30" i="197"/>
  <c r="T44" i="192"/>
  <c r="N45" i="198"/>
  <c r="L2" i="200"/>
  <c r="T25" i="204"/>
  <c r="R24" i="197"/>
  <c r="M2" i="199"/>
  <c r="N14" i="194"/>
  <c r="O17" i="210"/>
  <c r="O2" i="199"/>
  <c r="O2" i="207"/>
  <c r="R23" i="192"/>
  <c r="Q31" i="197"/>
  <c r="P29" i="202"/>
  <c r="N36" i="200"/>
  <c r="L43" i="197"/>
  <c r="O10" i="202"/>
  <c r="O44" i="198"/>
  <c r="T26" i="200"/>
  <c r="N12" i="202"/>
  <c r="Q21" i="194"/>
  <c r="L21" i="195"/>
  <c r="P6" i="198"/>
  <c r="R45" i="197"/>
  <c r="Q22" i="196"/>
  <c r="M9" i="202"/>
  <c r="N8" i="197"/>
  <c r="U9" i="193"/>
  <c r="T30" i="192"/>
  <c r="O28" i="203"/>
  <c r="Q22" i="201"/>
  <c r="Q36" i="198"/>
  <c r="L4" i="198"/>
  <c r="N43" i="210"/>
  <c r="Q17" i="202"/>
  <c r="O25" i="201"/>
  <c r="T5" i="193"/>
  <c r="P25" i="193"/>
  <c r="U28" i="197"/>
  <c r="R41" i="198"/>
  <c r="R24" i="192"/>
  <c r="R33" i="211"/>
  <c r="N11" i="205"/>
  <c r="R17" i="191"/>
  <c r="L5" i="205"/>
  <c r="P20" i="197"/>
  <c r="S16" i="205"/>
  <c r="O12" i="195"/>
  <c r="S27" i="201"/>
  <c r="Q28" i="191"/>
  <c r="T38" i="204"/>
  <c r="Q29" i="200"/>
  <c r="P7" i="191"/>
  <c r="L41" i="212"/>
  <c r="Q40" i="204"/>
  <c r="Q18" i="202"/>
  <c r="M25" i="205"/>
  <c r="P10" i="201"/>
  <c r="O41" i="193"/>
  <c r="N10" i="202"/>
  <c r="N29" i="207"/>
  <c r="S23" i="207"/>
  <c r="M42" i="195"/>
  <c r="R2" i="193"/>
  <c r="M2" i="195"/>
  <c r="U42" i="198"/>
  <c r="L39" i="198"/>
  <c r="U36" i="196"/>
  <c r="N31" i="204"/>
  <c r="O24" i="191"/>
  <c r="Q24" i="209"/>
  <c r="R44" i="201"/>
  <c r="T18" i="201"/>
  <c r="S36" i="207"/>
  <c r="L32" i="199"/>
  <c r="O28" i="205"/>
  <c r="N20" i="198"/>
  <c r="Q25" i="205"/>
  <c r="S32" i="202"/>
  <c r="O40" i="206"/>
  <c r="O9" i="209"/>
  <c r="U28" i="203"/>
  <c r="U22" i="195"/>
  <c r="T3" i="208"/>
  <c r="P44" i="206"/>
  <c r="L13" i="207"/>
  <c r="N36" i="193"/>
  <c r="S46" i="193"/>
  <c r="R36" i="198"/>
  <c r="N11" i="200"/>
  <c r="O30" i="195"/>
  <c r="R44" i="199"/>
  <c r="P32" i="205"/>
  <c r="T2" i="205"/>
  <c r="R42" i="204"/>
  <c r="R36" i="202"/>
  <c r="N16" i="200"/>
  <c r="R4" i="193"/>
  <c r="S21" i="201"/>
  <c r="P41" i="208"/>
  <c r="M3" i="206"/>
  <c r="U20" i="206"/>
  <c r="P4" i="199"/>
  <c r="O16" i="207"/>
  <c r="M36" i="203"/>
  <c r="T16" i="200"/>
  <c r="L16" i="204"/>
  <c r="U35" i="197"/>
  <c r="T38" i="202"/>
  <c r="P39" i="196"/>
  <c r="L13" i="205"/>
  <c r="N24" i="198"/>
  <c r="M24" i="196"/>
  <c r="N35" i="200"/>
  <c r="N35" i="194"/>
  <c r="R28" i="191"/>
  <c r="L42" i="207"/>
  <c r="U13" i="201"/>
  <c r="Q5" i="193"/>
  <c r="P2" i="197"/>
  <c r="Q10" i="204"/>
  <c r="M12" i="203"/>
  <c r="P25" i="201"/>
  <c r="U20" i="208"/>
  <c r="P11" i="200"/>
  <c r="S14" i="201"/>
  <c r="M31" i="203"/>
  <c r="L10" i="204"/>
  <c r="Q15" i="209"/>
  <c r="T34" i="205"/>
  <c r="S28" i="198"/>
  <c r="L34" i="200"/>
  <c r="L27" i="208"/>
  <c r="N26" i="197"/>
  <c r="N38" i="193"/>
  <c r="N28" i="200"/>
  <c r="P8" i="205"/>
  <c r="R5" i="203"/>
  <c r="N33" i="206"/>
  <c r="O11" i="196"/>
  <c r="P6" i="206"/>
  <c r="U4" i="193"/>
  <c r="M8" i="208"/>
  <c r="R23" i="197"/>
  <c r="Q24" i="201"/>
  <c r="U5" i="199"/>
  <c r="O19" i="201"/>
  <c r="M8" i="191"/>
  <c r="O45" i="199"/>
  <c r="R16" i="196"/>
  <c r="U16" i="208"/>
  <c r="R36" i="212"/>
  <c r="T10" i="195"/>
  <c r="M17" i="199"/>
  <c r="M43" i="208"/>
  <c r="N23" i="204"/>
  <c r="L28" i="199"/>
  <c r="R3" i="203"/>
  <c r="M19" i="203"/>
  <c r="O24" i="193"/>
  <c r="S29" i="196"/>
  <c r="R38" i="208"/>
  <c r="P3" i="199"/>
  <c r="U44" i="194"/>
  <c r="Q31" i="203"/>
  <c r="O41" i="195"/>
  <c r="U22" i="205"/>
  <c r="O9" i="199"/>
  <c r="Q25" i="210"/>
  <c r="N2" i="204"/>
  <c r="M11" i="191"/>
  <c r="L46" i="204"/>
  <c r="L24" i="212"/>
  <c r="T21" i="204"/>
  <c r="O46" i="193"/>
  <c r="P2" i="205"/>
  <c r="P21" i="202"/>
  <c r="N23" i="211"/>
  <c r="O10" i="210"/>
  <c r="L43" i="202"/>
  <c r="U9" i="214"/>
  <c r="N23" i="207"/>
  <c r="S27" i="195"/>
  <c r="N36" i="209"/>
  <c r="L22" i="207"/>
  <c r="S17" i="211"/>
  <c r="O21" i="200"/>
  <c r="R29" i="193"/>
  <c r="N31" i="196"/>
  <c r="Q16" i="205"/>
  <c r="T35" i="207"/>
  <c r="T26" i="204"/>
  <c r="O27" i="213"/>
  <c r="S29" i="208"/>
  <c r="L28" i="196"/>
  <c r="M10" i="196"/>
  <c r="O2" i="196"/>
  <c r="T35" i="195"/>
  <c r="P40" i="194"/>
  <c r="Q18" i="206"/>
  <c r="S33" i="207"/>
  <c r="M32" i="214"/>
  <c r="Q44" i="206"/>
  <c r="Q43" i="199"/>
  <c r="N5" i="191"/>
  <c r="S2" i="205"/>
  <c r="P35" i="194"/>
  <c r="Q18" i="205"/>
  <c r="Q28" i="206"/>
  <c r="U46" i="198"/>
  <c r="U14" i="205"/>
  <c r="O12" i="204"/>
  <c r="O7" i="206"/>
  <c r="M22" i="207"/>
  <c r="R22" i="203"/>
  <c r="P19" i="199"/>
  <c r="O42" i="206"/>
  <c r="P40" i="203"/>
  <c r="T27" i="197"/>
  <c r="R28" i="206"/>
  <c r="L40" i="206"/>
  <c r="S38" i="197"/>
  <c r="P20" i="196"/>
  <c r="T24" i="204"/>
  <c r="U18" i="198"/>
  <c r="S31" i="200"/>
  <c r="R46" i="195"/>
  <c r="P36" i="193"/>
  <c r="O28" i="193"/>
  <c r="T28" i="202"/>
  <c r="P26" i="192"/>
  <c r="N42" i="201"/>
  <c r="S2" i="197"/>
  <c r="T22" i="206"/>
  <c r="T32" i="204"/>
  <c r="S38" i="192"/>
  <c r="Q42" i="192"/>
  <c r="R32" i="200"/>
  <c r="U26" i="193"/>
  <c r="N38" i="206"/>
  <c r="P20" i="199"/>
  <c r="Q27" i="202"/>
  <c r="R18" i="201"/>
  <c r="O12" i="211"/>
  <c r="R39" i="199"/>
  <c r="U13" i="196"/>
  <c r="T42" i="200"/>
  <c r="T37" i="206"/>
  <c r="M46" i="201"/>
  <c r="T30" i="204"/>
  <c r="M42" i="207"/>
  <c r="M34" i="203"/>
  <c r="U32" i="208"/>
  <c r="Q7" i="203"/>
  <c r="O40" i="202"/>
  <c r="M28" i="204"/>
  <c r="Q40" i="205"/>
  <c r="N33" i="208"/>
  <c r="M45" i="195"/>
  <c r="L9" i="201"/>
  <c r="O32" i="193"/>
  <c r="U32" i="200"/>
  <c r="Q46" i="199"/>
  <c r="P28" i="205"/>
  <c r="U25" i="204"/>
  <c r="R9" i="202"/>
  <c r="O18" i="200"/>
  <c r="R44" i="204"/>
  <c r="T33" i="203"/>
  <c r="O16" i="191"/>
  <c r="L35" i="199"/>
  <c r="N41" i="193"/>
  <c r="R13" i="201"/>
  <c r="M7" i="204"/>
  <c r="S16" i="206"/>
  <c r="L44" i="198"/>
  <c r="N8" i="201"/>
  <c r="O30" i="201"/>
  <c r="U18" i="207"/>
  <c r="R10" i="197"/>
  <c r="O5" i="199"/>
  <c r="N39" i="204"/>
  <c r="N34" i="205"/>
  <c r="L45" i="201"/>
  <c r="U6" i="196"/>
  <c r="O23" i="205"/>
  <c r="R42" i="206"/>
  <c r="Q9" i="199"/>
  <c r="N8" i="210"/>
  <c r="U35" i="201"/>
  <c r="S44" i="191"/>
  <c r="O21" i="191"/>
  <c r="T37" i="201"/>
  <c r="Q7" i="194"/>
  <c r="T30" i="210"/>
  <c r="M21" i="191"/>
  <c r="Q32" i="212"/>
  <c r="R11" i="192"/>
  <c r="S25" i="213"/>
  <c r="N28" i="207"/>
  <c r="P22" i="209"/>
  <c r="T2" i="202"/>
  <c r="M10" i="205"/>
  <c r="U21" i="193"/>
  <c r="O38" i="195"/>
  <c r="N22" i="194"/>
  <c r="U44" i="201"/>
  <c r="Q7" i="206"/>
  <c r="T18" i="205"/>
  <c r="O27" i="214"/>
  <c r="S28" i="202"/>
  <c r="O9" i="197"/>
  <c r="N4" i="210"/>
  <c r="P21" i="199"/>
  <c r="N18" i="208"/>
  <c r="Q15" i="204"/>
  <c r="Q44" i="205"/>
  <c r="R36" i="205"/>
  <c r="Q41" i="201"/>
  <c r="R23" i="191"/>
  <c r="O17" i="203"/>
  <c r="R37" i="211"/>
  <c r="U16" i="193"/>
  <c r="O13" i="198"/>
  <c r="P12" i="192"/>
  <c r="M37" i="197"/>
  <c r="O23" i="202"/>
  <c r="L24" i="205"/>
  <c r="P8" i="200"/>
  <c r="O13" i="202"/>
  <c r="Q25" i="198"/>
  <c r="Q13" i="210"/>
  <c r="T11" i="200"/>
  <c r="R28" i="201"/>
  <c r="M46" i="214"/>
  <c r="R21" i="194"/>
  <c r="T11" i="201"/>
  <c r="O29" i="199"/>
  <c r="L2" i="204"/>
  <c r="M44" i="201"/>
  <c r="L29" i="196"/>
  <c r="M18" i="192"/>
  <c r="R17" i="199"/>
  <c r="U44" i="204"/>
  <c r="L45" i="205"/>
  <c r="R21" i="207"/>
  <c r="O16" i="201"/>
  <c r="R28" i="199"/>
  <c r="M9" i="205"/>
  <c r="P16" i="201"/>
  <c r="T9" i="203"/>
  <c r="S18" i="204"/>
  <c r="O8" i="205"/>
  <c r="S26" i="203"/>
  <c r="P18" i="196"/>
  <c r="P2" i="196"/>
  <c r="M30" i="192"/>
  <c r="R21" i="192"/>
  <c r="Q36" i="191"/>
  <c r="R7" i="197"/>
  <c r="T9" i="210"/>
  <c r="L7" i="202"/>
  <c r="Q8" i="202"/>
  <c r="S6" i="198"/>
  <c r="R5" i="197"/>
  <c r="N41" i="197"/>
  <c r="R20" i="193"/>
  <c r="M17" i="204"/>
  <c r="R33" i="205"/>
  <c r="R6" i="193"/>
  <c r="L33" i="206"/>
  <c r="Q37" i="200"/>
  <c r="O13" i="192"/>
  <c r="O41" i="198"/>
  <c r="N22" i="191"/>
  <c r="N4" i="192"/>
  <c r="O20" i="198"/>
  <c r="R35" i="204"/>
  <c r="U37" i="207"/>
  <c r="U3" i="201"/>
  <c r="N12" i="210"/>
  <c r="O17" i="199"/>
  <c r="R33" i="196"/>
  <c r="L16" i="194"/>
  <c r="N27" i="201"/>
  <c r="R18" i="196"/>
  <c r="N8" i="206"/>
  <c r="S33" i="205"/>
  <c r="O24" i="202"/>
  <c r="N7" i="195"/>
  <c r="N34" i="191"/>
  <c r="R20" i="194"/>
  <c r="Q10" i="196"/>
  <c r="S20" i="197"/>
  <c r="Q4" i="198"/>
  <c r="N11" i="192"/>
  <c r="S25" i="200"/>
  <c r="R20" i="192"/>
  <c r="T42" i="198"/>
  <c r="O28" i="192"/>
  <c r="N27" i="208"/>
  <c r="U2" i="192"/>
  <c r="R31" i="199"/>
  <c r="O4" i="193"/>
  <c r="P15" i="196"/>
  <c r="Q40" i="191"/>
  <c r="L8" i="192"/>
  <c r="L26" i="199"/>
  <c r="L5" i="197"/>
  <c r="T33" i="191"/>
  <c r="N26" i="191"/>
  <c r="T24" i="191"/>
  <c r="P27" i="192"/>
  <c r="Q14" i="191"/>
  <c r="U36" i="197"/>
  <c r="L44" i="196"/>
  <c r="M41" i="191"/>
  <c r="N31" i="194"/>
  <c r="M4" i="198"/>
  <c r="P42" i="200"/>
  <c r="T12" i="195"/>
  <c r="Q4" i="194"/>
  <c r="M28" i="202"/>
  <c r="T39" i="198"/>
  <c r="O30" i="202"/>
  <c r="T18" i="206"/>
  <c r="N21" i="209"/>
  <c r="S14" i="200"/>
  <c r="Q5" i="210"/>
  <c r="U39" i="212"/>
  <c r="Q28" i="202"/>
  <c r="T21" i="197"/>
  <c r="R27" i="208"/>
  <c r="O24" i="208"/>
  <c r="T40" i="206"/>
  <c r="S13" i="203"/>
  <c r="S10" i="198"/>
  <c r="U26" i="207"/>
  <c r="L41" i="206"/>
  <c r="L22" i="194"/>
  <c r="P35" i="196"/>
  <c r="U33" i="200"/>
  <c r="L12" i="203"/>
  <c r="R46" i="194"/>
  <c r="U33" i="202"/>
  <c r="M41" i="206"/>
  <c r="L26" i="198"/>
  <c r="R3" i="196"/>
  <c r="M42" i="204"/>
  <c r="O23" i="193"/>
  <c r="P12" i="193"/>
  <c r="Q20" i="209"/>
  <c r="T40" i="195"/>
  <c r="O7" i="205"/>
  <c r="S24" i="199"/>
  <c r="T31" i="194"/>
  <c r="P18" i="209"/>
  <c r="M16" i="191"/>
  <c r="Q27" i="200"/>
  <c r="M14" i="202"/>
  <c r="S43" i="205"/>
  <c r="P3" i="201"/>
  <c r="O31" i="213"/>
  <c r="O44" i="207"/>
  <c r="T17" i="208"/>
  <c r="U8" i="208"/>
  <c r="N10" i="198"/>
  <c r="P12" i="204"/>
  <c r="L27" i="202"/>
  <c r="T20" i="194"/>
  <c r="L16" i="193"/>
  <c r="S12" i="193"/>
  <c r="Q5" i="211"/>
  <c r="O18" i="197"/>
  <c r="N16" i="205"/>
  <c r="Q5" i="201"/>
  <c r="S29" i="197"/>
  <c r="S38" i="206"/>
  <c r="T29" i="204"/>
  <c r="S32" i="201"/>
  <c r="U15" i="201"/>
  <c r="R4" i="197"/>
  <c r="S14" i="209"/>
  <c r="N25" i="194"/>
  <c r="S7" i="197"/>
  <c r="R16" i="197"/>
  <c r="S16" i="196"/>
  <c r="S16" i="202"/>
  <c r="T9" i="204"/>
  <c r="S33" i="201"/>
  <c r="L39" i="195"/>
  <c r="R44" i="191"/>
  <c r="P27" i="201"/>
  <c r="U2" i="206"/>
  <c r="L15" i="208"/>
  <c r="N5" i="194"/>
  <c r="P41" i="201"/>
  <c r="M41" i="195"/>
  <c r="N12" i="200"/>
  <c r="M30" i="200"/>
  <c r="M6" i="199"/>
  <c r="S37" i="191"/>
  <c r="O15" i="191"/>
  <c r="N12" i="195"/>
  <c r="L16" i="203"/>
  <c r="U6" i="192"/>
  <c r="U21" i="201"/>
  <c r="T31" i="196"/>
  <c r="T41" i="199"/>
  <c r="U23" i="195"/>
  <c r="N6" i="201"/>
  <c r="T4" i="200"/>
  <c r="S28" i="194"/>
  <c r="L31" i="204"/>
  <c r="R39" i="196"/>
  <c r="Q27" i="201"/>
  <c r="O29" i="197"/>
  <c r="S42" i="196"/>
  <c r="M8" i="200"/>
  <c r="U13" i="194"/>
  <c r="P12" i="199"/>
  <c r="Q20" i="203"/>
  <c r="T25" i="207"/>
  <c r="L14" i="205"/>
  <c r="U30" i="210"/>
  <c r="N18" i="191"/>
  <c r="S11" i="197"/>
  <c r="P5" i="191"/>
  <c r="U12" i="192"/>
  <c r="P21" i="198"/>
  <c r="U24" i="195"/>
  <c r="M41" i="197"/>
  <c r="P8" i="196"/>
  <c r="M5" i="196"/>
  <c r="T36" i="201"/>
  <c r="N19" i="196"/>
  <c r="S39" i="194"/>
  <c r="L25" i="196"/>
  <c r="R44" i="198"/>
  <c r="P35" i="201"/>
  <c r="R18" i="194"/>
  <c r="Q5" i="207"/>
  <c r="M45" i="197"/>
  <c r="Q27" i="197"/>
  <c r="L7" i="207"/>
  <c r="P7" i="208"/>
  <c r="R24" i="204"/>
  <c r="S20" i="202"/>
  <c r="U5" i="191"/>
  <c r="P37" i="192"/>
  <c r="L8" i="195"/>
  <c r="L21" i="205"/>
  <c r="M3" i="204"/>
  <c r="T8" i="198"/>
  <c r="T27" i="209"/>
  <c r="P30" i="209"/>
  <c r="U2" i="207"/>
  <c r="P9" i="207"/>
  <c r="U20" i="204"/>
  <c r="L28" i="201"/>
  <c r="N15" i="192"/>
  <c r="M18" i="199"/>
  <c r="O28" i="209"/>
  <c r="N39" i="207"/>
  <c r="L46" i="199"/>
  <c r="O35" i="197"/>
  <c r="T43" i="196"/>
  <c r="R13" i="204"/>
  <c r="M45" i="207"/>
  <c r="M28" i="211"/>
  <c r="L33" i="207"/>
  <c r="R26" i="203"/>
  <c r="P21" i="207"/>
  <c r="M40" i="200"/>
  <c r="T27" i="203"/>
  <c r="O31" i="207"/>
  <c r="P29" i="211"/>
  <c r="M33" i="196"/>
  <c r="Q10" i="193"/>
  <c r="M29" i="197"/>
  <c r="S43" i="211"/>
  <c r="U38" i="205"/>
  <c r="N45" i="193"/>
  <c r="U34" i="195"/>
  <c r="Q37" i="193"/>
  <c r="O45" i="202"/>
  <c r="U23" i="199"/>
  <c r="S2" i="196"/>
  <c r="R15" i="195"/>
  <c r="R17" i="197"/>
  <c r="M2" i="211"/>
  <c r="U42" i="201"/>
  <c r="S36" i="202"/>
  <c r="T9" i="208"/>
  <c r="T2" i="200"/>
  <c r="Q21" i="206"/>
  <c r="T29" i="201"/>
  <c r="P32" i="192"/>
  <c r="S22" i="196"/>
  <c r="R28" i="205"/>
  <c r="U38" i="199"/>
  <c r="R17" i="192"/>
  <c r="R29" i="192"/>
  <c r="U33" i="192"/>
  <c r="L29" i="199"/>
  <c r="N7" i="204"/>
  <c r="S36" i="198"/>
  <c r="M30" i="209"/>
  <c r="R39" i="209"/>
  <c r="O17" i="202"/>
  <c r="Q5" i="205"/>
  <c r="O28" i="194"/>
  <c r="R22" i="205"/>
  <c r="O2" i="197"/>
  <c r="U22" i="201"/>
  <c r="L23" i="197"/>
  <c r="L32" i="198"/>
  <c r="T34" i="193"/>
  <c r="T3" i="201"/>
  <c r="U3" i="191"/>
  <c r="N33" i="203"/>
  <c r="P25" i="200"/>
  <c r="U40" i="211"/>
  <c r="M2" i="192"/>
  <c r="M24" i="199"/>
  <c r="T5" i="199"/>
  <c r="N6" i="203"/>
  <c r="N26" i="193"/>
  <c r="L42" i="205"/>
  <c r="U44" i="192"/>
  <c r="N25" i="196"/>
  <c r="P24" i="209"/>
  <c r="R22" i="197"/>
  <c r="T40" i="198"/>
  <c r="L45" i="209"/>
  <c r="U36" i="199"/>
  <c r="R22" i="195"/>
  <c r="T42" i="196"/>
  <c r="Q31" i="195"/>
  <c r="M32" i="203"/>
  <c r="S28" i="210"/>
  <c r="P43" i="204"/>
  <c r="N46" i="201"/>
  <c r="L38" i="192"/>
  <c r="P22" i="191"/>
  <c r="Q18" i="196"/>
  <c r="T42" i="201"/>
  <c r="U7" i="205"/>
  <c r="L16" i="201"/>
  <c r="T19" i="205"/>
  <c r="M34" i="205"/>
  <c r="U25" i="207"/>
  <c r="Q14" i="192"/>
  <c r="N8" i="198"/>
  <c r="Q16" i="198"/>
  <c r="L18" i="198"/>
  <c r="Q25" i="194"/>
  <c r="U27" i="210"/>
  <c r="L37" i="195"/>
  <c r="S40" i="203"/>
  <c r="L18" i="202"/>
  <c r="U20" i="198"/>
  <c r="R12" i="204"/>
  <c r="M3" i="208"/>
  <c r="R43" i="193"/>
  <c r="N44" i="200"/>
  <c r="T46" i="196"/>
  <c r="T17" i="199"/>
  <c r="P2" i="198"/>
  <c r="L43" i="204"/>
  <c r="P31" i="212"/>
  <c r="P10" i="210"/>
  <c r="N27" i="191"/>
  <c r="T21" i="194"/>
  <c r="P15" i="197"/>
  <c r="R12" i="196"/>
  <c r="L33" i="202"/>
  <c r="O26" i="203"/>
  <c r="U46" i="202"/>
  <c r="R20" i="196"/>
  <c r="N18" i="199"/>
  <c r="N24" i="194"/>
  <c r="S44" i="204"/>
  <c r="M17" i="205"/>
  <c r="N8" i="207"/>
  <c r="T32" i="207"/>
  <c r="P23" i="198"/>
  <c r="O32" i="212"/>
  <c r="O42" i="202"/>
  <c r="N15" i="206"/>
  <c r="P24" i="204"/>
  <c r="Q3" i="206"/>
  <c r="L38" i="199"/>
  <c r="N45" i="210"/>
  <c r="M25" i="207"/>
  <c r="P23" i="212"/>
  <c r="S11" i="203"/>
  <c r="R29" i="206"/>
  <c r="T23" i="203"/>
  <c r="T44" i="202"/>
  <c r="U32" i="209"/>
  <c r="P22" i="193"/>
  <c r="T20" i="206"/>
  <c r="R3" i="191"/>
  <c r="R16" i="213"/>
  <c r="Q11" i="194"/>
  <c r="L41" i="200"/>
  <c r="O30" i="192"/>
  <c r="U32" i="193"/>
  <c r="P24" i="197"/>
  <c r="L41" i="197"/>
  <c r="Q12" i="212"/>
  <c r="O14" i="195"/>
  <c r="R22" i="202"/>
  <c r="L37" i="202"/>
  <c r="S28" i="204"/>
  <c r="L4" i="193"/>
  <c r="N33" i="201"/>
  <c r="U2" i="203"/>
  <c r="N42" i="208"/>
  <c r="P28" i="206"/>
  <c r="O11" i="204"/>
  <c r="P41" i="205"/>
  <c r="O32" i="206"/>
  <c r="N16" i="207"/>
  <c r="O18" i="203"/>
  <c r="M39" i="198"/>
  <c r="T8" i="203"/>
  <c r="O42" i="210"/>
  <c r="U32" i="203"/>
  <c r="U25" i="201"/>
  <c r="O4" i="203"/>
  <c r="R5" i="191"/>
  <c r="Q14" i="196"/>
  <c r="N27" i="205"/>
  <c r="S22" i="201"/>
  <c r="Q38" i="196"/>
  <c r="M4" i="207"/>
  <c r="P34" i="200"/>
  <c r="M37" i="191"/>
  <c r="O41" i="202"/>
  <c r="Q29" i="194"/>
  <c r="P19" i="198"/>
  <c r="S25" i="206"/>
  <c r="S18" i="205"/>
  <c r="S30" i="192"/>
  <c r="M7" i="196"/>
  <c r="M40" i="193"/>
  <c r="T35" i="199"/>
  <c r="P30" i="191"/>
  <c r="O11" i="199"/>
  <c r="U10" i="205"/>
  <c r="M33" i="214"/>
  <c r="O16" i="198"/>
  <c r="Q22" i="193"/>
  <c r="U16" i="202"/>
  <c r="P9" i="201"/>
  <c r="S12" i="206"/>
  <c r="T2" i="204"/>
  <c r="M10" i="204"/>
  <c r="S40" i="200"/>
  <c r="Q44" i="202"/>
  <c r="P35" i="200"/>
  <c r="U32" i="198"/>
  <c r="S13" i="193"/>
  <c r="T24" i="200"/>
  <c r="U27" i="191"/>
  <c r="Q31" i="199"/>
  <c r="L31" i="208"/>
  <c r="P19" i="196"/>
  <c r="R10" i="195"/>
  <c r="P10" i="197"/>
  <c r="N24" i="192"/>
  <c r="T13" i="191"/>
  <c r="O8" i="208"/>
  <c r="N39" i="208"/>
  <c r="R9" i="207"/>
  <c r="U40" i="212"/>
  <c r="R41" i="209"/>
  <c r="S36" i="200"/>
  <c r="P10" i="195"/>
  <c r="Q20" i="204"/>
  <c r="T28" i="192"/>
  <c r="L17" i="199"/>
  <c r="S2" i="191"/>
  <c r="O26" i="207"/>
  <c r="Q35" i="198"/>
  <c r="Q43" i="204"/>
  <c r="P10" i="198"/>
  <c r="N44" i="204"/>
  <c r="Q4" i="202"/>
  <c r="S9" i="200"/>
  <c r="N5" i="206"/>
  <c r="T38" i="205"/>
  <c r="O31" i="200"/>
  <c r="P11" i="198"/>
  <c r="L43" i="203"/>
  <c r="L6" i="196"/>
  <c r="O10" i="199"/>
  <c r="O46" i="196"/>
  <c r="N40" i="209"/>
  <c r="N15" i="209"/>
  <c r="R41" i="191"/>
  <c r="L39" i="192"/>
  <c r="S17" i="196"/>
  <c r="O14" i="204"/>
  <c r="S41" i="201"/>
  <c r="U29" i="192"/>
  <c r="S23" i="209"/>
  <c r="L23" i="209"/>
  <c r="U20" i="207"/>
  <c r="P15" i="207"/>
  <c r="S44" i="205"/>
  <c r="M7" i="202"/>
  <c r="O9" i="200"/>
  <c r="P18" i="202"/>
  <c r="O39" i="205"/>
  <c r="P11" i="202"/>
  <c r="T3" i="207"/>
  <c r="U19" i="208"/>
  <c r="O33" i="203"/>
  <c r="R23" i="210"/>
  <c r="P39" i="194"/>
  <c r="U36" i="205"/>
  <c r="O31" i="198"/>
  <c r="N34" i="207"/>
  <c r="M26" i="198"/>
  <c r="N38" i="197"/>
  <c r="M33" i="209"/>
  <c r="U25" i="214"/>
  <c r="L25" i="209"/>
  <c r="O11" i="197"/>
  <c r="T11" i="208"/>
  <c r="Q32" i="204"/>
  <c r="N36" i="205"/>
  <c r="Q29" i="202"/>
  <c r="P7" i="203"/>
  <c r="S31" i="203"/>
  <c r="Q13" i="193"/>
  <c r="M46" i="203"/>
  <c r="T44" i="194"/>
  <c r="N8" i="203"/>
  <c r="L22" i="193"/>
  <c r="O15" i="198"/>
  <c r="U14" i="202"/>
  <c r="L7" i="208"/>
  <c r="N37" i="208"/>
  <c r="T21" i="205"/>
  <c r="S2" i="204"/>
  <c r="P42" i="206"/>
  <c r="P18" i="193"/>
  <c r="Q10" i="210"/>
  <c r="R37" i="202"/>
  <c r="P26" i="197"/>
  <c r="M14" i="193"/>
  <c r="L26" i="203"/>
  <c r="N36" i="210"/>
  <c r="T46" i="191"/>
  <c r="P27" i="204"/>
  <c r="U22" i="198"/>
  <c r="P15" i="198"/>
  <c r="T7" i="209"/>
  <c r="M15" i="202"/>
  <c r="U33" i="206"/>
  <c r="P15" i="205"/>
  <c r="N2" i="194"/>
  <c r="S35" i="193"/>
  <c r="N10" i="203"/>
  <c r="U33" i="199"/>
  <c r="M20" i="205"/>
  <c r="M46" i="193"/>
  <c r="L31" i="203"/>
  <c r="Q28" i="200"/>
  <c r="N42" i="195"/>
  <c r="O28" i="195"/>
  <c r="R43" i="198"/>
  <c r="Q14" i="207"/>
  <c r="L35" i="202"/>
  <c r="N43" i="202"/>
  <c r="Q32" i="191"/>
  <c r="L14" i="196"/>
  <c r="S25" i="199"/>
  <c r="T19" i="198"/>
  <c r="T2" i="203"/>
  <c r="S23" i="199"/>
  <c r="M5" i="205"/>
  <c r="U16" i="191"/>
  <c r="N28" i="201"/>
  <c r="T14" i="210"/>
  <c r="M43" i="192"/>
  <c r="S42" i="204"/>
  <c r="U35" i="199"/>
  <c r="S41" i="193"/>
  <c r="Q6" i="194"/>
  <c r="T18" i="196"/>
  <c r="Q40" i="201"/>
  <c r="S38" i="201"/>
  <c r="U45" i="203"/>
  <c r="O2" i="201"/>
  <c r="P11" i="209"/>
  <c r="S3" i="204"/>
  <c r="T42" i="199"/>
  <c r="R15" i="200"/>
  <c r="Q44" i="191"/>
  <c r="P17" i="193"/>
  <c r="M6" i="210"/>
  <c r="T40" i="197"/>
  <c r="T3" i="197"/>
  <c r="T13" i="192"/>
  <c r="U45" i="196"/>
  <c r="L38" i="197"/>
  <c r="L44" i="192"/>
  <c r="Q2" i="198"/>
  <c r="M38" i="200"/>
  <c r="M15" i="197"/>
  <c r="M14" i="198"/>
  <c r="S12" i="201"/>
  <c r="L14" i="210"/>
  <c r="S39" i="193"/>
  <c r="T31" i="193"/>
  <c r="Q5" i="206"/>
  <c r="N40" i="197"/>
  <c r="M36" i="202"/>
  <c r="M5" i="191"/>
  <c r="M46" i="195"/>
  <c r="U2" i="201"/>
  <c r="L18" i="203"/>
  <c r="S39" i="201"/>
  <c r="L21" i="202"/>
  <c r="Q30" i="201"/>
  <c r="N37" i="199"/>
  <c r="O7" i="191"/>
  <c r="P41" i="197"/>
  <c r="R10" i="194"/>
  <c r="O37" i="193"/>
  <c r="Q43" i="214"/>
  <c r="Q43" i="206"/>
  <c r="U28" i="210"/>
  <c r="L2" i="205"/>
  <c r="R43" i="210"/>
  <c r="S20" i="207"/>
  <c r="N5" i="199"/>
  <c r="R35" i="199"/>
  <c r="L11" i="207"/>
  <c r="T31" i="210"/>
  <c r="O7" i="211"/>
  <c r="L11" i="201"/>
  <c r="R32" i="201"/>
  <c r="Q21" i="202"/>
  <c r="M5" i="193"/>
  <c r="R6" i="203"/>
  <c r="R9" i="201"/>
  <c r="N42" i="202"/>
  <c r="Q20" i="206"/>
  <c r="R25" i="206"/>
  <c r="T8" i="210"/>
  <c r="T12" i="194"/>
  <c r="P36" i="201"/>
  <c r="P16" i="196"/>
  <c r="U41" i="194"/>
  <c r="O12" i="197"/>
  <c r="M19" i="201"/>
  <c r="Q26" i="201"/>
  <c r="U3" i="206"/>
  <c r="L13" i="199"/>
  <c r="Q32" i="202"/>
  <c r="P14" i="210"/>
  <c r="Q29" i="193"/>
  <c r="O26" i="191"/>
  <c r="R23" i="194"/>
  <c r="M8" i="193"/>
  <c r="Q37" i="203"/>
  <c r="M30" i="207"/>
  <c r="O16" i="206"/>
  <c r="O34" i="195"/>
  <c r="P4" i="201"/>
  <c r="O26" i="192"/>
  <c r="N17" i="201"/>
  <c r="T11" i="194"/>
  <c r="S4" i="205"/>
  <c r="O11" i="202"/>
  <c r="L7" i="204"/>
  <c r="N28" i="208"/>
  <c r="Q39" i="200"/>
  <c r="U31" i="196"/>
  <c r="R38" i="198"/>
  <c r="T22" i="200"/>
  <c r="N46" i="204"/>
  <c r="R25" i="203"/>
  <c r="M29" i="198"/>
  <c r="S17" i="201"/>
  <c r="S8" i="208"/>
  <c r="T40" i="205"/>
  <c r="O46" i="207"/>
  <c r="T24" i="207"/>
  <c r="L24" i="204"/>
  <c r="L5" i="200"/>
  <c r="M28" i="192"/>
  <c r="U29" i="205"/>
  <c r="O26" i="201"/>
  <c r="O17" i="207"/>
  <c r="P28" i="199"/>
  <c r="U16" i="198"/>
  <c r="U3" i="205"/>
  <c r="N16" i="198"/>
  <c r="Q30" i="203"/>
  <c r="S23" i="197"/>
  <c r="Q41" i="194"/>
  <c r="T4" i="194"/>
  <c r="U4" i="198"/>
  <c r="O9" i="201"/>
  <c r="P40" i="200"/>
  <c r="M4" i="199"/>
  <c r="T44" i="198"/>
  <c r="O7" i="192"/>
  <c r="T29" i="193"/>
  <c r="M27" i="198"/>
  <c r="L46" i="193"/>
  <c r="P43" i="199"/>
  <c r="R15" i="194"/>
  <c r="P42" i="199"/>
  <c r="M38" i="194"/>
  <c r="S26" i="201"/>
  <c r="Q7" i="196"/>
  <c r="L40" i="194"/>
  <c r="M8" i="202"/>
  <c r="L36" i="193"/>
  <c r="O14" i="211"/>
  <c r="N44" i="199"/>
  <c r="N14" i="198"/>
  <c r="T42" i="195"/>
  <c r="U14" i="199"/>
  <c r="M30" i="194"/>
  <c r="Q10" i="199"/>
  <c r="Q38" i="200"/>
  <c r="N12" i="199"/>
  <c r="P17" i="195"/>
  <c r="L30" i="192"/>
  <c r="U2" i="195"/>
  <c r="T6" i="197"/>
  <c r="R19" i="194"/>
  <c r="T6" i="192"/>
  <c r="L35" i="193"/>
  <c r="N6" i="197"/>
  <c r="S34" i="197"/>
  <c r="L34" i="195"/>
  <c r="O46" i="198"/>
  <c r="L27" i="197"/>
  <c r="R31" i="197"/>
  <c r="U42" i="192"/>
  <c r="R13" i="205"/>
  <c r="T2" i="191"/>
  <c r="N38" i="203"/>
  <c r="M9" i="197"/>
  <c r="L42" i="198"/>
  <c r="U23" i="201"/>
  <c r="U33" i="195"/>
  <c r="U35" i="200"/>
  <c r="P30" i="202"/>
  <c r="P17" i="209"/>
  <c r="O41" i="208"/>
  <c r="N46" i="194"/>
  <c r="N32" i="202"/>
  <c r="N32" i="214"/>
  <c r="L37" i="212"/>
  <c r="S18" i="211"/>
  <c r="S25" i="198"/>
  <c r="R39" i="204"/>
  <c r="S3" i="198"/>
  <c r="T23" i="200"/>
  <c r="Q34" i="199"/>
  <c r="T46" i="202"/>
  <c r="P10" i="202"/>
  <c r="U24" i="205"/>
  <c r="Q33" i="209"/>
  <c r="M42" i="208"/>
  <c r="U8" i="202"/>
  <c r="Q29" i="197"/>
  <c r="L20" i="203"/>
  <c r="N19" i="198"/>
  <c r="R4" i="206"/>
  <c r="M7" i="203"/>
  <c r="T21" i="199"/>
  <c r="T33" i="208"/>
  <c r="R10" i="212"/>
  <c r="O17" i="201"/>
  <c r="P26" i="204"/>
  <c r="U14" i="200"/>
  <c r="M10" i="192"/>
  <c r="Q26" i="204"/>
  <c r="S21" i="192"/>
  <c r="M17" i="206"/>
  <c r="U37" i="209"/>
  <c r="T19" i="195"/>
  <c r="P10" i="191"/>
  <c r="P41" i="199"/>
  <c r="M36" i="198"/>
  <c r="S35" i="206"/>
  <c r="U42" i="202"/>
  <c r="S30" i="209"/>
  <c r="T37" i="191"/>
  <c r="R45" i="193"/>
  <c r="S29" i="209"/>
  <c r="N19" i="207"/>
  <c r="R17" i="198"/>
  <c r="U20" i="197"/>
  <c r="Q38" i="193"/>
  <c r="P31" i="194"/>
  <c r="S40" i="194"/>
  <c r="S21" i="196"/>
  <c r="S32" i="204"/>
  <c r="O45" i="204"/>
  <c r="L41" i="199"/>
  <c r="M20" i="193"/>
  <c r="U3" i="203"/>
  <c r="M34" i="200"/>
  <c r="S33" i="204"/>
  <c r="R9" i="199"/>
  <c r="R11" i="203"/>
  <c r="S30" i="208"/>
  <c r="S46" i="202"/>
  <c r="M33" i="194"/>
  <c r="T10" i="194"/>
  <c r="S5" i="202"/>
  <c r="P26" i="206"/>
  <c r="Q39" i="206"/>
  <c r="R6" i="204"/>
  <c r="S19" i="192"/>
  <c r="U9" i="199"/>
  <c r="U18" i="194"/>
  <c r="S14" i="191"/>
  <c r="Q13" i="213"/>
  <c r="M33" i="202"/>
  <c r="P39" i="204"/>
  <c r="L30" i="194"/>
  <c r="R17" i="201"/>
  <c r="N2" i="207"/>
  <c r="U5" i="194"/>
  <c r="T14" i="195"/>
  <c r="S43" i="192"/>
  <c r="T27" i="191"/>
  <c r="L31" i="198"/>
  <c r="L20" i="210"/>
  <c r="M32" i="191"/>
  <c r="S44" i="198"/>
  <c r="U21" i="198"/>
  <c r="S8" i="191"/>
  <c r="M17" i="207"/>
  <c r="O39" i="191"/>
  <c r="L17" i="202"/>
  <c r="M16" i="209"/>
  <c r="P44" i="197"/>
  <c r="L14" i="199"/>
  <c r="P46" i="196"/>
  <c r="O39" i="195"/>
  <c r="S40" i="196"/>
  <c r="Q19" i="193"/>
  <c r="P16" i="207"/>
  <c r="T9" i="209"/>
  <c r="P39" i="198"/>
  <c r="P23" i="206"/>
  <c r="O25" i="203"/>
  <c r="U14" i="210"/>
  <c r="P4" i="197"/>
  <c r="T19" i="199"/>
  <c r="U4" i="199"/>
  <c r="S10" i="200"/>
  <c r="S32" i="194"/>
  <c r="T24" i="205"/>
  <c r="R4" i="207"/>
  <c r="U42" i="203"/>
  <c r="O29" i="191"/>
  <c r="S37" i="205"/>
  <c r="M9" i="209"/>
  <c r="P46" i="203"/>
  <c r="M37" i="205"/>
  <c r="S34" i="206"/>
  <c r="S36" i="197"/>
  <c r="M13" i="192"/>
  <c r="T21" i="202"/>
  <c r="Q15" i="197"/>
  <c r="M19" i="196"/>
  <c r="S12" i="195"/>
  <c r="S5" i="210"/>
  <c r="Q27" i="196"/>
  <c r="S5" i="207"/>
  <c r="T40" i="203"/>
  <c r="T25" i="201"/>
  <c r="S15" i="200"/>
  <c r="Q28" i="192"/>
  <c r="Q22" i="212"/>
  <c r="S38" i="210"/>
  <c r="U18" i="213"/>
  <c r="L11" i="214"/>
  <c r="P34" i="203"/>
  <c r="Q15" i="205"/>
  <c r="L10" i="209"/>
  <c r="M27" i="206"/>
  <c r="L8" i="204"/>
  <c r="M39" i="203"/>
  <c r="R44" i="202"/>
  <c r="R34" i="201"/>
  <c r="T32" i="209"/>
  <c r="R11" i="201"/>
  <c r="O45" i="208"/>
  <c r="M35" i="195"/>
  <c r="L31" i="202"/>
  <c r="R43" i="205"/>
  <c r="R11" i="209"/>
  <c r="R2" i="197"/>
  <c r="U26" i="211"/>
  <c r="L5" i="209"/>
  <c r="S21" i="202"/>
  <c r="N19" i="201"/>
  <c r="T44" i="193"/>
  <c r="U23" i="206"/>
  <c r="M24" i="195"/>
  <c r="U27" i="202"/>
  <c r="M39" i="197"/>
  <c r="N39" i="198"/>
  <c r="O13" i="205"/>
  <c r="N14" i="199"/>
  <c r="R2" i="208"/>
  <c r="T19" i="203"/>
  <c r="N2" i="211"/>
  <c r="L34" i="203"/>
  <c r="N3" i="206"/>
  <c r="Q42" i="209"/>
  <c r="P23" i="208"/>
  <c r="U26" i="204"/>
  <c r="T21" i="207"/>
  <c r="O28" i="206"/>
  <c r="N28" i="203"/>
  <c r="T6" i="212"/>
  <c r="T44" i="199"/>
  <c r="Q21" i="205"/>
  <c r="O46" i="202"/>
  <c r="L33" i="208"/>
  <c r="O5" i="204"/>
  <c r="P9" i="202"/>
  <c r="S20" i="194"/>
  <c r="S24" i="204"/>
  <c r="R42" i="205"/>
  <c r="L17" i="194"/>
  <c r="P7" i="201"/>
  <c r="Q23" i="205"/>
  <c r="M24" i="197"/>
  <c r="T7" i="197"/>
  <c r="M13" i="199"/>
  <c r="S7" i="199"/>
  <c r="M21" i="205"/>
  <c r="O31" i="204"/>
  <c r="M38" i="202"/>
  <c r="U4" i="201"/>
  <c r="L24" i="207"/>
  <c r="T17" i="204"/>
  <c r="T33" i="207"/>
  <c r="Q21" i="204"/>
  <c r="R7" i="206"/>
  <c r="N20" i="206"/>
  <c r="U17" i="194"/>
  <c r="T26" i="195"/>
  <c r="N14" i="205"/>
  <c r="O40" i="211"/>
  <c r="L32" i="197"/>
  <c r="T25" i="208"/>
  <c r="O46" i="194"/>
  <c r="S31" i="205"/>
  <c r="Q12" i="205"/>
  <c r="U39" i="202"/>
  <c r="P29" i="201"/>
  <c r="U32" i="196"/>
  <c r="M4" i="208"/>
  <c r="T16" i="206"/>
  <c r="N35" i="206"/>
  <c r="M33" i="205"/>
  <c r="R12" i="206"/>
  <c r="R21" i="202"/>
  <c r="O4" i="207"/>
  <c r="P41" i="194"/>
  <c r="S41" i="192"/>
  <c r="P16" i="191"/>
  <c r="L26" i="191"/>
  <c r="O31" i="195"/>
  <c r="O2" i="205"/>
  <c r="U7" i="208"/>
  <c r="M13" i="203"/>
  <c r="R42" i="207"/>
  <c r="Q10" i="206"/>
  <c r="N6" i="202"/>
  <c r="M23" i="191"/>
  <c r="P30" i="200"/>
  <c r="Q46" i="204"/>
  <c r="U14" i="198"/>
  <c r="N38" i="201"/>
  <c r="N11" i="197"/>
  <c r="T28" i="205"/>
  <c r="S29" i="207"/>
  <c r="T15" i="191"/>
  <c r="M9" i="193"/>
  <c r="O32" i="205"/>
  <c r="S2" i="209"/>
  <c r="Q3" i="208"/>
  <c r="T11" i="196"/>
  <c r="L11" i="200"/>
  <c r="T26" i="203"/>
  <c r="S15" i="205"/>
  <c r="P8" i="209"/>
  <c r="L45" i="197"/>
  <c r="L17" i="203"/>
  <c r="U24" i="210"/>
  <c r="T15" i="204"/>
  <c r="O29" i="200"/>
  <c r="Q13" i="192"/>
  <c r="L36" i="197"/>
  <c r="R37" i="206"/>
  <c r="Q29" i="198"/>
  <c r="L22" i="195"/>
  <c r="L35" i="213"/>
  <c r="L44" i="202"/>
  <c r="T18" i="213"/>
  <c r="T13" i="201"/>
  <c r="Q13" i="198"/>
  <c r="O34" i="202"/>
  <c r="P35" i="191"/>
  <c r="L33" i="196"/>
  <c r="L16" i="195"/>
  <c r="L21" i="191"/>
  <c r="U44" i="212"/>
  <c r="N39" i="203"/>
  <c r="Q14" i="201"/>
  <c r="S38" i="202"/>
  <c r="M19" i="198"/>
  <c r="P33" i="192"/>
  <c r="Q14" i="198"/>
  <c r="S33" i="200"/>
  <c r="L27" i="213"/>
  <c r="T15" i="202"/>
  <c r="M21" i="210"/>
  <c r="S27" i="209"/>
  <c r="T6" i="199"/>
  <c r="L39" i="208"/>
  <c r="N29" i="206"/>
  <c r="S31" i="195"/>
  <c r="T42" i="205"/>
  <c r="L10" i="196"/>
  <c r="P20" i="209"/>
  <c r="S14" i="208"/>
  <c r="Q6" i="208"/>
  <c r="N12" i="206"/>
  <c r="M26" i="207"/>
  <c r="U36" i="195"/>
  <c r="S43" i="194"/>
  <c r="T31" i="201"/>
  <c r="T24" i="193"/>
  <c r="U6" i="204"/>
  <c r="Q26" i="197"/>
  <c r="O26" i="213"/>
  <c r="S43" i="202"/>
  <c r="M34" i="197"/>
  <c r="M40" i="205"/>
  <c r="M14" i="204"/>
  <c r="P2" i="206"/>
  <c r="S16" i="208"/>
  <c r="T7" i="199"/>
  <c r="Q37" i="204"/>
  <c r="O40" i="209"/>
  <c r="M16" i="192"/>
  <c r="N19" i="197"/>
  <c r="L8" i="203"/>
  <c r="L10" i="203"/>
  <c r="U21" i="205"/>
  <c r="T36" i="202"/>
  <c r="R46" i="209"/>
  <c r="U5" i="210"/>
  <c r="R32" i="204"/>
  <c r="P45" i="204"/>
  <c r="R24" i="200"/>
  <c r="T39" i="204"/>
  <c r="L27" i="198"/>
  <c r="O36" i="198"/>
  <c r="R44" i="200"/>
  <c r="Q23" i="204"/>
  <c r="S8" i="207"/>
  <c r="O24" i="197"/>
  <c r="S42" i="197"/>
  <c r="Q4" i="204"/>
  <c r="U10" i="194"/>
  <c r="Q27" i="203"/>
  <c r="T19" i="200"/>
  <c r="U40" i="203"/>
  <c r="O15" i="200"/>
  <c r="N46" i="198"/>
  <c r="S3" i="195"/>
  <c r="Q15" i="195"/>
  <c r="P24" i="199"/>
  <c r="L18" i="201"/>
  <c r="T38" i="191"/>
  <c r="S32" i="210"/>
  <c r="T4" i="192"/>
  <c r="M21" i="194"/>
  <c r="R33" i="197"/>
  <c r="S11" i="201"/>
  <c r="P10" i="193"/>
  <c r="O23" i="198"/>
  <c r="T4" i="191"/>
  <c r="R2" i="205"/>
  <c r="T11" i="209"/>
  <c r="Q40" i="195"/>
  <c r="T33" i="199"/>
  <c r="Q27" i="213"/>
  <c r="U12" i="193"/>
  <c r="R43" i="199"/>
  <c r="L20" i="205"/>
  <c r="S8" i="201"/>
  <c r="N7" i="199"/>
  <c r="P39" i="206"/>
  <c r="L32" i="200"/>
  <c r="P30" i="193"/>
  <c r="P18" i="200"/>
  <c r="Q43" i="203"/>
  <c r="O23" i="199"/>
  <c r="Q40" i="202"/>
  <c r="S21" i="198"/>
  <c r="N8" i="195"/>
  <c r="Q23" i="200"/>
  <c r="M14" i="191"/>
  <c r="R40" i="191"/>
  <c r="N25" i="198"/>
  <c r="U29" i="193"/>
  <c r="P29" i="191"/>
  <c r="M25" i="195"/>
  <c r="Q3" i="194"/>
  <c r="U12" i="205"/>
  <c r="S23" i="193"/>
  <c r="U10" i="204"/>
  <c r="T15" i="195"/>
  <c r="N46" i="196"/>
  <c r="R5" i="201"/>
  <c r="M32" i="198"/>
  <c r="T17" i="200"/>
  <c r="R29" i="205"/>
  <c r="O30" i="200"/>
  <c r="L18" i="191"/>
  <c r="U10" i="195"/>
  <c r="L24" i="191"/>
  <c r="U28" i="208"/>
  <c r="S22" i="214"/>
  <c r="Q26" i="200"/>
  <c r="N3" i="207"/>
  <c r="P43" i="211"/>
  <c r="L19" i="209"/>
  <c r="T20" i="202"/>
  <c r="L13" i="202"/>
  <c r="T37" i="200"/>
  <c r="O21" i="202"/>
  <c r="R23" i="193"/>
  <c r="R15" i="203"/>
  <c r="P22" i="208"/>
  <c r="P3" i="208"/>
  <c r="U4" i="203"/>
  <c r="R36" i="195"/>
  <c r="S14" i="193"/>
  <c r="L45" i="210"/>
  <c r="P43" i="203"/>
  <c r="O43" i="209"/>
  <c r="Q19" i="205"/>
  <c r="Q46" i="195"/>
  <c r="P34" i="191"/>
  <c r="U12" i="200"/>
  <c r="Q32" i="196"/>
  <c r="L4" i="196"/>
  <c r="R4" i="212"/>
  <c r="O30" i="191"/>
  <c r="N40" i="201"/>
  <c r="P14" i="212"/>
  <c r="S44" i="197"/>
  <c r="N29" i="204"/>
  <c r="P31" i="198"/>
  <c r="P11" i="193"/>
  <c r="T26" i="198"/>
  <c r="Q45" i="195"/>
  <c r="R21" i="198"/>
  <c r="U13" i="208"/>
  <c r="P40" i="198"/>
  <c r="R12" i="199"/>
  <c r="Q29" i="203"/>
  <c r="P2" i="204"/>
  <c r="S14" i="194"/>
  <c r="Q16" i="206"/>
  <c r="Q39" i="198"/>
  <c r="Q18" i="194"/>
  <c r="U22" i="202"/>
  <c r="O7" i="207"/>
  <c r="T28" i="211"/>
  <c r="R3" i="205"/>
  <c r="Q33" i="195"/>
  <c r="Q40" i="198"/>
  <c r="Q12" i="202"/>
  <c r="U31" i="209"/>
  <c r="N20" i="207"/>
  <c r="U40" i="208"/>
  <c r="U8" i="203"/>
  <c r="N42" i="204"/>
  <c r="R10" i="201"/>
  <c r="O6" i="194"/>
  <c r="S34" i="210"/>
  <c r="N27" i="194"/>
  <c r="P4" i="191"/>
  <c r="U5" i="205"/>
  <c r="O7" i="203"/>
  <c r="R8" i="202"/>
  <c r="P37" i="196"/>
  <c r="R46" i="191"/>
  <c r="U22" i="200"/>
  <c r="T46" i="200"/>
  <c r="O9" i="202"/>
  <c r="R8" i="191"/>
  <c r="N6" i="193"/>
  <c r="N19" i="194"/>
  <c r="P16" i="204"/>
  <c r="S15" i="199"/>
  <c r="U41" i="196"/>
  <c r="O8" i="202"/>
  <c r="M13" i="193"/>
  <c r="U43" i="201"/>
  <c r="O7" i="194"/>
  <c r="U45" i="200"/>
  <c r="P11" i="196"/>
  <c r="Q16" i="193"/>
  <c r="Q42" i="199"/>
  <c r="Q30" i="191"/>
  <c r="L12" i="192"/>
  <c r="Q37" i="198"/>
  <c r="S23" i="202"/>
  <c r="Q3" i="200"/>
  <c r="M28" i="194"/>
  <c r="O18" i="201"/>
  <c r="P28" i="193"/>
  <c r="Q40" i="197"/>
  <c r="P12" i="202"/>
  <c r="O46" i="191"/>
  <c r="U11" i="205"/>
  <c r="M7" i="192"/>
  <c r="L33" i="200"/>
  <c r="T6" i="203"/>
  <c r="T19" i="210"/>
  <c r="P25" i="194"/>
  <c r="R32" i="206"/>
  <c r="O27" i="195"/>
  <c r="M5" i="202"/>
  <c r="M35" i="192"/>
  <c r="T19" i="197"/>
  <c r="R6" i="191"/>
  <c r="O33" i="196"/>
  <c r="P31" i="193"/>
  <c r="R42" i="192"/>
  <c r="L43" i="201"/>
  <c r="O28" i="198"/>
  <c r="R31" i="195"/>
  <c r="Q7" i="193"/>
  <c r="U29" i="198"/>
  <c r="M17" i="192"/>
  <c r="O25" i="194"/>
  <c r="P25" i="197"/>
  <c r="O4" i="192"/>
  <c r="T10" i="191"/>
  <c r="S46" i="194"/>
  <c r="R21" i="205"/>
  <c r="T24" i="192"/>
  <c r="M35" i="203"/>
  <c r="M9" i="203"/>
  <c r="T17" i="192"/>
  <c r="O12" i="206"/>
  <c r="M17" i="208"/>
  <c r="S15" i="211"/>
  <c r="N37" i="211"/>
  <c r="R5" i="210"/>
  <c r="U8" i="197"/>
  <c r="S9" i="191"/>
  <c r="O22" i="198"/>
  <c r="T27" i="205"/>
  <c r="N2" i="203"/>
  <c r="P40" i="202"/>
  <c r="T5" i="206"/>
  <c r="M12" i="204"/>
  <c r="O2" i="209"/>
  <c r="U18" i="204"/>
  <c r="N23" i="202"/>
  <c r="M12" i="206"/>
  <c r="N18" i="193"/>
  <c r="P23" i="209"/>
  <c r="P10" i="199"/>
  <c r="O37" i="207"/>
  <c r="R7" i="201"/>
  <c r="U9" i="205"/>
  <c r="P42" i="198"/>
  <c r="Q25" i="203"/>
  <c r="R34" i="204"/>
  <c r="M28" i="200"/>
  <c r="O6" i="196"/>
  <c r="P36" i="207"/>
  <c r="T31" i="204"/>
  <c r="U34" i="201"/>
  <c r="O39" i="207"/>
  <c r="L2" i="202"/>
  <c r="P31" i="201"/>
  <c r="S3" i="206"/>
  <c r="Q2" i="195"/>
  <c r="T28" i="201"/>
  <c r="P33" i="201"/>
  <c r="M41" i="211"/>
  <c r="Q38" i="204"/>
  <c r="L41" i="207"/>
  <c r="P23" i="203"/>
  <c r="L3" i="196"/>
  <c r="R37" i="204"/>
  <c r="L39" i="196"/>
  <c r="T7" i="195"/>
  <c r="O33" i="192"/>
  <c r="O12" i="196"/>
  <c r="O22" i="202"/>
  <c r="S11" i="194"/>
  <c r="U3" i="198"/>
  <c r="N2" i="197"/>
  <c r="P33" i="198"/>
  <c r="N4" i="205"/>
  <c r="S44" i="202"/>
  <c r="R6" i="198"/>
  <c r="N42" i="203"/>
  <c r="P7" i="212"/>
  <c r="Q3" i="204"/>
  <c r="R28" i="195"/>
  <c r="P46" i="200"/>
  <c r="N40" i="198"/>
  <c r="Q37" i="194"/>
  <c r="U25" i="202"/>
  <c r="L29" i="208"/>
  <c r="M14" i="203"/>
  <c r="Q33" i="198"/>
  <c r="U46" i="214"/>
  <c r="P21" i="196"/>
  <c r="L21" i="196"/>
  <c r="N24" i="210"/>
  <c r="S30" i="202"/>
  <c r="T33" i="194"/>
  <c r="Q42" i="200"/>
  <c r="M22" i="201"/>
  <c r="P12" i="205"/>
  <c r="R43" i="191"/>
  <c r="Q25" i="200"/>
  <c r="L28" i="200"/>
  <c r="N32" i="192"/>
  <c r="O23" i="192"/>
  <c r="T12" i="191"/>
  <c r="L40" i="192"/>
  <c r="M30" i="206"/>
  <c r="L8" i="194"/>
  <c r="R16" i="199"/>
  <c r="O13" i="194"/>
  <c r="R27" i="201"/>
  <c r="R28" i="202"/>
  <c r="M23" i="193"/>
  <c r="N42" i="197"/>
  <c r="P13" i="199"/>
  <c r="N35" i="198"/>
  <c r="L5" i="192"/>
  <c r="T10" i="200"/>
  <c r="P15" i="191"/>
  <c r="R14" i="196"/>
  <c r="O18" i="198"/>
  <c r="O19" i="199"/>
  <c r="R11" i="204"/>
  <c r="Q36" i="203"/>
  <c r="O11" i="201"/>
  <c r="U8" i="192"/>
  <c r="O34" i="198"/>
  <c r="M30" i="193"/>
  <c r="Q2" i="213"/>
  <c r="L25" i="203"/>
  <c r="N43" i="204"/>
  <c r="Q26" i="199"/>
  <c r="U21" i="200"/>
  <c r="U26" i="197"/>
  <c r="O10" i="203"/>
  <c r="P13" i="207"/>
  <c r="L46" i="201"/>
  <c r="Q32" i="213"/>
  <c r="R29" i="195"/>
  <c r="N46" i="199"/>
  <c r="N13" i="198"/>
  <c r="S34" i="203"/>
  <c r="M25" i="194"/>
  <c r="Q6" i="199"/>
  <c r="O30" i="196"/>
  <c r="R29" i="202"/>
  <c r="M3" i="198"/>
  <c r="P28" i="194"/>
  <c r="P25" i="196"/>
  <c r="S35" i="191"/>
  <c r="S16" i="193"/>
  <c r="S30" i="204"/>
  <c r="P15" i="195"/>
  <c r="P4" i="192"/>
  <c r="U33" i="191"/>
  <c r="L31" i="193"/>
  <c r="U38" i="203"/>
  <c r="L7" i="200"/>
  <c r="Q13" i="203"/>
  <c r="Q45" i="197"/>
  <c r="N19" i="202"/>
  <c r="Q10" i="202"/>
  <c r="T35" i="200"/>
  <c r="L11" i="203"/>
  <c r="Q17" i="194"/>
  <c r="S21" i="203"/>
  <c r="N45" i="197"/>
  <c r="U10" i="203"/>
  <c r="S44" i="196"/>
  <c r="S39" i="200"/>
  <c r="O36" i="197"/>
  <c r="P24" i="191"/>
  <c r="M6" i="192"/>
  <c r="P22" i="197"/>
  <c r="Q22" i="198"/>
  <c r="L3" i="197"/>
  <c r="U16" i="196"/>
  <c r="P11" i="194"/>
  <c r="R6" i="196"/>
  <c r="R23" i="196"/>
  <c r="T20" i="197"/>
  <c r="O34" i="206"/>
  <c r="S32" i="192"/>
  <c r="S25" i="194"/>
  <c r="R20" i="195"/>
  <c r="U41" i="208"/>
  <c r="T36" i="194"/>
  <c r="M32" i="192"/>
  <c r="S22" i="194"/>
  <c r="Q33" i="191"/>
  <c r="U12" i="201"/>
  <c r="O23" i="195"/>
  <c r="Q9" i="203"/>
  <c r="M9" i="191"/>
  <c r="Q15" i="199"/>
  <c r="P20" i="192"/>
  <c r="Q20" i="198"/>
  <c r="U44" i="203"/>
  <c r="U7" i="204"/>
  <c r="L30" i="195"/>
  <c r="S16" i="203"/>
  <c r="M20" i="200"/>
  <c r="S23" i="200"/>
  <c r="O19" i="197"/>
  <c r="R29" i="201"/>
  <c r="N4" i="202"/>
  <c r="U40" i="192"/>
  <c r="L6" i="191"/>
  <c r="U10" i="202"/>
  <c r="L20" i="191"/>
  <c r="M18" i="197"/>
  <c r="Q31" i="193"/>
  <c r="M34" i="193"/>
  <c r="S18" i="199"/>
  <c r="P17" i="194"/>
  <c r="S22" i="191"/>
  <c r="U36" i="206"/>
  <c r="N6" i="192"/>
  <c r="N14" i="192"/>
  <c r="O36" i="194"/>
  <c r="M18" i="191"/>
  <c r="N44" i="194"/>
  <c r="U19" i="194"/>
  <c r="Q17" i="193"/>
  <c r="R16" i="206"/>
  <c r="L42" i="194"/>
  <c r="S5" i="203"/>
  <c r="T39" i="192"/>
  <c r="S32" i="203"/>
  <c r="R28" i="37"/>
  <c r="P34" i="37"/>
  <c r="O14" i="205"/>
  <c r="L23" i="192"/>
  <c r="O46" i="200"/>
  <c r="P38" i="37"/>
  <c r="S3" i="37"/>
  <c r="Q41" i="195"/>
  <c r="L31" i="192"/>
  <c r="S42" i="192"/>
  <c r="N44" i="195"/>
  <c r="S34" i="204"/>
  <c r="O6" i="193"/>
  <c r="M39" i="194"/>
  <c r="Q36" i="199"/>
  <c r="R39" i="203"/>
  <c r="R43" i="197"/>
  <c r="O4" i="201"/>
  <c r="P28" i="202"/>
  <c r="R33" i="192"/>
  <c r="T32" i="202"/>
  <c r="U5" i="196"/>
  <c r="R37" i="201"/>
  <c r="N46" i="202"/>
  <c r="M30" i="208"/>
  <c r="P22" i="201"/>
  <c r="S14" i="205"/>
  <c r="M2" i="196"/>
  <c r="L8" i="197"/>
  <c r="O43" i="191"/>
  <c r="Q8" i="194"/>
  <c r="M24" i="201"/>
  <c r="T44" i="196"/>
  <c r="Q20" i="193"/>
  <c r="L35" i="205"/>
  <c r="T20" i="200"/>
  <c r="R36" i="204"/>
  <c r="M4" i="196"/>
  <c r="M20" i="191"/>
  <c r="P36" i="198"/>
  <c r="R36" i="203"/>
  <c r="N29" i="199"/>
  <c r="O31" i="194"/>
  <c r="U38" i="198"/>
  <c r="U38" i="37"/>
  <c r="P28" i="37"/>
  <c r="R30" i="202"/>
  <c r="N31" i="203"/>
  <c r="P34" i="197"/>
  <c r="U45" i="37"/>
  <c r="S7" i="37"/>
  <c r="P8" i="192"/>
  <c r="R22" i="194"/>
  <c r="U20" i="191"/>
  <c r="N33" i="200"/>
  <c r="Q32" i="192"/>
  <c r="O21" i="194"/>
  <c r="R35" i="200"/>
  <c r="P45" i="196"/>
  <c r="T27" i="206"/>
  <c r="O8" i="193"/>
  <c r="S9" i="192"/>
  <c r="T22" i="202"/>
  <c r="M43" i="199"/>
  <c r="P3" i="195"/>
  <c r="U40" i="201"/>
  <c r="T19" i="194"/>
  <c r="S5" i="193"/>
  <c r="T21" i="198"/>
  <c r="N20" i="192"/>
  <c r="N38" i="198"/>
  <c r="T36" i="193"/>
  <c r="T46" i="195"/>
  <c r="S7" i="196"/>
  <c r="N2" i="201"/>
  <c r="U39" i="191"/>
  <c r="O40" i="193"/>
  <c r="R32" i="203"/>
  <c r="U10" i="191"/>
  <c r="S8" i="204"/>
  <c r="P20" i="198"/>
  <c r="N31" i="193"/>
  <c r="P45" i="205"/>
  <c r="L40" i="191"/>
  <c r="M13" i="201"/>
  <c r="P7" i="197"/>
  <c r="N44" i="192"/>
  <c r="O6" i="202"/>
  <c r="M5" i="200"/>
  <c r="S10" i="193"/>
  <c r="T18" i="204"/>
  <c r="O44" i="192"/>
  <c r="N13" i="203"/>
  <c r="R6" i="205"/>
  <c r="L13" i="196"/>
  <c r="N13" i="37"/>
  <c r="O13" i="201"/>
  <c r="M2" i="209"/>
  <c r="T7" i="193"/>
  <c r="L10" i="195"/>
  <c r="N37" i="193"/>
  <c r="L21" i="201"/>
  <c r="S40" i="193"/>
  <c r="P27" i="199"/>
  <c r="Q22" i="199"/>
  <c r="R27" i="37"/>
  <c r="Q37" i="196"/>
  <c r="L34" i="196"/>
  <c r="T2" i="37"/>
  <c r="S8" i="199"/>
  <c r="T41" i="192"/>
  <c r="Q19" i="37"/>
  <c r="L30" i="37"/>
  <c r="N45" i="194"/>
  <c r="P31" i="195"/>
  <c r="S27" i="194"/>
  <c r="S16" i="37"/>
  <c r="N41" i="37"/>
  <c r="U2" i="202"/>
  <c r="L13" i="198"/>
  <c r="M22" i="202"/>
  <c r="T33" i="200"/>
  <c r="M3" i="37"/>
  <c r="L21" i="200"/>
  <c r="T43" i="208"/>
  <c r="U27" i="37"/>
  <c r="M34" i="201"/>
  <c r="T20" i="193"/>
  <c r="U17" i="196"/>
  <c r="L16" i="206"/>
  <c r="M11" i="37"/>
  <c r="S13" i="192"/>
  <c r="P11" i="197"/>
  <c r="M39" i="37"/>
  <c r="L39" i="204"/>
  <c r="N46" i="197"/>
  <c r="U32" i="207"/>
  <c r="Q46" i="200"/>
  <c r="Q39" i="199"/>
  <c r="O21" i="193"/>
  <c r="T44" i="204"/>
  <c r="M30" i="196"/>
  <c r="P41" i="210"/>
  <c r="M43" i="37"/>
  <c r="T11" i="193"/>
  <c r="R12" i="194"/>
  <c r="S45" i="198"/>
  <c r="T10" i="196"/>
  <c r="P12" i="208"/>
  <c r="N37" i="192"/>
  <c r="Q14" i="203"/>
  <c r="U38" i="193"/>
  <c r="R20" i="201"/>
  <c r="P14" i="202"/>
  <c r="M28" i="207"/>
  <c r="O4" i="214"/>
  <c r="L25" i="194"/>
  <c r="L35" i="191"/>
  <c r="U45" i="192"/>
  <c r="S35" i="200"/>
  <c r="L8" i="207"/>
  <c r="Q31" i="204"/>
  <c r="L40" i="197"/>
  <c r="R41" i="204"/>
  <c r="O31" i="201"/>
  <c r="O35" i="194"/>
  <c r="R38" i="191"/>
  <c r="Q11" i="192"/>
  <c r="T41" i="202"/>
  <c r="U32" i="197"/>
  <c r="T44" i="203"/>
  <c r="T18" i="191"/>
  <c r="R34" i="198"/>
  <c r="O42" i="191"/>
  <c r="P29" i="200"/>
  <c r="P16" i="206"/>
  <c r="S12" i="191"/>
  <c r="O15" i="194"/>
  <c r="N7" i="203"/>
  <c r="Q45" i="193"/>
  <c r="N7" i="194"/>
  <c r="N32" i="193"/>
  <c r="Q9" i="193"/>
  <c r="U20" i="194"/>
  <c r="T3" i="195"/>
  <c r="O39" i="196"/>
  <c r="R18" i="199"/>
  <c r="U4" i="202"/>
  <c r="R33" i="198"/>
  <c r="P37" i="197"/>
  <c r="L3" i="201"/>
  <c r="R39" i="201"/>
  <c r="T33" i="197"/>
  <c r="S32" i="193"/>
  <c r="M37" i="198"/>
  <c r="Q5" i="202"/>
  <c r="U17" i="199"/>
  <c r="O22" i="193"/>
  <c r="N4" i="193"/>
  <c r="Q20" i="192"/>
  <c r="Q36" i="200"/>
  <c r="Q11" i="195"/>
  <c r="P10" i="194"/>
  <c r="P31" i="196"/>
  <c r="Q40" i="193"/>
  <c r="Q20" i="191"/>
  <c r="R16" i="195"/>
  <c r="S20" i="200"/>
  <c r="R9" i="198"/>
  <c r="O26" i="196"/>
  <c r="T37" i="195"/>
  <c r="T22" i="195"/>
  <c r="L3" i="198"/>
  <c r="M31" i="198"/>
  <c r="S9" i="194"/>
  <c r="U9" i="191"/>
  <c r="M10" i="193"/>
  <c r="M4" i="195"/>
  <c r="Q17" i="195"/>
  <c r="U31" i="191"/>
  <c r="S33" i="208"/>
  <c r="Q12" i="201"/>
  <c r="L3" i="203"/>
  <c r="N36" i="196"/>
  <c r="R5" i="192"/>
  <c r="U30" i="194"/>
  <c r="R33" i="202"/>
  <c r="S13" i="197"/>
  <c r="P32" i="204"/>
  <c r="O33" i="199"/>
  <c r="N17" i="193"/>
  <c r="U12" i="204"/>
  <c r="N39" i="192"/>
  <c r="L35" i="194"/>
  <c r="O37" i="191"/>
  <c r="Q19" i="192"/>
  <c r="O18" i="195"/>
  <c r="T36" i="192"/>
  <c r="M28" i="199"/>
  <c r="S29" i="206"/>
  <c r="L15" i="192"/>
  <c r="T17" i="191"/>
  <c r="L18" i="196"/>
  <c r="L23" i="196"/>
  <c r="O37" i="200"/>
  <c r="Q17" i="204"/>
  <c r="Q34" i="207"/>
  <c r="M24" i="37"/>
  <c r="T3" i="37"/>
  <c r="L18" i="200"/>
  <c r="N14" i="193"/>
  <c r="M19" i="193"/>
  <c r="U40" i="37"/>
  <c r="P13" i="37"/>
  <c r="U41" i="197"/>
  <c r="T22" i="194"/>
  <c r="L27" i="207"/>
  <c r="P15" i="208"/>
  <c r="O25" i="210"/>
  <c r="U13" i="199"/>
  <c r="R21" i="191"/>
  <c r="P17" i="205"/>
  <c r="U31" i="192"/>
  <c r="R10" i="192"/>
  <c r="O16" i="193"/>
  <c r="R8" i="201"/>
  <c r="U5" i="193"/>
  <c r="N16" i="194"/>
  <c r="U18" i="193"/>
  <c r="N24" i="204"/>
  <c r="T41" i="200"/>
  <c r="U28" i="195"/>
  <c r="T46" i="192"/>
  <c r="P33" i="197"/>
  <c r="O20" i="192"/>
  <c r="O21" i="199"/>
  <c r="Q36" i="202"/>
  <c r="L7" i="199"/>
  <c r="N29" i="200"/>
  <c r="Q43" i="194"/>
  <c r="S29" i="199"/>
  <c r="O28" i="196"/>
  <c r="Q20" i="197"/>
  <c r="L5" i="203"/>
  <c r="U25" i="196"/>
  <c r="Q41" i="200"/>
  <c r="T30" i="195"/>
  <c r="S31" i="194"/>
  <c r="P30" i="196"/>
  <c r="M31" i="195"/>
  <c r="T41" i="193"/>
  <c r="O45" i="37"/>
  <c r="M34" i="37"/>
  <c r="N29" i="201"/>
  <c r="S7" i="212"/>
  <c r="S11" i="198"/>
  <c r="L27" i="37"/>
  <c r="L2" i="37"/>
  <c r="U5" i="211"/>
  <c r="M43" i="200"/>
  <c r="N31" i="195"/>
  <c r="M30" i="195"/>
  <c r="M15" i="204"/>
  <c r="O37" i="205"/>
  <c r="Q23" i="201"/>
  <c r="O10" i="197"/>
  <c r="M27" i="200"/>
  <c r="T17" i="193"/>
  <c r="P46" i="195"/>
  <c r="N46" i="193"/>
  <c r="O7" i="193"/>
  <c r="Q6" i="193"/>
  <c r="U21" i="203"/>
  <c r="L5" i="195"/>
  <c r="N23" i="199"/>
  <c r="L15" i="196"/>
  <c r="T5" i="200"/>
  <c r="M44" i="197"/>
  <c r="Q10" i="192"/>
  <c r="M33" i="201"/>
  <c r="P32" i="196"/>
  <c r="U31" i="193"/>
  <c r="O44" i="193"/>
  <c r="L17" i="195"/>
  <c r="M41" i="201"/>
  <c r="S6" i="195"/>
  <c r="O42" i="193"/>
  <c r="O11" i="200"/>
  <c r="T42" i="194"/>
  <c r="S8" i="198"/>
  <c r="R13" i="192"/>
  <c r="S46" i="200"/>
  <c r="S33" i="210"/>
  <c r="S19" i="209"/>
  <c r="M29" i="194"/>
  <c r="S3" i="202"/>
  <c r="L11" i="198"/>
  <c r="R26" i="198"/>
  <c r="L35" i="204"/>
  <c r="O39" i="194"/>
  <c r="Q25" i="193"/>
  <c r="L9" i="197"/>
  <c r="L12" i="37"/>
  <c r="S34" i="194"/>
  <c r="M46" i="196"/>
  <c r="L30" i="202"/>
  <c r="R26" i="199"/>
  <c r="L22" i="205"/>
  <c r="P30" i="192"/>
  <c r="N21" i="199"/>
  <c r="O20" i="199"/>
  <c r="T16" i="191"/>
  <c r="Q3" i="193"/>
  <c r="U15" i="192"/>
  <c r="M2" i="191"/>
  <c r="P33" i="37"/>
  <c r="T29" i="196"/>
  <c r="T42" i="203"/>
  <c r="N45" i="37"/>
  <c r="P15" i="37"/>
  <c r="L4" i="202"/>
  <c r="P6" i="195"/>
  <c r="U3" i="192"/>
  <c r="M6" i="37"/>
  <c r="T29" i="37"/>
  <c r="M10" i="202"/>
  <c r="S16" i="197"/>
  <c r="S24" i="196"/>
  <c r="M38" i="193"/>
  <c r="R4" i="195"/>
  <c r="N3" i="198"/>
  <c r="U19" i="195"/>
  <c r="L37" i="198"/>
  <c r="P42" i="193"/>
  <c r="L18" i="192"/>
  <c r="P14" i="193"/>
  <c r="Q30" i="202"/>
  <c r="P30" i="194"/>
  <c r="N16" i="193"/>
  <c r="N2" i="191"/>
  <c r="U41" i="205"/>
  <c r="T12" i="192"/>
  <c r="R44" i="208"/>
  <c r="S22" i="192"/>
  <c r="R36" i="201"/>
  <c r="N34" i="192"/>
  <c r="M21" i="203"/>
  <c r="O32" i="199"/>
  <c r="O32" i="202"/>
  <c r="Q8" i="195"/>
  <c r="M3" i="193"/>
  <c r="M7" i="210"/>
  <c r="N12" i="209"/>
  <c r="L36" i="209"/>
  <c r="P21" i="193"/>
  <c r="O31" i="199"/>
  <c r="N35" i="205"/>
  <c r="U17" i="207"/>
  <c r="R38" i="201"/>
  <c r="M19" i="202"/>
  <c r="P42" i="204"/>
  <c r="U24" i="207"/>
  <c r="P34" i="202"/>
  <c r="S8" i="202"/>
  <c r="Q30" i="194"/>
  <c r="Q5" i="208"/>
  <c r="N12" i="213"/>
  <c r="T25" i="199"/>
  <c r="T22" i="197"/>
  <c r="U26" i="202"/>
  <c r="P23" i="204"/>
  <c r="S35" i="195"/>
  <c r="O17" i="192"/>
  <c r="T45" i="195"/>
  <c r="O30" i="197"/>
  <c r="N21" i="203"/>
  <c r="O38" i="193"/>
  <c r="S39" i="195"/>
  <c r="O40" i="197"/>
  <c r="P39" i="200"/>
  <c r="R36" i="197"/>
  <c r="L14" i="195"/>
  <c r="R10" i="198"/>
  <c r="O34" i="192"/>
  <c r="P29" i="208"/>
  <c r="R14" i="198"/>
  <c r="T14" i="194"/>
  <c r="N31" i="198"/>
  <c r="O27" i="196"/>
  <c r="L25" i="207"/>
  <c r="R11" i="200"/>
  <c r="O4" i="202"/>
  <c r="Q16" i="195"/>
  <c r="N25" i="200"/>
  <c r="T9" i="202"/>
  <c r="O25" i="192"/>
  <c r="Q24" i="203"/>
  <c r="U21" i="192"/>
  <c r="S6" i="199"/>
  <c r="S3" i="194"/>
  <c r="M2" i="198"/>
  <c r="P28" i="191"/>
  <c r="T34" i="194"/>
  <c r="U41" i="200"/>
  <c r="S24" i="206"/>
  <c r="R2" i="195"/>
  <c r="L46" i="206"/>
  <c r="S34" i="201"/>
  <c r="U34" i="196"/>
  <c r="R14" i="202"/>
  <c r="R3" i="200"/>
  <c r="R45" i="200"/>
  <c r="U40" i="200"/>
  <c r="Q45" i="199"/>
  <c r="M6" i="197"/>
  <c r="U40" i="193"/>
  <c r="Q34" i="194"/>
  <c r="N46" i="191"/>
  <c r="L25" i="205"/>
  <c r="U15" i="193"/>
  <c r="U4" i="196"/>
  <c r="U39" i="193"/>
  <c r="T35" i="191"/>
  <c r="R20" i="199"/>
  <c r="U36" i="207"/>
  <c r="P40" i="201"/>
  <c r="L16" i="202"/>
  <c r="M15" i="192"/>
  <c r="R35" i="205"/>
  <c r="N37" i="206"/>
  <c r="S4" i="192"/>
  <c r="Q5" i="192"/>
  <c r="Q24" i="199"/>
  <c r="S24" i="202"/>
  <c r="Q45" i="194"/>
  <c r="R29" i="204"/>
  <c r="P42" i="191"/>
  <c r="N31" i="192"/>
  <c r="N4" i="195"/>
  <c r="U37" i="200"/>
  <c r="T28" i="191"/>
  <c r="O7" i="195"/>
  <c r="T17" i="195"/>
  <c r="N8" i="205"/>
  <c r="U17" i="198"/>
  <c r="Q43" i="192"/>
  <c r="Q39" i="195"/>
  <c r="R18" i="197"/>
  <c r="S30" i="205"/>
  <c r="T23" i="198"/>
  <c r="R34" i="202"/>
  <c r="N27" i="196"/>
  <c r="M16" i="199"/>
  <c r="Q38" i="37"/>
  <c r="M45" i="37"/>
  <c r="Q21" i="192"/>
  <c r="R23" i="206"/>
  <c r="N8" i="193"/>
  <c r="O46" i="37"/>
  <c r="U26" i="37"/>
  <c r="U44" i="199"/>
  <c r="O40" i="198"/>
  <c r="U42" i="193"/>
  <c r="P34" i="193"/>
  <c r="Q13" i="194"/>
  <c r="T18" i="202"/>
  <c r="N20" i="193"/>
  <c r="M7" i="193"/>
  <c r="L9" i="195"/>
  <c r="N14" i="195"/>
  <c r="S32" i="199"/>
  <c r="L30" i="206"/>
  <c r="M36" i="192"/>
  <c r="T4" i="199"/>
  <c r="L20" i="196"/>
  <c r="M24" i="193"/>
  <c r="R43" i="206"/>
  <c r="S43" i="196"/>
  <c r="P23" i="210"/>
  <c r="S14" i="192"/>
  <c r="S4" i="193"/>
  <c r="Q22" i="195"/>
  <c r="R25" i="199"/>
  <c r="M3" i="194"/>
  <c r="N41" i="199"/>
  <c r="O26" i="197"/>
  <c r="O25" i="197"/>
  <c r="S19" i="197"/>
  <c r="T46" i="208"/>
  <c r="R35" i="196"/>
  <c r="S13" i="195"/>
  <c r="N11" i="196"/>
  <c r="M25" i="191"/>
  <c r="P23" i="199"/>
  <c r="T22" i="198"/>
  <c r="Q18" i="200"/>
  <c r="N19" i="200"/>
  <c r="U24" i="37"/>
  <c r="L39" i="37"/>
  <c r="P14" i="195"/>
  <c r="M12" i="192"/>
  <c r="M27" i="197"/>
  <c r="N11" i="37"/>
  <c r="P7" i="37"/>
  <c r="S28" i="199"/>
  <c r="P27" i="195"/>
  <c r="S8" i="196"/>
  <c r="Q10" i="197"/>
  <c r="L21" i="198"/>
  <c r="P27" i="196"/>
  <c r="M36" i="205"/>
  <c r="N42" i="191"/>
  <c r="T29" i="191"/>
  <c r="S44" i="192"/>
  <c r="Q14" i="197"/>
  <c r="U6" i="198"/>
  <c r="N35" i="192"/>
  <c r="S32" i="200"/>
  <c r="Q39" i="192"/>
  <c r="Q2" i="200"/>
  <c r="M24" i="194"/>
  <c r="Q19" i="204"/>
  <c r="U23" i="203"/>
  <c r="L23" i="200"/>
  <c r="Q46" i="197"/>
  <c r="N23" i="194"/>
  <c r="N10" i="196"/>
  <c r="M2" i="194"/>
  <c r="U16" i="205"/>
  <c r="P13" i="193"/>
  <c r="Q10" i="201"/>
  <c r="M31" i="204"/>
  <c r="L26" i="200"/>
  <c r="T30" i="206"/>
  <c r="N43" i="203"/>
  <c r="M7" i="200"/>
  <c r="P45" i="193"/>
  <c r="N9" i="196"/>
  <c r="N38" i="205"/>
  <c r="S7" i="193"/>
  <c r="T44" i="206"/>
  <c r="U5" i="201"/>
  <c r="T19" i="192"/>
  <c r="M29" i="191"/>
  <c r="M26" i="195"/>
  <c r="T15" i="196"/>
  <c r="T2" i="194"/>
  <c r="O4" i="37"/>
  <c r="U16" i="204"/>
  <c r="O32" i="195"/>
  <c r="R30" i="193"/>
  <c r="N30" i="192"/>
  <c r="U39" i="195"/>
  <c r="R21" i="196"/>
  <c r="Q38" i="198"/>
  <c r="O35" i="199"/>
  <c r="T40" i="199"/>
  <c r="N36" i="208"/>
  <c r="Q27" i="37"/>
  <c r="T35" i="197"/>
  <c r="M28" i="201"/>
  <c r="S28" i="37"/>
  <c r="R6" i="195"/>
  <c r="S11" i="195"/>
  <c r="P32" i="37"/>
  <c r="L9" i="191"/>
  <c r="L41" i="198"/>
  <c r="T25" i="197"/>
  <c r="M6" i="203"/>
  <c r="M37" i="37"/>
  <c r="U3" i="197"/>
  <c r="Q41" i="192"/>
  <c r="L34" i="194"/>
  <c r="Q30" i="198"/>
  <c r="P46" i="202"/>
  <c r="O28" i="199"/>
  <c r="L13" i="37"/>
  <c r="U4" i="194"/>
  <c r="R15" i="37"/>
  <c r="O24" i="207"/>
  <c r="P16" i="37"/>
  <c r="N14" i="202"/>
  <c r="S22" i="211"/>
  <c r="T28" i="37"/>
  <c r="O19" i="196"/>
  <c r="S24" i="201"/>
  <c r="S12" i="37"/>
  <c r="U20" i="192"/>
  <c r="O3" i="192"/>
  <c r="U14" i="206"/>
  <c r="Q25" i="201"/>
  <c r="S15" i="201"/>
  <c r="U19" i="211"/>
  <c r="N35" i="202"/>
  <c r="S4" i="191"/>
  <c r="Q22" i="200"/>
  <c r="S34" i="37"/>
  <c r="N30" i="193"/>
  <c r="S19" i="206"/>
  <c r="L39" i="206"/>
  <c r="Q10" i="200"/>
  <c r="S42" i="205"/>
  <c r="P34" i="195"/>
  <c r="M45" i="196"/>
  <c r="N26" i="192"/>
  <c r="T23" i="202"/>
  <c r="R5" i="198"/>
  <c r="S10" i="191"/>
  <c r="O42" i="204"/>
  <c r="Q8" i="205"/>
  <c r="N26" i="209"/>
  <c r="O24" i="200"/>
  <c r="L38" i="206"/>
  <c r="N25" i="195"/>
  <c r="U6" i="207"/>
  <c r="T12" i="205"/>
  <c r="T28" i="195"/>
  <c r="M31" i="192"/>
  <c r="Q16" i="192"/>
  <c r="P30" i="199"/>
  <c r="T18" i="197"/>
  <c r="Q28" i="196"/>
  <c r="N7" i="191"/>
  <c r="U15" i="204"/>
  <c r="M11" i="195"/>
  <c r="U28" i="198"/>
  <c r="N34" i="196"/>
  <c r="N18" i="202"/>
  <c r="R15" i="206"/>
  <c r="M11" i="194"/>
  <c r="M44" i="193"/>
  <c r="O28" i="201"/>
  <c r="S43" i="200"/>
  <c r="O22" i="200"/>
  <c r="T38" i="200"/>
  <c r="L20" i="201"/>
  <c r="R24" i="195"/>
  <c r="U6" i="195"/>
  <c r="S27" i="197"/>
  <c r="L38" i="196"/>
  <c r="L11" i="194"/>
  <c r="T26" i="194"/>
  <c r="M24" i="200"/>
  <c r="U27" i="212"/>
  <c r="M40" i="198"/>
  <c r="O27" i="204"/>
  <c r="R30" i="200"/>
  <c r="T40" i="196"/>
  <c r="S17" i="206"/>
  <c r="N30" i="195"/>
  <c r="O41" i="196"/>
  <c r="L38" i="208"/>
  <c r="M18" i="200"/>
  <c r="O42" i="199"/>
  <c r="N10" i="205"/>
  <c r="S37" i="199"/>
  <c r="N33" i="199"/>
  <c r="P14" i="201"/>
  <c r="P30" i="208"/>
  <c r="Q3" i="196"/>
  <c r="O34" i="203"/>
  <c r="O12" i="208"/>
  <c r="U7" i="194"/>
  <c r="R8" i="198"/>
  <c r="N6" i="207"/>
  <c r="L4" i="191"/>
  <c r="L7" i="203"/>
  <c r="U44" i="202"/>
  <c r="N21" i="197"/>
  <c r="O18" i="196"/>
  <c r="U32" i="194"/>
  <c r="M23" i="206"/>
  <c r="T16" i="194"/>
  <c r="T23" i="197"/>
  <c r="Q25" i="202"/>
  <c r="P19" i="206"/>
  <c r="N9" i="193"/>
  <c r="N38" i="192"/>
  <c r="R4" i="203"/>
  <c r="Q46" i="203"/>
  <c r="L8" i="198"/>
  <c r="M3" i="211"/>
  <c r="U42" i="194"/>
  <c r="R10" i="200"/>
  <c r="T14" i="192"/>
  <c r="S23" i="195"/>
  <c r="M14" i="192"/>
  <c r="U18" i="191"/>
  <c r="P37" i="193"/>
  <c r="O12" i="191"/>
  <c r="L17" i="210"/>
  <c r="R30" i="192"/>
  <c r="T15" i="198"/>
  <c r="O7" i="202"/>
  <c r="S17" i="195"/>
  <c r="M6" i="198"/>
  <c r="U12" i="197"/>
  <c r="O44" i="204"/>
  <c r="P33" i="202"/>
  <c r="L34" i="207"/>
  <c r="L25" i="37"/>
  <c r="Q32" i="37"/>
  <c r="Q32" i="205"/>
  <c r="L37" i="196"/>
  <c r="T10" i="197"/>
  <c r="M40" i="37"/>
  <c r="L23" i="37"/>
  <c r="L2" i="195"/>
  <c r="O45" i="192"/>
  <c r="T44" i="209"/>
  <c r="N26" i="199"/>
  <c r="O45" i="191"/>
  <c r="Q6" i="204"/>
  <c r="S25" i="197"/>
  <c r="R34" i="196"/>
  <c r="O34" i="191"/>
  <c r="S28" i="191"/>
  <c r="R46" i="199"/>
  <c r="L41" i="191"/>
  <c r="P43" i="200"/>
  <c r="P17" i="197"/>
  <c r="N29" i="195"/>
  <c r="T28" i="199"/>
  <c r="S40" i="198"/>
  <c r="M37" i="200"/>
  <c r="P35" i="195"/>
  <c r="Q24" i="204"/>
  <c r="P7" i="193"/>
  <c r="U27" i="197"/>
  <c r="U34" i="206"/>
  <c r="N43" i="199"/>
  <c r="L24" i="193"/>
  <c r="L32" i="195"/>
  <c r="R35" i="192"/>
  <c r="T21" i="195"/>
  <c r="R44" i="193"/>
  <c r="U15" i="198"/>
  <c r="R13" i="197"/>
  <c r="P22" i="194"/>
  <c r="Q22" i="205"/>
  <c r="O17" i="194"/>
  <c r="Q26" i="202"/>
  <c r="Q13" i="195"/>
  <c r="L18" i="205"/>
  <c r="M31" i="37"/>
  <c r="S37" i="37"/>
  <c r="P12" i="198"/>
  <c r="T27" i="193"/>
  <c r="U37" i="196"/>
  <c r="N28" i="37"/>
  <c r="N5" i="37"/>
  <c r="M29" i="193"/>
  <c r="Q15" i="193"/>
  <c r="R5" i="195"/>
  <c r="N11" i="194"/>
  <c r="M12" i="208"/>
  <c r="L9" i="199"/>
  <c r="T41" i="206"/>
  <c r="M16" i="195"/>
  <c r="N7" i="201"/>
  <c r="O9" i="194"/>
  <c r="L8" i="199"/>
  <c r="S33" i="195"/>
  <c r="N13" i="197"/>
  <c r="U26" i="201"/>
  <c r="M29" i="199"/>
  <c r="T8" i="192"/>
  <c r="O27" i="201"/>
  <c r="M30" i="191"/>
  <c r="R5" i="202"/>
  <c r="R38" i="192"/>
  <c r="O5" i="207"/>
  <c r="N23" i="198"/>
  <c r="Q24" i="200"/>
  <c r="U2" i="204"/>
  <c r="O12" i="193"/>
  <c r="T42" i="197"/>
  <c r="L31" i="200"/>
  <c r="T34" i="191"/>
  <c r="S39" i="191"/>
  <c r="U17" i="192"/>
  <c r="Q23" i="193"/>
  <c r="M19" i="197"/>
  <c r="O24" i="192"/>
  <c r="P14" i="192"/>
  <c r="T33" i="198"/>
  <c r="O5" i="197"/>
  <c r="P22" i="195"/>
  <c r="L37" i="194"/>
  <c r="T40" i="191"/>
  <c r="P15" i="193"/>
  <c r="Q13" i="196"/>
  <c r="R26" i="201"/>
  <c r="O44" i="199"/>
  <c r="P45" i="198"/>
  <c r="O42" i="201"/>
  <c r="M25" i="206"/>
  <c r="N38" i="195"/>
  <c r="P44" i="200"/>
  <c r="O45" i="193"/>
  <c r="U27" i="196"/>
  <c r="L26" i="197"/>
  <c r="M19" i="191"/>
  <c r="O32" i="191"/>
  <c r="P22" i="196"/>
  <c r="S4" i="37"/>
  <c r="O26" i="198"/>
  <c r="U32" i="192"/>
  <c r="N10" i="37"/>
  <c r="Q29" i="199"/>
  <c r="T25" i="192"/>
  <c r="P35" i="37"/>
  <c r="P19" i="37"/>
  <c r="U38" i="194"/>
  <c r="L31" i="194"/>
  <c r="T31" i="191"/>
  <c r="L43" i="37"/>
  <c r="R4" i="201"/>
  <c r="L13" i="201"/>
  <c r="R37" i="197"/>
  <c r="L36" i="191"/>
  <c r="O14" i="206"/>
  <c r="R34" i="37"/>
  <c r="R9" i="37"/>
  <c r="O35" i="207"/>
  <c r="R35" i="37"/>
  <c r="T42" i="191"/>
  <c r="O14" i="192"/>
  <c r="P28" i="203"/>
  <c r="O17" i="191"/>
  <c r="Q31" i="37"/>
  <c r="S43" i="191"/>
  <c r="T40" i="200"/>
  <c r="T18" i="37"/>
  <c r="P12" i="191"/>
  <c r="L37" i="191"/>
  <c r="L13" i="200"/>
  <c r="M26" i="193"/>
  <c r="N38" i="191"/>
  <c r="L41" i="195"/>
  <c r="L24" i="200"/>
  <c r="N36" i="191"/>
  <c r="O33" i="195"/>
  <c r="R39" i="195"/>
  <c r="P42" i="192"/>
  <c r="L36" i="207"/>
  <c r="T8" i="194"/>
  <c r="S19" i="194"/>
  <c r="S22" i="203"/>
  <c r="M20" i="192"/>
  <c r="O40" i="192"/>
  <c r="P11" i="208"/>
  <c r="L15" i="193"/>
  <c r="U29" i="199"/>
  <c r="T25" i="193"/>
  <c r="S10" i="201"/>
  <c r="M27" i="194"/>
  <c r="U7" i="192"/>
  <c r="R37" i="200"/>
  <c r="U16" i="192"/>
  <c r="T5" i="198"/>
  <c r="P27" i="197"/>
  <c r="U26" i="198"/>
  <c r="N12" i="201"/>
  <c r="U10" i="196"/>
  <c r="S39" i="208"/>
  <c r="Q16" i="197"/>
  <c r="T7" i="204"/>
  <c r="L33" i="197"/>
  <c r="L46" i="200"/>
  <c r="Q30" i="193"/>
  <c r="S41" i="206"/>
  <c r="Q42" i="202"/>
  <c r="O33" i="194"/>
  <c r="U19" i="197"/>
  <c r="O35" i="204"/>
  <c r="P34" i="208"/>
  <c r="L3" i="206"/>
  <c r="T10" i="204"/>
  <c r="S36" i="203"/>
  <c r="P4" i="195"/>
  <c r="N33" i="194"/>
  <c r="T20" i="205"/>
  <c r="S7" i="195"/>
  <c r="U30" i="195"/>
  <c r="N23" i="200"/>
  <c r="L6" i="197"/>
  <c r="Q2" i="194"/>
  <c r="P3" i="193"/>
  <c r="T39" i="194"/>
  <c r="M11" i="197"/>
  <c r="O11" i="192"/>
  <c r="P43" i="193"/>
  <c r="S25" i="192"/>
  <c r="R23" i="202"/>
  <c r="M39" i="200"/>
  <c r="T18" i="209"/>
  <c r="U30" i="201"/>
  <c r="U3" i="200"/>
  <c r="N32" i="191"/>
  <c r="L44" i="201"/>
  <c r="L41" i="203"/>
  <c r="N43" i="195"/>
  <c r="P18" i="198"/>
  <c r="R9" i="196"/>
  <c r="Q46" i="194"/>
  <c r="M6" i="195"/>
  <c r="U43" i="203"/>
  <c r="Q17" i="196"/>
  <c r="U21" i="191"/>
  <c r="T45" i="194"/>
  <c r="S44" i="201"/>
  <c r="S37" i="206"/>
  <c r="O10" i="191"/>
  <c r="T38" i="207"/>
  <c r="U8" i="200"/>
  <c r="M41" i="202"/>
  <c r="O34" i="197"/>
  <c r="T2" i="199"/>
  <c r="N8" i="191"/>
  <c r="S33" i="198"/>
  <c r="Q3" i="192"/>
  <c r="R31" i="201"/>
  <c r="Q6" i="196"/>
  <c r="Q11" i="206"/>
  <c r="S31" i="193"/>
  <c r="U9" i="194"/>
  <c r="M11" i="199"/>
  <c r="O27" i="194"/>
  <c r="L30" i="204"/>
  <c r="Q33" i="199"/>
  <c r="O38" i="198"/>
  <c r="O4" i="194"/>
  <c r="O30" i="194"/>
  <c r="Q40" i="199"/>
  <c r="R14" i="195"/>
  <c r="S20" i="196"/>
  <c r="O37" i="199"/>
  <c r="N16" i="196"/>
  <c r="Q31" i="202"/>
  <c r="M11" i="192"/>
  <c r="P36" i="200"/>
  <c r="R28" i="192"/>
  <c r="N19" i="199"/>
  <c r="N34" i="210"/>
  <c r="R32" i="191"/>
  <c r="O44" i="197"/>
  <c r="Q21" i="197"/>
  <c r="N25" i="197"/>
  <c r="O43" i="196"/>
  <c r="U29" i="191"/>
  <c r="Q34" i="198"/>
  <c r="N23" i="195"/>
  <c r="P15" i="201"/>
  <c r="N45" i="196"/>
  <c r="T26" i="202"/>
  <c r="S43" i="199"/>
  <c r="P37" i="195"/>
  <c r="P2" i="193"/>
  <c r="S24" i="209"/>
  <c r="R28" i="203"/>
  <c r="T3" i="196"/>
  <c r="N40" i="193"/>
  <c r="R11" i="194"/>
  <c r="S30" i="37"/>
  <c r="U33" i="37"/>
  <c r="U41" i="192"/>
  <c r="P2" i="192"/>
  <c r="P16" i="200"/>
  <c r="R43" i="37"/>
  <c r="M21" i="37"/>
  <c r="N18" i="205"/>
  <c r="T43" i="194"/>
  <c r="U39" i="197"/>
  <c r="S42" i="191"/>
  <c r="U40" i="191"/>
  <c r="P45" i="192"/>
  <c r="N10" i="197"/>
  <c r="Q23" i="195"/>
  <c r="N30" i="197"/>
  <c r="L25" i="199"/>
  <c r="N16" i="202"/>
  <c r="L27" i="199"/>
  <c r="Q20" i="201"/>
  <c r="N28" i="194"/>
  <c r="M32" i="197"/>
  <c r="R36" i="192"/>
  <c r="T39" i="208"/>
  <c r="L46" i="191"/>
  <c r="Q42" i="194"/>
  <c r="T40" i="194"/>
  <c r="Q22" i="203"/>
  <c r="N14" i="200"/>
  <c r="S3" i="199"/>
  <c r="R18" i="191"/>
  <c r="P23" i="191"/>
  <c r="S4" i="196"/>
  <c r="Q29" i="195"/>
  <c r="R21" i="210"/>
  <c r="L33" i="195"/>
  <c r="Q29" i="201"/>
  <c r="M6" i="200"/>
  <c r="R22" i="204"/>
  <c r="N3" i="191"/>
  <c r="T24" i="198"/>
  <c r="U43" i="193"/>
  <c r="S16" i="198"/>
  <c r="S32" i="191"/>
  <c r="S24" i="37"/>
  <c r="Q13" i="37"/>
  <c r="S46" i="192"/>
  <c r="L38" i="193"/>
  <c r="O45" i="200"/>
  <c r="R10" i="37"/>
  <c r="N12" i="192"/>
  <c r="M30" i="202"/>
  <c r="N30" i="196"/>
  <c r="N41" i="195"/>
  <c r="T43" i="193"/>
  <c r="T25" i="200"/>
  <c r="L23" i="201"/>
  <c r="P18" i="192"/>
  <c r="T30" i="199"/>
  <c r="P39" i="201"/>
  <c r="U17" i="193"/>
  <c r="U7" i="201"/>
  <c r="L22" i="191"/>
  <c r="S45" i="197"/>
  <c r="Q6" i="191"/>
  <c r="N15" i="194"/>
  <c r="M26" i="194"/>
  <c r="T36" i="197"/>
  <c r="O37" i="202"/>
  <c r="Q26" i="206"/>
  <c r="S36" i="193"/>
  <c r="S13" i="204"/>
  <c r="S24" i="198"/>
  <c r="T45" i="193"/>
  <c r="L13" i="203"/>
  <c r="P6" i="210"/>
  <c r="Q34" i="197"/>
  <c r="L34" i="201"/>
  <c r="P6" i="191"/>
  <c r="U36" i="191"/>
  <c r="T13" i="194"/>
  <c r="R7" i="205"/>
  <c r="P35" i="192"/>
  <c r="O37" i="204"/>
  <c r="L13" i="197"/>
  <c r="S34" i="191"/>
  <c r="T31" i="198"/>
  <c r="M27" i="193"/>
  <c r="Q15" i="196"/>
  <c r="Q32" i="203"/>
  <c r="M46" i="191"/>
  <c r="M34" i="194"/>
  <c r="M37" i="199"/>
  <c r="N32" i="195"/>
  <c r="S15" i="37"/>
  <c r="R45" i="192"/>
  <c r="S44" i="195"/>
  <c r="U28" i="201"/>
  <c r="P36" i="202"/>
  <c r="M4" i="192"/>
  <c r="O17" i="195"/>
  <c r="P46" i="192"/>
  <c r="M46" i="198"/>
  <c r="S41" i="196"/>
  <c r="M42" i="193"/>
  <c r="T5" i="37"/>
  <c r="Q28" i="198"/>
  <c r="N27" i="37"/>
  <c r="P6" i="196"/>
  <c r="R29" i="191"/>
  <c r="R21" i="37"/>
  <c r="M22" i="37"/>
  <c r="O3" i="196"/>
  <c r="Q2" i="199"/>
  <c r="U11" i="204"/>
  <c r="P10" i="37"/>
  <c r="U23" i="37"/>
  <c r="T45" i="192"/>
  <c r="N14" i="196"/>
  <c r="S5" i="201"/>
  <c r="R16" i="192"/>
  <c r="U34" i="199"/>
  <c r="U3" i="208"/>
  <c r="O14" i="194"/>
  <c r="Q25" i="37"/>
  <c r="L29" i="203"/>
  <c r="N27" i="207"/>
  <c r="Q29" i="37"/>
  <c r="S11" i="192"/>
  <c r="R10" i="196"/>
  <c r="R46" i="37"/>
  <c r="P25" i="199"/>
  <c r="O40" i="37"/>
  <c r="N3" i="193"/>
  <c r="P34" i="204"/>
  <c r="U23" i="191"/>
  <c r="M28" i="195"/>
  <c r="O33" i="193"/>
  <c r="M5" i="199"/>
  <c r="N28" i="206"/>
  <c r="M2" i="200"/>
  <c r="T11" i="199"/>
  <c r="Q12" i="199"/>
  <c r="P4" i="37"/>
  <c r="Q33" i="196"/>
  <c r="T14" i="212"/>
  <c r="U5" i="212"/>
  <c r="T25" i="202"/>
  <c r="T16" i="203"/>
  <c r="S28" i="195"/>
  <c r="R44" i="206"/>
  <c r="M37" i="192"/>
  <c r="L45" i="195"/>
  <c r="M34" i="198"/>
  <c r="P18" i="205"/>
  <c r="N25" i="204"/>
  <c r="R9" i="209"/>
  <c r="M37" i="207"/>
  <c r="O13" i="209"/>
  <c r="Q31" i="206"/>
  <c r="N30" i="207"/>
  <c r="T2" i="208"/>
  <c r="N17" i="198"/>
  <c r="T36" i="195"/>
  <c r="Q25" i="192"/>
  <c r="R24" i="209"/>
  <c r="S26" i="196"/>
  <c r="S43" i="209"/>
  <c r="R8" i="207"/>
  <c r="U31" i="205"/>
  <c r="L38" i="194"/>
  <c r="O35" i="198"/>
  <c r="Q24" i="198"/>
  <c r="O3" i="191"/>
  <c r="R4" i="199"/>
  <c r="O6" i="201"/>
  <c r="S36" i="201"/>
  <c r="U2" i="199"/>
  <c r="Q35" i="200"/>
  <c r="Q37" i="202"/>
  <c r="T42" i="192"/>
  <c r="R19" i="192"/>
  <c r="Q17" i="192"/>
  <c r="S28" i="200"/>
  <c r="S41" i="194"/>
  <c r="U20" i="196"/>
  <c r="T20" i="198"/>
  <c r="Q43" i="200"/>
  <c r="N16" i="206"/>
  <c r="P23" i="197"/>
  <c r="L27" i="194"/>
  <c r="P4" i="203"/>
  <c r="M40" i="201"/>
  <c r="O38" i="199"/>
  <c r="T24" i="194"/>
  <c r="P15" i="199"/>
  <c r="S46" i="199"/>
  <c r="S20" i="199"/>
  <c r="R7" i="200"/>
  <c r="S40" i="207"/>
  <c r="U44" i="195"/>
  <c r="L16" i="207"/>
  <c r="R22" i="192"/>
  <c r="S46" i="191"/>
  <c r="O38" i="194"/>
  <c r="S6" i="203"/>
  <c r="N3" i="201"/>
  <c r="S13" i="201"/>
  <c r="L38" i="200"/>
  <c r="R8" i="199"/>
  <c r="N45" i="192"/>
  <c r="O33" i="191"/>
  <c r="P35" i="206"/>
  <c r="N39" i="193"/>
  <c r="P36" i="196"/>
  <c r="U25" i="195"/>
  <c r="R31" i="193"/>
  <c r="N5" i="193"/>
  <c r="Q24" i="195"/>
  <c r="L4" i="194"/>
  <c r="N29" i="197"/>
  <c r="M4" i="200"/>
  <c r="R36" i="191"/>
  <c r="P23" i="195"/>
  <c r="O23" i="197"/>
  <c r="Q41" i="204"/>
  <c r="U22" i="194"/>
  <c r="M12" i="198"/>
  <c r="M14" i="207"/>
  <c r="O3" i="195"/>
  <c r="O25" i="196"/>
  <c r="T5" i="191"/>
  <c r="P7" i="196"/>
  <c r="P28" i="204"/>
  <c r="L8" i="196"/>
  <c r="O43" i="198"/>
  <c r="U36" i="194"/>
  <c r="N33" i="191"/>
  <c r="O44" i="202"/>
  <c r="Q5" i="197"/>
  <c r="M19" i="205"/>
  <c r="S37" i="196"/>
  <c r="L12" i="196"/>
  <c r="R42" i="194"/>
  <c r="O36" i="199"/>
  <c r="P7" i="198"/>
  <c r="R23" i="199"/>
  <c r="P46" i="37"/>
  <c r="Q40" i="37"/>
  <c r="O31" i="197"/>
  <c r="M35" i="191"/>
  <c r="S11" i="208"/>
  <c r="U37" i="37"/>
  <c r="R25" i="37"/>
  <c r="T41" i="210"/>
  <c r="U13" i="195"/>
  <c r="O40" i="199"/>
  <c r="P26" i="200"/>
  <c r="U20" i="199"/>
  <c r="N18" i="200"/>
  <c r="T22" i="199"/>
  <c r="P34" i="196"/>
  <c r="S18" i="192"/>
  <c r="M3" i="197"/>
  <c r="P15" i="202"/>
  <c r="N20" i="194"/>
  <c r="S2" i="201"/>
  <c r="S17" i="192"/>
  <c r="Q36" i="201"/>
  <c r="S29" i="195"/>
  <c r="M26" i="199"/>
  <c r="O12" i="202"/>
  <c r="N13" i="192"/>
  <c r="Q31" i="191"/>
  <c r="P23" i="192"/>
  <c r="M33" i="192"/>
  <c r="O33" i="201"/>
  <c r="P20" i="201"/>
  <c r="M42" i="194"/>
  <c r="U19" i="193"/>
  <c r="Q25" i="199"/>
  <c r="R43" i="207"/>
  <c r="T9" i="199"/>
  <c r="S39" i="204"/>
  <c r="O43" i="200"/>
  <c r="T32" i="196"/>
  <c r="U38" i="195"/>
  <c r="T23" i="191"/>
  <c r="Q18" i="195"/>
  <c r="Q9" i="196"/>
  <c r="S25" i="204"/>
  <c r="P11" i="37"/>
  <c r="Q6" i="37"/>
  <c r="R12" i="197"/>
  <c r="P9" i="195"/>
  <c r="S25" i="191"/>
  <c r="Q16" i="37"/>
  <c r="U10" i="37"/>
  <c r="T25" i="194"/>
  <c r="Q14" i="194"/>
  <c r="S27" i="193"/>
  <c r="T32" i="201"/>
  <c r="U2" i="196"/>
  <c r="S31" i="206"/>
  <c r="S29" i="191"/>
  <c r="N45" i="191"/>
  <c r="T16" i="193"/>
  <c r="R9" i="193"/>
  <c r="U18" i="196"/>
  <c r="T6" i="200"/>
  <c r="S30" i="197"/>
  <c r="Q33" i="193"/>
  <c r="S10" i="196"/>
  <c r="O4" i="195"/>
  <c r="L24" i="195"/>
  <c r="O17" i="193"/>
  <c r="R14" i="199"/>
  <c r="Q34" i="200"/>
  <c r="R2" i="192"/>
  <c r="U27" i="194"/>
  <c r="S45" i="191"/>
  <c r="O9" i="191"/>
  <c r="R40" i="195"/>
  <c r="T29" i="200"/>
  <c r="Q32" i="199"/>
  <c r="R32" i="197"/>
  <c r="R43" i="201"/>
  <c r="U30" i="203"/>
  <c r="M36" i="196"/>
  <c r="T30" i="194"/>
  <c r="T28" i="203"/>
  <c r="Q12" i="195"/>
  <c r="S4" i="208"/>
  <c r="Q42" i="191"/>
  <c r="P40" i="196"/>
  <c r="N17" i="195"/>
  <c r="M15" i="194"/>
  <c r="P39" i="191"/>
  <c r="S23" i="194"/>
  <c r="S32" i="198"/>
  <c r="O5" i="196"/>
  <c r="O2" i="37"/>
  <c r="T13" i="193"/>
  <c r="U39" i="201"/>
  <c r="T26" i="192"/>
  <c r="R6" i="197"/>
  <c r="Q34" i="201"/>
  <c r="M42" i="199"/>
  <c r="N8" i="194"/>
  <c r="Q4" i="192"/>
  <c r="N18" i="195"/>
  <c r="T16" i="195"/>
  <c r="M41" i="37"/>
  <c r="L15" i="191"/>
  <c r="R5" i="194"/>
  <c r="S30" i="203"/>
  <c r="L3" i="193"/>
  <c r="N18" i="198"/>
  <c r="U9" i="37"/>
  <c r="U15" i="194"/>
  <c r="T9" i="196"/>
  <c r="Q38" i="191"/>
  <c r="N42" i="194"/>
  <c r="P37" i="37"/>
  <c r="O8" i="198"/>
  <c r="S38" i="193"/>
  <c r="Q12" i="197"/>
  <c r="L35" i="192"/>
  <c r="U9" i="201"/>
  <c r="U39" i="205"/>
  <c r="S21" i="37"/>
  <c r="P5" i="195"/>
  <c r="R29" i="37"/>
  <c r="R14" i="194"/>
  <c r="N43" i="37"/>
  <c r="O34" i="196"/>
  <c r="N3" i="199"/>
  <c r="O27" i="37"/>
  <c r="M39" i="192"/>
  <c r="P45" i="197"/>
  <c r="O43" i="37"/>
  <c r="S19" i="193"/>
  <c r="O14" i="196"/>
  <c r="O5" i="198"/>
  <c r="U27" i="199"/>
  <c r="R43" i="194"/>
  <c r="T27" i="198"/>
  <c r="P46" i="198"/>
  <c r="M7" i="201"/>
  <c r="M33" i="206"/>
  <c r="T6" i="195"/>
  <c r="O14" i="198"/>
  <c r="T29" i="195"/>
  <c r="O15" i="201"/>
  <c r="Q2" i="191"/>
  <c r="R37" i="191"/>
  <c r="U29" i="204"/>
  <c r="S41" i="191"/>
  <c r="L43" i="196"/>
  <c r="Q7" i="191"/>
  <c r="Q21" i="193"/>
  <c r="O29" i="202"/>
  <c r="M5" i="197"/>
  <c r="Q14" i="193"/>
  <c r="S37" i="203"/>
  <c r="P19" i="193"/>
  <c r="M39" i="195"/>
  <c r="M24" i="202"/>
  <c r="R4" i="192"/>
  <c r="T33" i="209"/>
  <c r="Q29" i="205"/>
  <c r="M20" i="207"/>
  <c r="Q44" i="204"/>
  <c r="M23" i="205"/>
  <c r="L38" i="203"/>
  <c r="T2" i="195"/>
  <c r="M28" i="193"/>
  <c r="P35" i="203"/>
  <c r="O18" i="202"/>
  <c r="L31" i="196"/>
  <c r="S22" i="199"/>
  <c r="T30" i="196"/>
  <c r="U29" i="197"/>
  <c r="O39" i="206"/>
  <c r="M28" i="198"/>
  <c r="P2" i="201"/>
  <c r="S27" i="205"/>
  <c r="U12" i="191"/>
  <c r="T35" i="196"/>
  <c r="N19" i="192"/>
  <c r="O22" i="196"/>
  <c r="R30" i="194"/>
  <c r="N9" i="211"/>
  <c r="T32" i="199"/>
  <c r="R46" i="198"/>
  <c r="O11" i="193"/>
  <c r="Q11" i="191"/>
  <c r="N9" i="194"/>
  <c r="T29" i="198"/>
  <c r="N3" i="200"/>
  <c r="N31" i="200"/>
  <c r="T34" i="203"/>
  <c r="M43" i="194"/>
  <c r="M35" i="196"/>
  <c r="R41" i="199"/>
  <c r="Q9" i="206"/>
  <c r="M25" i="208"/>
  <c r="T9" i="195"/>
  <c r="N30" i="198"/>
  <c r="S3" i="200"/>
  <c r="T6" i="204"/>
  <c r="T6" i="191"/>
  <c r="N9" i="202"/>
  <c r="M34" i="191"/>
  <c r="O10" i="196"/>
  <c r="O24" i="196"/>
  <c r="M37" i="209"/>
  <c r="P45" i="194"/>
  <c r="S24" i="191"/>
  <c r="P16" i="195"/>
  <c r="L46" i="197"/>
  <c r="R15" i="193"/>
  <c r="U24" i="197"/>
  <c r="U25" i="191"/>
  <c r="U44" i="197"/>
  <c r="T5" i="192"/>
  <c r="N43" i="197"/>
  <c r="R43" i="203"/>
  <c r="Q20" i="199"/>
  <c r="S25" i="195"/>
  <c r="S11" i="202"/>
  <c r="M16" i="198"/>
  <c r="P28" i="208"/>
  <c r="N35" i="203"/>
  <c r="T10" i="193"/>
  <c r="S24" i="205"/>
  <c r="Q35" i="195"/>
  <c r="O36" i="195"/>
  <c r="N4" i="204"/>
  <c r="N17" i="191"/>
  <c r="Q30" i="200"/>
  <c r="T25" i="198"/>
  <c r="N44" i="197"/>
  <c r="M11" i="202"/>
  <c r="N41" i="201"/>
  <c r="N35" i="201"/>
  <c r="P17" i="196"/>
  <c r="M20" i="195"/>
  <c r="M8" i="198"/>
  <c r="U43" i="194"/>
  <c r="N29" i="196"/>
  <c r="N41" i="196"/>
  <c r="Q30" i="197"/>
  <c r="O9" i="193"/>
  <c r="M5" i="195"/>
  <c r="M22" i="194"/>
  <c r="O16" i="197"/>
  <c r="S9" i="207"/>
  <c r="N33" i="192"/>
  <c r="L31" i="201"/>
  <c r="R12" i="193"/>
  <c r="R11" i="195"/>
  <c r="M18" i="195"/>
  <c r="R13" i="199"/>
  <c r="R20" i="197"/>
  <c r="N28" i="209"/>
  <c r="Q23" i="197"/>
  <c r="S17" i="197"/>
  <c r="R8" i="208"/>
  <c r="L46" i="192"/>
  <c r="U14" i="192"/>
  <c r="S20" i="37"/>
  <c r="L7" i="196"/>
  <c r="U13" i="205"/>
  <c r="R6" i="206"/>
  <c r="Q4" i="193"/>
  <c r="O19" i="37"/>
  <c r="T33" i="201"/>
  <c r="L41" i="193"/>
  <c r="R13" i="195"/>
  <c r="U26" i="200"/>
  <c r="M43" i="195"/>
  <c r="Q6" i="198"/>
  <c r="U29" i="196"/>
  <c r="T33" i="202"/>
  <c r="L32" i="196"/>
  <c r="O27" i="202"/>
  <c r="M12" i="197"/>
  <c r="R25" i="200"/>
  <c r="M35" i="197"/>
  <c r="T8" i="200"/>
  <c r="Q5" i="194"/>
  <c r="M44" i="195"/>
  <c r="L17" i="197"/>
  <c r="S33" i="196"/>
  <c r="R21" i="195"/>
  <c r="O16" i="194"/>
  <c r="R27" i="191"/>
  <c r="S11" i="191"/>
  <c r="Q42" i="198"/>
  <c r="R36" i="193"/>
  <c r="U13" i="192"/>
  <c r="N29" i="198"/>
  <c r="L18" i="193"/>
  <c r="Q37" i="191"/>
  <c r="O32" i="192"/>
  <c r="Q11" i="204"/>
  <c r="O5" i="205"/>
  <c r="U13" i="204"/>
  <c r="T12" i="196"/>
  <c r="N13" i="195"/>
  <c r="P15" i="200"/>
  <c r="Q39" i="196"/>
  <c r="O7" i="197"/>
  <c r="R23" i="37"/>
  <c r="O17" i="37"/>
  <c r="N25" i="191"/>
  <c r="L37" i="197"/>
  <c r="S18" i="198"/>
  <c r="Q11" i="37"/>
  <c r="N14" i="37"/>
  <c r="S5" i="194"/>
  <c r="L4" i="192"/>
  <c r="R40" i="208"/>
  <c r="L26" i="196"/>
  <c r="P44" i="194"/>
  <c r="L19" i="197"/>
  <c r="M8" i="199"/>
  <c r="L12" i="200"/>
  <c r="S16" i="201"/>
  <c r="L34" i="193"/>
  <c r="M26" i="203"/>
  <c r="T6" i="193"/>
  <c r="Q35" i="192"/>
  <c r="T26" i="191"/>
  <c r="S44" i="194"/>
  <c r="L28" i="206"/>
  <c r="T8" i="191"/>
  <c r="N43" i="196"/>
  <c r="M26" i="192"/>
  <c r="O14" i="203"/>
  <c r="N43" i="198"/>
  <c r="Q18" i="192"/>
  <c r="Q4" i="196"/>
  <c r="Q7" i="202"/>
  <c r="R28" i="196"/>
  <c r="S12" i="207"/>
  <c r="U11" i="196"/>
  <c r="R42" i="199"/>
  <c r="P39" i="192"/>
  <c r="U44" i="193"/>
  <c r="L13" i="192"/>
  <c r="S31" i="198"/>
  <c r="N22" i="202"/>
  <c r="T18" i="192"/>
  <c r="U17" i="204"/>
  <c r="L3" i="211"/>
  <c r="Q44" i="199"/>
  <c r="L31" i="191"/>
  <c r="R17" i="200"/>
  <c r="M20" i="198"/>
  <c r="T3" i="206"/>
  <c r="Q4" i="200"/>
  <c r="P10" i="200"/>
  <c r="U28" i="191"/>
  <c r="L41" i="37"/>
  <c r="P36" i="191"/>
  <c r="S2" i="200"/>
  <c r="N20" i="201"/>
  <c r="L11" i="191"/>
  <c r="N9" i="208"/>
  <c r="T12" i="197"/>
  <c r="S36" i="196"/>
  <c r="N10" i="195"/>
  <c r="P26" i="208"/>
  <c r="S26" i="197"/>
  <c r="T31" i="37"/>
  <c r="R32" i="192"/>
  <c r="Q30" i="37"/>
  <c r="Q30" i="199"/>
  <c r="U41" i="203"/>
  <c r="P26" i="37"/>
  <c r="L7" i="37"/>
  <c r="Q9" i="194"/>
  <c r="M3" i="200"/>
  <c r="N15" i="207"/>
  <c r="L26" i="37"/>
  <c r="R44" i="37"/>
  <c r="M9" i="204"/>
  <c r="P40" i="191"/>
  <c r="U45" i="199"/>
  <c r="O38" i="197"/>
  <c r="Q28" i="195"/>
  <c r="T6" i="206"/>
  <c r="P33" i="194"/>
  <c r="U22" i="37"/>
  <c r="P14" i="197"/>
  <c r="Q12" i="192"/>
  <c r="P43" i="37"/>
  <c r="U14" i="37"/>
  <c r="U26" i="195"/>
  <c r="M29" i="37"/>
  <c r="U37" i="198"/>
  <c r="R41" i="37"/>
  <c r="O20" i="202"/>
  <c r="Q3" i="197"/>
  <c r="P30" i="197"/>
  <c r="M21" i="198"/>
  <c r="L35" i="198"/>
  <c r="U22" i="196"/>
  <c r="S22" i="200"/>
  <c r="O44" i="195"/>
  <c r="R38" i="200"/>
  <c r="L29" i="201"/>
  <c r="P32" i="199"/>
  <c r="T21" i="192"/>
  <c r="N7" i="202"/>
  <c r="Q9" i="209"/>
  <c r="S36" i="205"/>
  <c r="L39" i="211"/>
  <c r="U20" i="202"/>
  <c r="M38" i="204"/>
  <c r="R19" i="195"/>
  <c r="O7" i="201"/>
  <c r="L8" i="191"/>
  <c r="O46" i="199"/>
  <c r="P21" i="201"/>
  <c r="S3" i="192"/>
  <c r="T16" i="196"/>
  <c r="S9" i="208"/>
  <c r="T16" i="204"/>
  <c r="S43" i="203"/>
  <c r="P29" i="198"/>
  <c r="O29" i="193"/>
  <c r="T7" i="192"/>
  <c r="P9" i="193"/>
  <c r="L16" i="199"/>
  <c r="U14" i="193"/>
  <c r="Q27" i="193"/>
  <c r="N10" i="192"/>
  <c r="N9" i="198"/>
  <c r="L21" i="204"/>
  <c r="T21" i="208"/>
  <c r="U34" i="202"/>
  <c r="N32" i="194"/>
  <c r="U22" i="191"/>
  <c r="P31" i="192"/>
  <c r="R16" i="191"/>
  <c r="S39" i="199"/>
  <c r="O14" i="197"/>
  <c r="T21" i="200"/>
  <c r="L15" i="197"/>
  <c r="L42" i="203"/>
  <c r="U14" i="194"/>
  <c r="Q39" i="203"/>
  <c r="N31" i="197"/>
  <c r="N33" i="195"/>
  <c r="M35" i="193"/>
  <c r="R33" i="191"/>
  <c r="P25" i="198"/>
  <c r="U17" i="202"/>
  <c r="O45" i="197"/>
  <c r="T17" i="194"/>
  <c r="S9" i="195"/>
  <c r="S4" i="199"/>
  <c r="T40" i="202"/>
  <c r="O42" i="192"/>
  <c r="Q18" i="197"/>
  <c r="U24" i="201"/>
  <c r="O26" i="195"/>
  <c r="L11" i="193"/>
  <c r="R7" i="207"/>
  <c r="P36" i="194"/>
  <c r="S30" i="196"/>
  <c r="M6" i="201"/>
  <c r="P27" i="194"/>
  <c r="T34" i="195"/>
  <c r="P41" i="192"/>
  <c r="N42" i="193"/>
  <c r="P24" i="196"/>
  <c r="M44" i="191"/>
  <c r="S22" i="195"/>
  <c r="N5" i="195"/>
  <c r="P2" i="191"/>
  <c r="M14" i="197"/>
  <c r="O11" i="195"/>
  <c r="O10" i="192"/>
  <c r="N39" i="191"/>
  <c r="Q33" i="202"/>
  <c r="N41" i="191"/>
  <c r="Q4" i="191"/>
  <c r="S25" i="196"/>
  <c r="P11" i="206"/>
  <c r="S9" i="202"/>
  <c r="P12" i="201"/>
  <c r="P42" i="195"/>
  <c r="M38" i="199"/>
  <c r="U13" i="191"/>
  <c r="U32" i="195"/>
  <c r="P45" i="203"/>
  <c r="U11" i="192"/>
  <c r="L32" i="191"/>
  <c r="P13" i="194"/>
  <c r="R5" i="193"/>
  <c r="R2" i="194"/>
  <c r="P27" i="208"/>
  <c r="P21" i="206"/>
  <c r="O26" i="202"/>
  <c r="N5" i="207"/>
  <c r="P33" i="209"/>
  <c r="R6" i="200"/>
  <c r="Q36" i="207"/>
  <c r="N23" i="193"/>
  <c r="O14" i="193"/>
  <c r="Q44" i="193"/>
  <c r="L30" i="193"/>
  <c r="Q29" i="204"/>
  <c r="M22" i="191"/>
  <c r="O5" i="37"/>
  <c r="Q24" i="37"/>
  <c r="N28" i="199"/>
  <c r="R20" i="191"/>
  <c r="Q37" i="192"/>
  <c r="R7" i="37"/>
  <c r="P20" i="204"/>
  <c r="T6" i="194"/>
  <c r="P45" i="191"/>
  <c r="Q26" i="198"/>
  <c r="S18" i="202"/>
  <c r="M10" i="199"/>
  <c r="N26" i="202"/>
  <c r="Q41" i="196"/>
  <c r="U38" i="196"/>
  <c r="T22" i="203"/>
  <c r="P46" i="194"/>
  <c r="U38" i="197"/>
  <c r="P20" i="206"/>
  <c r="Q7" i="197"/>
  <c r="M44" i="196"/>
  <c r="O30" i="203"/>
  <c r="S12" i="192"/>
  <c r="S37" i="192"/>
  <c r="R26" i="194"/>
  <c r="T35" i="193"/>
  <c r="N39" i="196"/>
  <c r="U6" i="203"/>
  <c r="L43" i="206"/>
  <c r="T38" i="196"/>
  <c r="O6" i="191"/>
  <c r="Q43" i="193"/>
  <c r="P2" i="194"/>
  <c r="P13" i="201"/>
  <c r="P8" i="198"/>
  <c r="L14" i="191"/>
  <c r="S31" i="191"/>
  <c r="L40" i="199"/>
  <c r="R35" i="201"/>
  <c r="N5" i="202"/>
  <c r="S15" i="193"/>
  <c r="Q26" i="194"/>
  <c r="U39" i="194"/>
  <c r="T44" i="197"/>
  <c r="L36" i="37"/>
  <c r="O18" i="205"/>
  <c r="Q46" i="205"/>
  <c r="L6" i="195"/>
  <c r="Q6" i="200"/>
  <c r="P45" i="37"/>
  <c r="R44" i="203"/>
  <c r="L43" i="192"/>
  <c r="Q42" i="201"/>
  <c r="N10" i="200"/>
  <c r="M2" i="197"/>
  <c r="L33" i="201"/>
  <c r="L23" i="198"/>
  <c r="L28" i="198"/>
  <c r="N24" i="201"/>
  <c r="R11" i="206"/>
  <c r="U23" i="193"/>
  <c r="Q45" i="196"/>
  <c r="O37" i="195"/>
  <c r="L23" i="193"/>
  <c r="P9" i="200"/>
  <c r="N26" i="196"/>
  <c r="N22" i="193"/>
  <c r="L20" i="193"/>
  <c r="T4" i="196"/>
  <c r="S9" i="205"/>
  <c r="M6" i="196"/>
  <c r="Q7" i="198"/>
  <c r="M13" i="194"/>
  <c r="L9" i="192"/>
  <c r="P9" i="191"/>
  <c r="N28" i="193"/>
  <c r="T31" i="192"/>
  <c r="Q33" i="208"/>
  <c r="N3" i="204"/>
  <c r="N34" i="201"/>
  <c r="S23" i="192"/>
  <c r="R8" i="196"/>
  <c r="M18" i="206"/>
  <c r="P6" i="193"/>
  <c r="O37" i="203"/>
  <c r="O4" i="208"/>
  <c r="L42" i="192"/>
  <c r="M27" i="196"/>
  <c r="S45" i="194"/>
  <c r="Q14" i="204"/>
  <c r="N9" i="200"/>
  <c r="P24" i="200"/>
  <c r="N13" i="199"/>
  <c r="O19" i="203"/>
  <c r="S21" i="200"/>
  <c r="U44" i="37"/>
  <c r="P19" i="204"/>
  <c r="P23" i="200"/>
  <c r="T18" i="193"/>
  <c r="T16" i="192"/>
  <c r="N31" i="37"/>
  <c r="S14" i="199"/>
  <c r="Q35" i="194"/>
  <c r="S35" i="201"/>
  <c r="M15" i="198"/>
  <c r="Q7" i="192"/>
  <c r="R6" i="212"/>
  <c r="U24" i="191"/>
  <c r="U35" i="203"/>
  <c r="S42" i="206"/>
  <c r="M43" i="198"/>
  <c r="Q8" i="37"/>
  <c r="Q18" i="201"/>
  <c r="T8" i="197"/>
  <c r="N13" i="204"/>
  <c r="U33" i="197"/>
  <c r="Q14" i="199"/>
  <c r="R25" i="193"/>
  <c r="R43" i="200"/>
  <c r="P15" i="192"/>
  <c r="M3" i="199"/>
  <c r="L35" i="209"/>
  <c r="S23" i="214"/>
  <c r="P27" i="200"/>
  <c r="R9" i="194"/>
  <c r="S4" i="204"/>
  <c r="T18" i="195"/>
  <c r="N44" i="193"/>
  <c r="N41" i="208"/>
  <c r="M39" i="196"/>
  <c r="T9" i="191"/>
  <c r="N6" i="205"/>
  <c r="P13" i="198"/>
  <c r="M18" i="210"/>
  <c r="Q32" i="194"/>
  <c r="L22" i="199"/>
  <c r="S9" i="196"/>
  <c r="U4" i="200"/>
  <c r="U37" i="194"/>
  <c r="O40" i="201"/>
  <c r="Q5" i="203"/>
  <c r="O7" i="200"/>
  <c r="N24" i="197"/>
  <c r="U10" i="199"/>
  <c r="Q20" i="196"/>
  <c r="U45" i="194"/>
  <c r="O34" i="201"/>
  <c r="O45" i="194"/>
  <c r="L14" i="201"/>
  <c r="L35" i="196"/>
  <c r="T6" i="202"/>
  <c r="S15" i="195"/>
  <c r="L15" i="194"/>
  <c r="Q19" i="191"/>
  <c r="O21" i="197"/>
  <c r="N41" i="198"/>
  <c r="S13" i="200"/>
  <c r="L25" i="192"/>
  <c r="N42" i="199"/>
  <c r="U2" i="200"/>
  <c r="O8" i="196"/>
  <c r="O10" i="201"/>
  <c r="T32" i="192"/>
  <c r="M37" i="201"/>
  <c r="R40" i="197"/>
  <c r="R40" i="194"/>
  <c r="L38" i="191"/>
  <c r="P21" i="195"/>
  <c r="N39" i="199"/>
  <c r="N7" i="197"/>
  <c r="L6" i="192"/>
  <c r="S12" i="197"/>
  <c r="R26" i="193"/>
  <c r="O40" i="194"/>
  <c r="R46" i="197"/>
  <c r="P32" i="201"/>
  <c r="S20" i="191"/>
  <c r="O23" i="194"/>
  <c r="T2" i="196"/>
  <c r="O31" i="192"/>
  <c r="L34" i="209"/>
  <c r="O38" i="202"/>
  <c r="P44" i="193"/>
  <c r="N45" i="203"/>
  <c r="Q14" i="200"/>
  <c r="M22" i="200"/>
  <c r="O38" i="196"/>
  <c r="O44" i="196"/>
  <c r="O29" i="195"/>
  <c r="O21" i="201"/>
  <c r="M31" i="194"/>
  <c r="S18" i="191"/>
  <c r="U5" i="198"/>
  <c r="T40" i="193"/>
  <c r="S42" i="199"/>
  <c r="L29" i="192"/>
  <c r="L2" i="196"/>
  <c r="P29" i="192"/>
  <c r="M29" i="192"/>
  <c r="N22" i="200"/>
  <c r="M40" i="199"/>
  <c r="O22" i="192"/>
  <c r="P39" i="197"/>
  <c r="O5" i="195"/>
  <c r="S9" i="206"/>
  <c r="Q41" i="191"/>
  <c r="Q2" i="197"/>
  <c r="M46" i="192"/>
  <c r="S45" i="196"/>
  <c r="M35" i="198"/>
  <c r="N39" i="202"/>
  <c r="U46" i="196"/>
  <c r="O29" i="194"/>
  <c r="L3" i="209"/>
  <c r="P16" i="194"/>
  <c r="S31" i="37"/>
  <c r="O34" i="37"/>
  <c r="O26" i="209"/>
  <c r="M44" i="192"/>
  <c r="P16" i="193"/>
  <c r="S35" i="37"/>
  <c r="M2" i="37"/>
  <c r="T10" i="201"/>
  <c r="N34" i="200"/>
  <c r="Q40" i="192"/>
  <c r="Q46" i="196"/>
  <c r="N16" i="201"/>
  <c r="N26" i="194"/>
  <c r="R27" i="193"/>
  <c r="M45" i="192"/>
  <c r="S35" i="194"/>
  <c r="S23" i="198"/>
  <c r="T5" i="201"/>
  <c r="Q36" i="193"/>
  <c r="M24" i="198"/>
  <c r="P27" i="205"/>
  <c r="N45" i="202"/>
  <c r="U36" i="201"/>
  <c r="L10" i="193"/>
  <c r="Q41" i="205"/>
  <c r="Q8" i="199"/>
  <c r="L18" i="195"/>
  <c r="R8" i="210"/>
  <c r="T9" i="206"/>
  <c r="L18" i="194"/>
  <c r="M22" i="210"/>
  <c r="L14" i="208"/>
  <c r="U15" i="206"/>
  <c r="P13" i="192"/>
  <c r="T38" i="195"/>
  <c r="L31" i="199"/>
  <c r="M38" i="201"/>
  <c r="P28" i="198"/>
  <c r="S41" i="197"/>
  <c r="P13" i="191"/>
  <c r="R13" i="194"/>
  <c r="M5" i="198"/>
  <c r="T22" i="193"/>
  <c r="O36" i="191"/>
  <c r="M46" i="202"/>
  <c r="S17" i="203"/>
  <c r="Q18" i="199"/>
  <c r="U25" i="194"/>
  <c r="S32" i="195"/>
  <c r="T9" i="192"/>
  <c r="N30" i="200"/>
  <c r="U29" i="195"/>
  <c r="N30" i="37"/>
  <c r="M28" i="37"/>
  <c r="Q25" i="196"/>
  <c r="U35" i="198"/>
  <c r="T37" i="192"/>
  <c r="U38" i="192"/>
  <c r="M9" i="195"/>
  <c r="N22" i="199"/>
  <c r="S23" i="206"/>
  <c r="S40" i="192"/>
  <c r="O3" i="211"/>
  <c r="L30" i="201"/>
  <c r="T34" i="206"/>
  <c r="R45" i="195"/>
  <c r="L19" i="202"/>
  <c r="S4" i="194"/>
  <c r="O24" i="195"/>
  <c r="R27" i="197"/>
  <c r="R37" i="37"/>
  <c r="T43" i="195"/>
  <c r="U35" i="193"/>
  <c r="S9" i="197"/>
  <c r="P38" i="191"/>
  <c r="Q25" i="191"/>
  <c r="M17" i="193"/>
  <c r="T22" i="196"/>
  <c r="U30" i="196"/>
  <c r="S42" i="194"/>
  <c r="S13" i="198"/>
  <c r="L14" i="198"/>
  <c r="P45" i="206"/>
  <c r="Q24" i="196"/>
  <c r="M25" i="196"/>
  <c r="T27" i="201"/>
  <c r="M23" i="196"/>
  <c r="P14" i="194"/>
  <c r="Q34" i="195"/>
  <c r="R7" i="195"/>
  <c r="T12" i="199"/>
  <c r="M32" i="195"/>
  <c r="T46" i="197"/>
  <c r="R19" i="201"/>
  <c r="N42" i="196"/>
  <c r="U17" i="209"/>
  <c r="O30" i="193"/>
  <c r="R43" i="196"/>
  <c r="S2" i="37"/>
  <c r="O44" i="37"/>
  <c r="Q8" i="192"/>
  <c r="M7" i="37"/>
  <c r="Q46" i="192"/>
  <c r="R11" i="37"/>
  <c r="O23" i="196"/>
  <c r="P26" i="210"/>
  <c r="P27" i="193"/>
  <c r="T20" i="191"/>
  <c r="O13" i="193"/>
  <c r="M4" i="37"/>
  <c r="P32" i="200"/>
  <c r="U39" i="196"/>
  <c r="U37" i="192"/>
  <c r="O12" i="203"/>
  <c r="U26" i="199"/>
  <c r="S9" i="201"/>
  <c r="T21" i="196"/>
  <c r="T25" i="37"/>
  <c r="T33" i="205"/>
  <c r="U46" i="192"/>
  <c r="O43" i="193"/>
  <c r="T26" i="37"/>
  <c r="L12" i="198"/>
  <c r="S36" i="199"/>
  <c r="U17" i="191"/>
  <c r="R13" i="208"/>
  <c r="R35" i="193"/>
  <c r="T26" i="199"/>
  <c r="U9" i="195"/>
  <c r="T3" i="202"/>
  <c r="R14" i="192"/>
  <c r="N40" i="199"/>
  <c r="M35" i="205"/>
  <c r="P33" i="193"/>
  <c r="L7" i="191"/>
  <c r="O32" i="194"/>
  <c r="O15" i="196"/>
  <c r="T11" i="198"/>
  <c r="L45" i="192"/>
  <c r="L27" i="191"/>
  <c r="T7" i="203"/>
  <c r="L44" i="191"/>
  <c r="O6" i="198"/>
  <c r="O2" i="193"/>
  <c r="O12" i="200"/>
  <c r="N11" i="193"/>
  <c r="P11" i="201"/>
  <c r="U21" i="208"/>
  <c r="S38" i="196"/>
  <c r="Q42" i="195"/>
  <c r="M42" i="37"/>
  <c r="R15" i="201"/>
  <c r="R24" i="194"/>
  <c r="Q28" i="197"/>
  <c r="T3" i="194"/>
  <c r="P25" i="203"/>
  <c r="U27" i="201"/>
  <c r="Q3" i="198"/>
  <c r="S30" i="194"/>
  <c r="R18" i="206"/>
  <c r="U36" i="193"/>
  <c r="R40" i="200"/>
  <c r="N31" i="191"/>
  <c r="M43" i="193"/>
  <c r="M18" i="37"/>
  <c r="Q39" i="202"/>
  <c r="U35" i="196"/>
  <c r="R12" i="37"/>
  <c r="R17" i="196"/>
  <c r="N35" i="207"/>
  <c r="U8" i="194"/>
  <c r="T42" i="193"/>
  <c r="Q27" i="192"/>
  <c r="N45" i="201"/>
  <c r="R30" i="199"/>
  <c r="N17" i="192"/>
  <c r="Q37" i="195"/>
  <c r="U41" i="191"/>
  <c r="P3" i="191"/>
  <c r="O8" i="195"/>
  <c r="L17" i="193"/>
  <c r="R35" i="195"/>
  <c r="M21" i="196"/>
  <c r="O46" i="195"/>
  <c r="R40" i="198"/>
  <c r="T38" i="201"/>
  <c r="M34" i="207"/>
  <c r="S35" i="196"/>
  <c r="U5" i="202"/>
  <c r="S3" i="197"/>
  <c r="R42" i="193"/>
  <c r="O8" i="199"/>
  <c r="U40" i="198"/>
  <c r="O8" i="197"/>
  <c r="M35" i="206"/>
  <c r="U19" i="207"/>
  <c r="P40" i="37"/>
  <c r="U21" i="197"/>
  <c r="L35" i="37"/>
  <c r="U13" i="197"/>
  <c r="M19" i="37"/>
  <c r="T11" i="195"/>
  <c r="M38" i="191"/>
  <c r="S9" i="37"/>
  <c r="S13" i="202"/>
  <c r="U28" i="196"/>
  <c r="O11" i="37"/>
  <c r="R39" i="200"/>
  <c r="M11" i="201"/>
  <c r="T20" i="196"/>
  <c r="R14" i="197"/>
  <c r="S6" i="191"/>
  <c r="L11" i="192"/>
  <c r="L22" i="197"/>
  <c r="N18" i="196"/>
  <c r="O37" i="37"/>
  <c r="N27" i="197"/>
  <c r="L11" i="199"/>
  <c r="O18" i="37"/>
  <c r="O14" i="37"/>
  <c r="L13" i="195"/>
  <c r="P46" i="193"/>
  <c r="R21" i="193"/>
  <c r="N9" i="37"/>
  <c r="R20" i="37"/>
  <c r="Q4" i="203"/>
  <c r="U7" i="198"/>
  <c r="L37" i="206"/>
  <c r="S34" i="192"/>
  <c r="O40" i="191"/>
  <c r="P36" i="197"/>
  <c r="U37" i="195"/>
  <c r="P6" i="37"/>
  <c r="L21" i="192"/>
  <c r="Q46" i="201"/>
  <c r="T33" i="37"/>
  <c r="Q18" i="37"/>
  <c r="N13" i="193"/>
  <c r="R2" i="37"/>
  <c r="M45" i="194"/>
  <c r="O22" i="37"/>
  <c r="S8" i="205"/>
  <c r="S27" i="206"/>
  <c r="N43" i="201"/>
  <c r="M40" i="197"/>
  <c r="P26" i="193"/>
  <c r="Q21" i="37"/>
  <c r="S17" i="199"/>
  <c r="N6" i="208"/>
  <c r="Q34" i="206"/>
  <c r="U35" i="195"/>
  <c r="U11" i="197"/>
  <c r="S15" i="194"/>
  <c r="S46" i="196"/>
  <c r="R12" i="195"/>
  <c r="P5" i="197"/>
  <c r="U10" i="208"/>
  <c r="S17" i="205"/>
  <c r="U7" i="202"/>
  <c r="M17" i="198"/>
  <c r="M13" i="191"/>
  <c r="O15" i="199"/>
  <c r="T33" i="196"/>
  <c r="S5" i="37"/>
  <c r="R12" i="198"/>
  <c r="S27" i="191"/>
  <c r="U20" i="37"/>
  <c r="S10" i="37"/>
  <c r="U34" i="192"/>
  <c r="O35" i="200"/>
  <c r="N46" i="37"/>
  <c r="O29" i="37"/>
  <c r="M41" i="193"/>
  <c r="P2" i="37"/>
  <c r="Q32" i="198"/>
  <c r="U33" i="201"/>
  <c r="M9" i="194"/>
  <c r="R37" i="193"/>
  <c r="U39" i="198"/>
  <c r="U35" i="192"/>
  <c r="M15" i="196"/>
  <c r="S30" i="191"/>
  <c r="T21" i="37"/>
  <c r="M4" i="201"/>
  <c r="U23" i="196"/>
  <c r="S45" i="37"/>
  <c r="Q14" i="37"/>
  <c r="U29" i="200"/>
  <c r="R7" i="193"/>
  <c r="S37" i="197"/>
  <c r="N21" i="205"/>
  <c r="P10" i="196"/>
  <c r="O46" i="197"/>
  <c r="T9" i="198"/>
  <c r="N17" i="196"/>
  <c r="N20" i="199"/>
  <c r="O3" i="200"/>
  <c r="N40" i="202"/>
  <c r="U14" i="191"/>
  <c r="S26" i="192"/>
  <c r="N44" i="196"/>
  <c r="O6" i="192"/>
  <c r="M12" i="194"/>
  <c r="P41" i="200"/>
  <c r="U28" i="192"/>
  <c r="O32" i="198"/>
  <c r="R6" i="199"/>
  <c r="N19" i="191"/>
  <c r="T17" i="202"/>
  <c r="U12" i="206"/>
  <c r="Q38" i="199"/>
  <c r="U42" i="196"/>
  <c r="S44" i="37"/>
  <c r="T3" i="204"/>
  <c r="N20" i="191"/>
  <c r="U30" i="200"/>
  <c r="M8" i="194"/>
  <c r="S18" i="193"/>
  <c r="P3" i="197"/>
  <c r="T11" i="206"/>
  <c r="S8" i="200"/>
  <c r="Q42" i="196"/>
  <c r="R2" i="196"/>
  <c r="P11" i="199"/>
  <c r="N21" i="195"/>
  <c r="T29" i="192"/>
  <c r="U19" i="200"/>
  <c r="L17" i="198"/>
  <c r="T37" i="37"/>
  <c r="O2" i="198"/>
  <c r="N32" i="37"/>
  <c r="T37" i="205"/>
  <c r="U31" i="194"/>
  <c r="O31" i="191"/>
  <c r="S31" i="192"/>
  <c r="T28" i="197"/>
  <c r="R22" i="208"/>
  <c r="P9" i="198"/>
  <c r="T42" i="37"/>
  <c r="S22" i="204"/>
  <c r="O23" i="191"/>
  <c r="R16" i="200"/>
  <c r="S27" i="200"/>
  <c r="O6" i="37"/>
  <c r="U23" i="197"/>
  <c r="R41" i="195"/>
  <c r="R30" i="37"/>
  <c r="L22" i="203"/>
  <c r="S39" i="192"/>
  <c r="M40" i="192"/>
  <c r="U25" i="193"/>
  <c r="Q44" i="192"/>
  <c r="S19" i="200"/>
  <c r="Q7" i="195"/>
  <c r="M41" i="196"/>
  <c r="S44" i="200"/>
  <c r="Q29" i="196"/>
  <c r="U8" i="37"/>
  <c r="R11" i="191"/>
  <c r="O18" i="191"/>
  <c r="O8" i="211"/>
  <c r="L25" i="200"/>
  <c r="S8" i="197"/>
  <c r="Q39" i="194"/>
  <c r="R4" i="205"/>
  <c r="Q42" i="207"/>
  <c r="N32" i="200"/>
  <c r="O43" i="197"/>
  <c r="T16" i="201"/>
  <c r="N34" i="208"/>
  <c r="L39" i="210"/>
  <c r="O29" i="206"/>
  <c r="L14" i="200"/>
  <c r="S41" i="203"/>
  <c r="Q26" i="195"/>
  <c r="R25" i="192"/>
  <c r="M34" i="196"/>
  <c r="R22" i="193"/>
  <c r="T25" i="206"/>
  <c r="S7" i="200"/>
  <c r="R16" i="202"/>
  <c r="P19" i="192"/>
  <c r="R45" i="191"/>
  <c r="Q24" i="202"/>
  <c r="T46" i="198"/>
  <c r="M23" i="207"/>
  <c r="M14" i="200"/>
  <c r="R24" i="208"/>
  <c r="O45" i="198"/>
  <c r="O9" i="211"/>
  <c r="M3" i="203"/>
  <c r="Q31" i="201"/>
  <c r="U11" i="194"/>
  <c r="U4" i="191"/>
  <c r="P20" i="193"/>
  <c r="O43" i="199"/>
  <c r="O41" i="191"/>
  <c r="M27" i="203"/>
  <c r="M5" i="201"/>
  <c r="M37" i="194"/>
  <c r="M13" i="196"/>
  <c r="U45" i="193"/>
  <c r="S21" i="191"/>
  <c r="N2" i="196"/>
  <c r="T37" i="196"/>
  <c r="P33" i="208"/>
  <c r="R12" i="205"/>
  <c r="U17" i="210"/>
  <c r="S29" i="201"/>
  <c r="U24" i="203"/>
  <c r="Q22" i="194"/>
  <c r="Q26" i="196"/>
  <c r="N44" i="202"/>
  <c r="L26" i="201"/>
  <c r="L20" i="204"/>
  <c r="M38" i="206"/>
  <c r="S39" i="202"/>
  <c r="Q34" i="192"/>
  <c r="Q36" i="196"/>
  <c r="L29" i="204"/>
  <c r="T12" i="198"/>
  <c r="M7" i="195"/>
  <c r="R3" i="194"/>
  <c r="T28" i="193"/>
  <c r="T35" i="203"/>
  <c r="S25" i="193"/>
  <c r="T32" i="194"/>
  <c r="R6" i="202"/>
  <c r="L30" i="212"/>
  <c r="L32" i="206"/>
  <c r="Q36" i="195"/>
  <c r="R20" i="198"/>
  <c r="T3" i="191"/>
  <c r="T19" i="209"/>
  <c r="L42" i="199"/>
  <c r="P44" i="191"/>
  <c r="P43" i="192"/>
  <c r="U41" i="195"/>
  <c r="N28" i="195"/>
  <c r="M17" i="196"/>
  <c r="U34" i="191"/>
  <c r="P38" i="193"/>
  <c r="O2" i="194"/>
  <c r="S45" i="192"/>
  <c r="O9" i="198"/>
  <c r="T34" i="199"/>
  <c r="N30" i="191"/>
  <c r="R40" i="210"/>
  <c r="S40" i="191"/>
  <c r="U42" i="191"/>
  <c r="T19" i="201"/>
  <c r="O41" i="192"/>
  <c r="R3" i="199"/>
  <c r="T39" i="203"/>
  <c r="M17" i="195"/>
  <c r="Q22" i="191"/>
  <c r="Q3" i="207"/>
  <c r="S28" i="193"/>
  <c r="R2" i="191"/>
  <c r="P37" i="191"/>
  <c r="P18" i="191"/>
  <c r="O26" i="37"/>
  <c r="T34" i="37"/>
  <c r="O5" i="194"/>
  <c r="O30" i="198"/>
  <c r="S8" i="192"/>
  <c r="T40" i="37"/>
  <c r="M26" i="37"/>
  <c r="L4" i="203"/>
  <c r="U15" i="203"/>
  <c r="S30" i="199"/>
  <c r="R24" i="191"/>
  <c r="T16" i="198"/>
  <c r="P38" i="200"/>
  <c r="T7" i="198"/>
  <c r="Q17" i="191"/>
  <c r="L14" i="194"/>
  <c r="U32" i="199"/>
  <c r="O36" i="200"/>
  <c r="R35" i="207"/>
  <c r="T43" i="197"/>
  <c r="S21" i="197"/>
  <c r="Q25" i="197"/>
  <c r="M4" i="203"/>
  <c r="N13" i="196"/>
  <c r="U34" i="197"/>
  <c r="R19" i="203"/>
  <c r="N9" i="205"/>
  <c r="U7" i="197"/>
  <c r="P28" i="196"/>
  <c r="M14" i="205"/>
  <c r="T46" i="199"/>
  <c r="N10" i="201"/>
  <c r="S2" i="199"/>
  <c r="M13" i="198"/>
  <c r="S9" i="199"/>
  <c r="R10" i="208"/>
  <c r="N28" i="191"/>
  <c r="U34" i="193"/>
  <c r="M11" i="200"/>
  <c r="Q18" i="191"/>
  <c r="P38" i="199"/>
  <c r="R16" i="207"/>
  <c r="N29" i="194"/>
  <c r="Q21" i="196"/>
  <c r="R37" i="195"/>
  <c r="U27" i="192"/>
  <c r="L19" i="196"/>
  <c r="T41" i="201"/>
  <c r="P18" i="194"/>
  <c r="N21" i="201"/>
  <c r="N11" i="195"/>
  <c r="T20" i="199"/>
  <c r="U46" i="197"/>
  <c r="P23" i="37"/>
  <c r="P20" i="208"/>
  <c r="Q31" i="194"/>
  <c r="S18" i="197"/>
  <c r="O2" i="192"/>
  <c r="T19" i="191"/>
  <c r="L4" i="195"/>
  <c r="O22" i="194"/>
  <c r="O2" i="195"/>
  <c r="M44" i="194"/>
  <c r="S35" i="198"/>
  <c r="R45" i="194"/>
  <c r="Q27" i="194"/>
  <c r="M2" i="204"/>
  <c r="P24" i="37"/>
  <c r="U19" i="199"/>
  <c r="M45" i="201"/>
  <c r="P9" i="37"/>
  <c r="O34" i="193"/>
  <c r="O43" i="201"/>
  <c r="Q46" i="191"/>
  <c r="L23" i="191"/>
  <c r="P30" i="203"/>
  <c r="N7" i="192"/>
  <c r="O4" i="204"/>
  <c r="Q5" i="196"/>
  <c r="S42" i="198"/>
  <c r="M40" i="204"/>
  <c r="U46" i="191"/>
  <c r="T36" i="209"/>
  <c r="P29" i="194"/>
  <c r="P44" i="201"/>
  <c r="U4" i="192"/>
  <c r="L29" i="200"/>
  <c r="S39" i="203"/>
  <c r="U20" i="193"/>
  <c r="M33" i="200"/>
  <c r="L30" i="198"/>
  <c r="Q11" i="198"/>
  <c r="O36" i="37"/>
  <c r="P44" i="195"/>
  <c r="S2" i="192"/>
  <c r="T27" i="199"/>
  <c r="N14" i="197"/>
  <c r="U36" i="208"/>
  <c r="Q16" i="201"/>
  <c r="N44" i="37"/>
  <c r="T36" i="191"/>
  <c r="L3" i="204"/>
  <c r="P9" i="194"/>
  <c r="T43" i="37"/>
  <c r="S6" i="192"/>
  <c r="U39" i="192"/>
  <c r="T22" i="37"/>
  <c r="O42" i="198"/>
  <c r="L6" i="193"/>
  <c r="N3" i="194"/>
  <c r="P14" i="37"/>
  <c r="S18" i="200"/>
  <c r="Q3" i="203"/>
  <c r="P42" i="196"/>
  <c r="P40" i="192"/>
  <c r="P33" i="196"/>
  <c r="N44" i="191"/>
  <c r="R12" i="202"/>
  <c r="L24" i="37"/>
  <c r="M38" i="37"/>
  <c r="S27" i="192"/>
  <c r="S17" i="207"/>
  <c r="P24" i="192"/>
  <c r="M24" i="205"/>
  <c r="Q36" i="197"/>
  <c r="T16" i="202"/>
  <c r="M16" i="201"/>
  <c r="O42" i="195"/>
  <c r="P26" i="202"/>
  <c r="P29" i="196"/>
  <c r="R13" i="191"/>
  <c r="S14" i="203"/>
  <c r="T15" i="199"/>
  <c r="Q27" i="210"/>
  <c r="O41" i="194"/>
  <c r="R14" i="204"/>
  <c r="P33" i="200"/>
  <c r="U6" i="208"/>
  <c r="Q43" i="197"/>
  <c r="U29" i="209"/>
  <c r="T44" i="195"/>
  <c r="Q12" i="196"/>
  <c r="R37" i="196"/>
  <c r="L19" i="205"/>
  <c r="M24" i="192"/>
  <c r="M12" i="193"/>
  <c r="L10" i="192"/>
  <c r="U38" i="191"/>
  <c r="Q4" i="195"/>
  <c r="P18" i="195"/>
  <c r="R33" i="195"/>
  <c r="N10" i="193"/>
  <c r="U4" i="205"/>
  <c r="O45" i="195"/>
  <c r="U17" i="197"/>
  <c r="P40" i="199"/>
  <c r="U35" i="194"/>
  <c r="O9" i="203"/>
  <c r="P5" i="194"/>
  <c r="M14" i="206"/>
  <c r="T23" i="194"/>
  <c r="P21" i="194"/>
  <c r="M32" i="193"/>
  <c r="U43" i="191"/>
  <c r="R18" i="37"/>
  <c r="U8" i="201"/>
  <c r="R30" i="191"/>
  <c r="N39" i="37"/>
  <c r="R3" i="197"/>
  <c r="P10" i="205"/>
  <c r="N15" i="198"/>
  <c r="R16" i="193"/>
  <c r="O43" i="194"/>
  <c r="S19" i="201"/>
  <c r="T13" i="195"/>
  <c r="M21" i="204"/>
  <c r="P20" i="191"/>
  <c r="S36" i="192"/>
  <c r="L26" i="208"/>
  <c r="O19" i="195"/>
  <c r="R29" i="197"/>
  <c r="R30" i="210"/>
  <c r="N20" i="196"/>
  <c r="L35" i="201"/>
  <c r="M10" i="200"/>
  <c r="S3" i="205"/>
  <c r="S10" i="195"/>
  <c r="P20" i="200"/>
  <c r="N39" i="200"/>
  <c r="S6" i="37"/>
  <c r="N11" i="198"/>
  <c r="P25" i="195"/>
  <c r="P25" i="202"/>
  <c r="U11" i="191"/>
  <c r="L20" i="192"/>
  <c r="S6" i="194"/>
  <c r="M4" i="193"/>
  <c r="L39" i="200"/>
  <c r="O8" i="194"/>
  <c r="O10" i="194"/>
  <c r="P3" i="37"/>
  <c r="L15" i="201"/>
  <c r="N35" i="197"/>
  <c r="T17" i="205"/>
  <c r="U2" i="191"/>
  <c r="P4" i="194"/>
  <c r="R45" i="204"/>
  <c r="T14" i="37"/>
  <c r="S21" i="195"/>
  <c r="S5" i="191"/>
  <c r="R21" i="209"/>
  <c r="U6" i="194"/>
  <c r="S37" i="193"/>
  <c r="R45" i="198"/>
  <c r="M30" i="203"/>
  <c r="R16" i="37"/>
  <c r="T23" i="193"/>
  <c r="U44" i="191"/>
  <c r="Q39" i="37"/>
  <c r="N34" i="37"/>
  <c r="Q36" i="194"/>
  <c r="L27" i="195"/>
  <c r="O9" i="196"/>
  <c r="M33" i="37"/>
  <c r="T17" i="37"/>
  <c r="S23" i="196"/>
  <c r="U19" i="205"/>
  <c r="L6" i="199"/>
  <c r="P19" i="203"/>
  <c r="O30" i="37"/>
  <c r="L16" i="191"/>
  <c r="Q29" i="192"/>
  <c r="M16" i="37"/>
  <c r="N26" i="206"/>
  <c r="Q41" i="37"/>
  <c r="O45" i="203"/>
  <c r="P43" i="191"/>
  <c r="T27" i="37"/>
  <c r="N4" i="194"/>
  <c r="M45" i="191"/>
  <c r="O7" i="37"/>
  <c r="N6" i="196"/>
  <c r="S14" i="196"/>
  <c r="T41" i="194"/>
  <c r="M9" i="196"/>
  <c r="T13" i="196"/>
  <c r="P22" i="202"/>
  <c r="N45" i="200"/>
  <c r="M19" i="192"/>
  <c r="R38" i="194"/>
  <c r="U25" i="197"/>
  <c r="N43" i="194"/>
  <c r="R4" i="37"/>
  <c r="S31" i="199"/>
  <c r="M38" i="196"/>
  <c r="N32" i="196"/>
  <c r="O15" i="203"/>
  <c r="L40" i="204"/>
  <c r="M17" i="200"/>
  <c r="T23" i="196"/>
  <c r="O39" i="198"/>
  <c r="L19" i="194"/>
  <c r="N17" i="197"/>
  <c r="N39" i="197"/>
  <c r="P44" i="199"/>
  <c r="N6" i="191"/>
  <c r="Q6" i="197"/>
  <c r="T46" i="206"/>
  <c r="R26" i="192"/>
  <c r="N46" i="195"/>
  <c r="R9" i="191"/>
  <c r="R24" i="37"/>
  <c r="Q16" i="194"/>
  <c r="T19" i="37"/>
  <c r="M19" i="199"/>
  <c r="L40" i="37"/>
  <c r="L28" i="37"/>
  <c r="L11" i="37"/>
  <c r="T41" i="37"/>
  <c r="N15" i="37"/>
  <c r="N6" i="37"/>
  <c r="R21" i="206"/>
  <c r="M22" i="197"/>
  <c r="O9" i="206"/>
  <c r="U5" i="37"/>
  <c r="N19" i="37"/>
  <c r="U42" i="195"/>
  <c r="Q6" i="192"/>
  <c r="O13" i="203"/>
  <c r="T19" i="193"/>
  <c r="O20" i="195"/>
  <c r="P34" i="192"/>
  <c r="R16" i="208"/>
  <c r="S14" i="202"/>
  <c r="M25" i="203"/>
  <c r="L35" i="197"/>
  <c r="Q19" i="196"/>
  <c r="U13" i="193"/>
  <c r="U43" i="197"/>
  <c r="R41" i="193"/>
  <c r="O15" i="197"/>
  <c r="O37" i="194"/>
  <c r="R24" i="193"/>
  <c r="U7" i="193"/>
  <c r="U4" i="197"/>
  <c r="R9" i="192"/>
  <c r="O20" i="196"/>
  <c r="U21" i="199"/>
  <c r="S45" i="200"/>
  <c r="U24" i="194"/>
  <c r="N14" i="204"/>
  <c r="M26" i="205"/>
  <c r="L14" i="37"/>
  <c r="Q5" i="37"/>
  <c r="N18" i="194"/>
  <c r="L12" i="197"/>
  <c r="T4" i="197"/>
  <c r="O35" i="193"/>
  <c r="O36" i="192"/>
  <c r="L33" i="199"/>
  <c r="L42" i="193"/>
  <c r="L30" i="191"/>
  <c r="M38" i="197"/>
  <c r="N12" i="194"/>
  <c r="P2" i="195"/>
  <c r="T32" i="197"/>
  <c r="M39" i="191"/>
  <c r="R26" i="196"/>
  <c r="U31" i="37"/>
  <c r="O17" i="200"/>
  <c r="O41" i="37"/>
  <c r="L11" i="196"/>
  <c r="S10" i="192"/>
  <c r="R43" i="213"/>
  <c r="P14" i="213"/>
  <c r="L19" i="193"/>
  <c r="S7" i="192"/>
  <c r="N26" i="201"/>
  <c r="Q2" i="196"/>
  <c r="T32" i="203"/>
  <c r="S19" i="199"/>
  <c r="N29" i="191"/>
  <c r="U36" i="192"/>
  <c r="P28" i="197"/>
  <c r="M44" i="200"/>
  <c r="N2" i="199"/>
  <c r="O44" i="200"/>
  <c r="O16" i="192"/>
  <c r="N37" i="196"/>
  <c r="L25" i="193"/>
  <c r="Q6" i="201"/>
  <c r="N14" i="191"/>
  <c r="O6" i="200"/>
  <c r="U11" i="208"/>
  <c r="P32" i="203"/>
  <c r="R33" i="203"/>
  <c r="Q5" i="191"/>
  <c r="S42" i="201"/>
  <c r="O21" i="37"/>
  <c r="S36" i="37"/>
  <c r="M15" i="208"/>
  <c r="R3" i="37"/>
  <c r="O20" i="191"/>
  <c r="S22" i="37"/>
  <c r="L29" i="194"/>
  <c r="O35" i="195"/>
  <c r="U32" i="205"/>
  <c r="M28" i="196"/>
  <c r="L32" i="193"/>
  <c r="U19" i="37"/>
  <c r="U16" i="194"/>
  <c r="L9" i="194"/>
  <c r="Q23" i="37"/>
  <c r="T3" i="192"/>
  <c r="M10" i="203"/>
  <c r="U21" i="195"/>
  <c r="P44" i="37"/>
  <c r="T11" i="197"/>
  <c r="T21" i="193"/>
  <c r="O8" i="204"/>
  <c r="L11" i="195"/>
  <c r="M36" i="37"/>
  <c r="O21" i="195"/>
  <c r="M15" i="37"/>
  <c r="L8" i="37"/>
  <c r="T32" i="37"/>
  <c r="N41" i="200"/>
  <c r="S12" i="196"/>
  <c r="P40" i="193"/>
  <c r="R8" i="192"/>
  <c r="L16" i="200"/>
  <c r="R3" i="193"/>
  <c r="O10" i="206"/>
  <c r="U8" i="193"/>
  <c r="R42" i="37"/>
  <c r="N36" i="197"/>
  <c r="L36" i="208"/>
  <c r="U16" i="199"/>
  <c r="R18" i="203"/>
  <c r="P11" i="203"/>
  <c r="R38" i="195"/>
  <c r="U12" i="202"/>
  <c r="L2" i="207"/>
  <c r="L25" i="202"/>
  <c r="Q44" i="197"/>
  <c r="T7" i="202"/>
  <c r="R4" i="200"/>
  <c r="R34" i="191"/>
  <c r="Q31" i="200"/>
  <c r="Q11" i="200"/>
  <c r="Q46" i="202"/>
  <c r="M19" i="213"/>
  <c r="R43" i="195"/>
  <c r="P33" i="203"/>
  <c r="L26" i="193"/>
  <c r="R16" i="205"/>
  <c r="Q39" i="197"/>
  <c r="P32" i="198"/>
  <c r="Q37" i="209"/>
  <c r="U29" i="210"/>
  <c r="T4" i="198"/>
  <c r="N36" i="199"/>
  <c r="Q2" i="202"/>
  <c r="Q21" i="200"/>
  <c r="L33" i="205"/>
  <c r="M32" i="208"/>
  <c r="R18" i="207"/>
  <c r="P4" i="198"/>
  <c r="Q20" i="202"/>
  <c r="O27" i="210"/>
  <c r="S23" i="203"/>
  <c r="U25" i="192"/>
  <c r="U30" i="197"/>
  <c r="Q9" i="201"/>
  <c r="O10" i="204"/>
  <c r="Q37" i="199"/>
  <c r="N2" i="200"/>
  <c r="T39" i="191"/>
  <c r="R46" i="196"/>
  <c r="L36" i="201"/>
  <c r="N37" i="200"/>
  <c r="O31" i="193"/>
  <c r="Q35" i="191"/>
  <c r="P28" i="192"/>
  <c r="P39" i="195"/>
  <c r="T9" i="200"/>
  <c r="L46" i="198"/>
  <c r="P24" i="194"/>
  <c r="T33" i="195"/>
  <c r="Q16" i="203"/>
  <c r="M3" i="201"/>
  <c r="L9" i="198"/>
  <c r="M27" i="201"/>
  <c r="U6" i="197"/>
  <c r="P17" i="198"/>
  <c r="N7" i="200"/>
  <c r="U44" i="200"/>
  <c r="O40" i="196"/>
  <c r="Q23" i="191"/>
  <c r="S39" i="196"/>
  <c r="L37" i="192"/>
  <c r="M9" i="199"/>
  <c r="U18" i="202"/>
  <c r="P26" i="194"/>
  <c r="P37" i="207"/>
  <c r="N18" i="201"/>
  <c r="P20" i="205"/>
  <c r="Q35" i="205"/>
  <c r="S14" i="195"/>
  <c r="P29" i="193"/>
  <c r="S41" i="199"/>
  <c r="O25" i="202"/>
  <c r="M32" i="194"/>
  <c r="N21" i="206"/>
  <c r="N24" i="193"/>
  <c r="O45" i="211"/>
  <c r="Q30" i="195"/>
  <c r="O33" i="197"/>
  <c r="T43" i="199"/>
  <c r="U14" i="208"/>
  <c r="P9" i="199"/>
  <c r="S20" i="198"/>
  <c r="O5" i="203"/>
  <c r="L39" i="201"/>
  <c r="M31" i="201"/>
  <c r="R37" i="199"/>
  <c r="L12" i="191"/>
  <c r="L8" i="210"/>
  <c r="N23" i="191"/>
  <c r="Q40" i="196"/>
  <c r="T16" i="207"/>
  <c r="P3" i="202"/>
  <c r="L37" i="199"/>
  <c r="R9" i="195"/>
  <c r="O6" i="197"/>
  <c r="U41" i="193"/>
  <c r="P6" i="199"/>
  <c r="L34" i="192"/>
  <c r="Q7" i="37"/>
  <c r="P8" i="37"/>
  <c r="U14" i="196"/>
  <c r="M43" i="196"/>
  <c r="U8" i="198"/>
  <c r="Q28" i="37"/>
  <c r="M25" i="37"/>
  <c r="T20" i="201"/>
  <c r="P42" i="197"/>
  <c r="R38" i="202"/>
  <c r="L42" i="195"/>
  <c r="O34" i="204"/>
  <c r="M33" i="195"/>
  <c r="T29" i="194"/>
  <c r="L20" i="194"/>
  <c r="L28" i="193"/>
  <c r="P20" i="210"/>
  <c r="L14" i="192"/>
  <c r="L8" i="200"/>
  <c r="O22" i="191"/>
  <c r="M7" i="206"/>
  <c r="M18" i="193"/>
  <c r="L23" i="206"/>
  <c r="N23" i="203"/>
  <c r="P34" i="206"/>
  <c r="N36" i="194"/>
  <c r="M3" i="205"/>
  <c r="L29" i="205"/>
  <c r="U43" i="208"/>
  <c r="N36" i="204"/>
  <c r="P44" i="205"/>
  <c r="T14" i="196"/>
  <c r="Q8" i="198"/>
  <c r="S9" i="198"/>
  <c r="O19" i="193"/>
  <c r="R27" i="196"/>
  <c r="T4" i="193"/>
  <c r="O17" i="198"/>
  <c r="N8" i="196"/>
  <c r="Q32" i="197"/>
  <c r="O21" i="196"/>
  <c r="L26" i="194"/>
  <c r="U43" i="205"/>
  <c r="R46" i="201"/>
  <c r="Q8" i="191"/>
  <c r="U15" i="195"/>
  <c r="U7" i="200"/>
  <c r="P44" i="198"/>
  <c r="O28" i="202"/>
  <c r="S18" i="194"/>
  <c r="U30" i="193"/>
  <c r="Q26" i="192"/>
  <c r="Q33" i="192"/>
  <c r="Q39" i="201"/>
  <c r="M27" i="192"/>
  <c r="S14" i="198"/>
  <c r="R31" i="194"/>
  <c r="N3" i="195"/>
  <c r="O7" i="196"/>
  <c r="N13" i="191"/>
  <c r="M10" i="195"/>
  <c r="S11" i="199"/>
  <c r="P21" i="192"/>
  <c r="N35" i="195"/>
  <c r="R15" i="198"/>
  <c r="T28" i="200"/>
  <c r="O25" i="199"/>
  <c r="O12" i="37"/>
  <c r="O6" i="206"/>
  <c r="M4" i="191"/>
  <c r="O43" i="192"/>
  <c r="Q34" i="191"/>
  <c r="O2" i="202"/>
  <c r="Q26" i="191"/>
  <c r="S36" i="194"/>
  <c r="P11" i="195"/>
  <c r="U43" i="195"/>
  <c r="O41" i="197"/>
  <c r="R31" i="198"/>
  <c r="T46" i="194"/>
  <c r="M46" i="194"/>
  <c r="N37" i="191"/>
  <c r="N15" i="199"/>
  <c r="N24" i="195"/>
  <c r="M14" i="194"/>
  <c r="U11" i="193"/>
  <c r="O6" i="195"/>
  <c r="O22" i="205"/>
  <c r="M9" i="198"/>
  <c r="L32" i="209"/>
  <c r="M13" i="211"/>
  <c r="L3" i="192"/>
  <c r="S26" i="37"/>
  <c r="Q3" i="201"/>
  <c r="L5" i="193"/>
  <c r="M12" i="196"/>
  <c r="S24" i="195"/>
  <c r="T2" i="201"/>
  <c r="L25" i="195"/>
  <c r="L41" i="192"/>
  <c r="O20" i="37"/>
  <c r="M27" i="191"/>
  <c r="U46" i="194"/>
  <c r="S11" i="37"/>
  <c r="P20" i="194"/>
  <c r="R23" i="195"/>
  <c r="R23" i="203"/>
  <c r="O38" i="37"/>
  <c r="O5" i="192"/>
  <c r="Q26" i="37"/>
  <c r="O31" i="37"/>
  <c r="L15" i="37"/>
  <c r="L15" i="195"/>
  <c r="S4" i="200"/>
  <c r="L18" i="197"/>
  <c r="N23" i="192"/>
  <c r="R33" i="201"/>
  <c r="M46" i="37"/>
  <c r="U2" i="37"/>
  <c r="O35" i="37"/>
  <c r="O38" i="203"/>
  <c r="U17" i="37"/>
  <c r="S25" i="37"/>
  <c r="S7" i="210"/>
  <c r="Q31" i="210"/>
  <c r="L37" i="201"/>
  <c r="S21" i="204"/>
  <c r="P6" i="197"/>
  <c r="P11" i="213"/>
  <c r="S33" i="191"/>
  <c r="R29" i="207"/>
  <c r="U33" i="194"/>
  <c r="U10" i="198"/>
  <c r="R28" i="194"/>
  <c r="L45" i="191"/>
  <c r="N13" i="202"/>
  <c r="M32" i="199"/>
  <c r="R15" i="202"/>
  <c r="L40" i="196"/>
  <c r="L15" i="199"/>
  <c r="U45" i="197"/>
  <c r="Q35" i="196"/>
  <c r="P27" i="191"/>
  <c r="O22" i="197"/>
  <c r="R29" i="196"/>
  <c r="L6" i="194"/>
  <c r="S28" i="196"/>
  <c r="R38" i="203"/>
  <c r="Q11" i="196"/>
  <c r="U25" i="200"/>
  <c r="L24" i="194"/>
  <c r="L43" i="191"/>
  <c r="O32" i="196"/>
  <c r="Q29" i="191"/>
  <c r="R31" i="196"/>
  <c r="O42" i="196"/>
  <c r="M13" i="210"/>
  <c r="Q36" i="192"/>
  <c r="Q16" i="200"/>
  <c r="Q46" i="193"/>
  <c r="R8" i="194"/>
  <c r="Q11" i="201"/>
  <c r="O35" i="196"/>
  <c r="O22" i="201"/>
  <c r="S17" i="37"/>
  <c r="L23" i="195"/>
  <c r="U35" i="37"/>
  <c r="U29" i="201"/>
  <c r="N10" i="194"/>
  <c r="P34" i="194"/>
  <c r="L30" i="205"/>
  <c r="L43" i="205"/>
  <c r="S5" i="200"/>
  <c r="N43" i="193"/>
  <c r="T31" i="195"/>
  <c r="Q44" i="196"/>
  <c r="L19" i="204"/>
  <c r="M41" i="200"/>
  <c r="P10" i="192"/>
  <c r="T37" i="194"/>
  <c r="S8" i="193"/>
  <c r="O21" i="205"/>
  <c r="R28" i="193"/>
  <c r="U36" i="198"/>
  <c r="S38" i="195"/>
  <c r="M19" i="194"/>
  <c r="Q10" i="209"/>
  <c r="Q23" i="192"/>
  <c r="L40" i="203"/>
  <c r="U3" i="37"/>
  <c r="T35" i="192"/>
  <c r="S34" i="200"/>
  <c r="Q19" i="194"/>
  <c r="T26" i="197"/>
  <c r="R25" i="194"/>
  <c r="S42" i="200"/>
  <c r="R15" i="199"/>
  <c r="O8" i="37"/>
  <c r="O23" i="203"/>
  <c r="T27" i="202"/>
  <c r="Q3" i="37"/>
  <c r="R33" i="193"/>
  <c r="T20" i="192"/>
  <c r="M38" i="203"/>
  <c r="O39" i="193"/>
  <c r="U8" i="196"/>
  <c r="Q19" i="195"/>
  <c r="L7" i="198"/>
  <c r="M27" i="37"/>
  <c r="N18" i="37"/>
  <c r="O39" i="37"/>
  <c r="L30" i="196"/>
  <c r="O12" i="201"/>
  <c r="T12" i="193"/>
  <c r="N33" i="37"/>
  <c r="O21" i="198"/>
  <c r="R40" i="37"/>
  <c r="R33" i="37"/>
  <c r="M9" i="37"/>
  <c r="O2" i="208"/>
  <c r="S19" i="198"/>
  <c r="P12" i="207"/>
  <c r="S38" i="199"/>
  <c r="S32" i="197"/>
  <c r="L20" i="199"/>
  <c r="S15" i="196"/>
  <c r="R29" i="194"/>
  <c r="T30" i="202"/>
  <c r="T24" i="196"/>
  <c r="R11" i="211"/>
  <c r="M42" i="203"/>
  <c r="L31" i="209"/>
  <c r="N22" i="207"/>
  <c r="U29" i="202"/>
  <c r="U15" i="199"/>
  <c r="T15" i="211"/>
  <c r="R33" i="208"/>
  <c r="M4" i="197"/>
  <c r="N21" i="193"/>
  <c r="P5" i="201"/>
  <c r="Q43" i="196"/>
  <c r="O38" i="191"/>
  <c r="L42" i="202"/>
  <c r="U32" i="206"/>
  <c r="M40" i="194"/>
  <c r="L15" i="203"/>
  <c r="T9" i="211"/>
  <c r="P19" i="202"/>
  <c r="O39" i="210"/>
  <c r="O12" i="194"/>
  <c r="P8" i="194"/>
  <c r="P43" i="201"/>
  <c r="R42" i="198"/>
  <c r="L40" i="193"/>
  <c r="M19" i="200"/>
  <c r="L42" i="191"/>
  <c r="T46" i="193"/>
  <c r="O2" i="204"/>
  <c r="M28" i="210"/>
  <c r="N12" i="207"/>
  <c r="T28" i="194"/>
  <c r="P3" i="198"/>
  <c r="S45" i="203"/>
  <c r="T32" i="195"/>
  <c r="R3" i="192"/>
  <c r="U3" i="207"/>
  <c r="N45" i="208"/>
  <c r="L24" i="202"/>
  <c r="P37" i="199"/>
  <c r="P46" i="191"/>
  <c r="S32" i="196"/>
  <c r="U23" i="192"/>
  <c r="N35" i="199"/>
  <c r="L10" i="202"/>
  <c r="M16" i="194"/>
  <c r="T21" i="201"/>
  <c r="Q34" i="202"/>
  <c r="M38" i="192"/>
  <c r="Q32" i="193"/>
  <c r="Q19" i="201"/>
  <c r="N24" i="191"/>
  <c r="U31" i="195"/>
  <c r="U31" i="203"/>
  <c r="M3" i="191"/>
  <c r="R17" i="193"/>
  <c r="M35" i="204"/>
  <c r="O20" i="197"/>
  <c r="S24" i="192"/>
  <c r="P31" i="191"/>
  <c r="R14" i="191"/>
  <c r="T34" i="196"/>
  <c r="R30" i="198"/>
  <c r="O9" i="192"/>
  <c r="S16" i="200"/>
  <c r="N22" i="192"/>
  <c r="P39" i="199"/>
  <c r="R23" i="204"/>
  <c r="M16" i="200"/>
  <c r="O16" i="208"/>
  <c r="M22" i="199"/>
  <c r="S29" i="198"/>
  <c r="Q23" i="198"/>
  <c r="N32" i="213"/>
  <c r="S24" i="193"/>
  <c r="P14" i="191"/>
  <c r="R5" i="196"/>
  <c r="P13" i="195"/>
  <c r="N2" i="193"/>
  <c r="Q31" i="205"/>
  <c r="N34" i="194"/>
  <c r="M34" i="192"/>
  <c r="U2" i="197"/>
  <c r="O20" i="201"/>
  <c r="U42" i="199"/>
  <c r="N27" i="199"/>
  <c r="M18" i="194"/>
  <c r="S35" i="192"/>
  <c r="U45" i="191"/>
  <c r="Q33" i="194"/>
  <c r="R19" i="193"/>
  <c r="T15" i="201"/>
  <c r="P43" i="194"/>
  <c r="N9" i="192"/>
  <c r="U31" i="197"/>
  <c r="U22" i="203"/>
  <c r="M31" i="197"/>
  <c r="T8" i="196"/>
  <c r="T38" i="194"/>
  <c r="U19" i="201"/>
  <c r="L26" i="207"/>
  <c r="S7" i="191"/>
  <c r="T10" i="37"/>
  <c r="S4" i="201"/>
  <c r="Q4" i="197"/>
  <c r="N21" i="196"/>
  <c r="U9" i="192"/>
  <c r="P20" i="37"/>
  <c r="S12" i="194"/>
  <c r="M7" i="197"/>
  <c r="R37" i="198"/>
  <c r="S3" i="210"/>
  <c r="M34" i="199"/>
  <c r="N9" i="207"/>
  <c r="U8" i="191"/>
  <c r="N7" i="198"/>
  <c r="O22" i="199"/>
  <c r="P14" i="198"/>
  <c r="L26" i="192"/>
  <c r="R18" i="193"/>
  <c r="R24" i="202"/>
  <c r="L10" i="194"/>
  <c r="S15" i="191"/>
  <c r="S37" i="198"/>
  <c r="T3" i="210"/>
  <c r="P7" i="200"/>
  <c r="P40" i="195"/>
  <c r="O38" i="206"/>
  <c r="R11" i="196"/>
  <c r="L11" i="204"/>
  <c r="M7" i="199"/>
  <c r="Q13" i="206"/>
  <c r="R39" i="206"/>
  <c r="P7" i="194"/>
  <c r="L22" i="201"/>
  <c r="N3" i="205"/>
  <c r="Q7" i="204"/>
  <c r="N5" i="197"/>
  <c r="S7" i="204"/>
  <c r="M36" i="195"/>
  <c r="P32" i="193"/>
  <c r="P26" i="205"/>
  <c r="N30" i="201"/>
  <c r="O16" i="195"/>
  <c r="L17" i="204"/>
  <c r="L13" i="191"/>
  <c r="T31" i="202"/>
  <c r="M14" i="199"/>
  <c r="Q35" i="203"/>
  <c r="U22" i="193"/>
  <c r="N4" i="196"/>
  <c r="L32" i="192"/>
  <c r="O35" i="192"/>
  <c r="R19" i="37"/>
  <c r="U31" i="198"/>
  <c r="N10" i="199"/>
  <c r="R7" i="198"/>
  <c r="M25" i="197"/>
  <c r="R16" i="194"/>
  <c r="P26" i="201"/>
  <c r="T23" i="204"/>
  <c r="M11" i="193"/>
  <c r="M8" i="205"/>
  <c r="Q38" i="194"/>
  <c r="P12" i="195"/>
  <c r="T3" i="199"/>
  <c r="L36" i="192"/>
  <c r="O14" i="209"/>
  <c r="R20" i="205"/>
  <c r="L45" i="37"/>
  <c r="P8" i="193"/>
  <c r="N22" i="37"/>
  <c r="T16" i="205"/>
  <c r="S26" i="213"/>
  <c r="N8" i="200"/>
  <c r="S35" i="197"/>
  <c r="M46" i="206"/>
  <c r="U39" i="203"/>
  <c r="Q25" i="195"/>
  <c r="P11" i="191"/>
  <c r="R44" i="197"/>
  <c r="L2" i="199"/>
  <c r="N25" i="193"/>
  <c r="T22" i="192"/>
  <c r="O27" i="203"/>
  <c r="S38" i="191"/>
  <c r="Q23" i="207"/>
  <c r="Q2" i="201"/>
  <c r="N41" i="202"/>
  <c r="L25" i="191"/>
  <c r="P26" i="195"/>
  <c r="R24" i="203"/>
  <c r="S39" i="198"/>
  <c r="T34" i="192"/>
  <c r="P31" i="197"/>
  <c r="S44" i="193"/>
  <c r="N27" i="204"/>
  <c r="R8" i="197"/>
  <c r="M12" i="209"/>
  <c r="R22" i="37"/>
  <c r="S38" i="194"/>
  <c r="S29" i="192"/>
  <c r="Q46" i="37"/>
  <c r="L44" i="197"/>
  <c r="N16" i="192"/>
  <c r="M32" i="196"/>
  <c r="R28" i="198"/>
  <c r="L29" i="198"/>
  <c r="O9" i="37"/>
  <c r="R17" i="37"/>
  <c r="P5" i="37"/>
  <c r="Q15" i="200"/>
  <c r="T2" i="197"/>
  <c r="U16" i="37"/>
  <c r="U24" i="196"/>
  <c r="U40" i="196"/>
  <c r="T14" i="191"/>
  <c r="O2" i="203"/>
  <c r="U32" i="37"/>
  <c r="L22" i="37"/>
  <c r="L6" i="203"/>
  <c r="O27" i="191"/>
  <c r="O36" i="193"/>
  <c r="O7" i="199"/>
  <c r="M3" i="202"/>
  <c r="U10" i="193"/>
  <c r="L42" i="197"/>
  <c r="O13" i="199"/>
  <c r="L42" i="204"/>
  <c r="Q8" i="193"/>
  <c r="S8" i="210"/>
  <c r="R46" i="193"/>
  <c r="T37" i="199"/>
  <c r="N36" i="201"/>
  <c r="R32" i="195"/>
  <c r="N4" i="191"/>
  <c r="T36" i="198"/>
  <c r="N9" i="195"/>
  <c r="R36" i="209"/>
  <c r="T45" i="196"/>
  <c r="O29" i="203"/>
  <c r="U33" i="196"/>
  <c r="O10" i="208"/>
  <c r="M35" i="200"/>
  <c r="N15" i="191"/>
  <c r="Q38" i="203"/>
  <c r="M22" i="195"/>
  <c r="O13" i="195"/>
  <c r="Q14" i="202"/>
  <c r="N35" i="193"/>
  <c r="N2" i="37"/>
  <c r="S26" i="193"/>
  <c r="S46" i="203"/>
  <c r="R41" i="196"/>
  <c r="R39" i="192"/>
  <c r="U14" i="195"/>
  <c r="S16" i="192"/>
  <c r="O38" i="201"/>
  <c r="P46" i="204"/>
  <c r="Q18" i="203"/>
  <c r="U10" i="201"/>
  <c r="U33" i="204"/>
  <c r="N27" i="198"/>
  <c r="N24" i="206"/>
  <c r="M20" i="194"/>
  <c r="T36" i="205"/>
  <c r="M32" i="37"/>
  <c r="O41" i="199"/>
  <c r="T7" i="37"/>
  <c r="L16" i="192"/>
  <c r="O8" i="192"/>
  <c r="Q10" i="191"/>
  <c r="M3" i="192"/>
  <c r="L19" i="191"/>
  <c r="P22" i="200"/>
  <c r="Q20" i="194"/>
  <c r="N38" i="194"/>
  <c r="L3" i="199"/>
  <c r="L34" i="197"/>
  <c r="Q33" i="205"/>
  <c r="R40" i="192"/>
  <c r="M41" i="194"/>
  <c r="U30" i="191"/>
  <c r="P17" i="199"/>
  <c r="R13" i="200"/>
  <c r="R33" i="194"/>
  <c r="S18" i="206"/>
  <c r="O24" i="198"/>
  <c r="T17" i="196"/>
  <c r="S18" i="195"/>
  <c r="Q8" i="200"/>
  <c r="Q6" i="202"/>
  <c r="N21" i="192"/>
  <c r="U10" i="197"/>
  <c r="T43" i="191"/>
  <c r="T6" i="196"/>
  <c r="Q44" i="37"/>
  <c r="M34" i="195"/>
  <c r="O3" i="198"/>
  <c r="Q43" i="37"/>
  <c r="Q19" i="198"/>
  <c r="P29" i="37"/>
  <c r="T11" i="203"/>
  <c r="L7" i="193"/>
  <c r="T16" i="197"/>
  <c r="O32" i="37"/>
  <c r="T46" i="37"/>
  <c r="R26" i="37"/>
  <c r="R8" i="195"/>
  <c r="L45" i="198"/>
  <c r="R25" i="197"/>
  <c r="M31" i="196"/>
  <c r="T45" i="200"/>
  <c r="O27" i="198"/>
  <c r="U39" i="200"/>
  <c r="T12" i="37"/>
  <c r="S40" i="37"/>
  <c r="M15" i="199"/>
  <c r="Q43" i="208"/>
  <c r="T16" i="37"/>
  <c r="R32" i="37"/>
  <c r="R15" i="207"/>
  <c r="T5" i="202"/>
  <c r="M35" i="194"/>
  <c r="U36" i="37"/>
  <c r="P30" i="37"/>
  <c r="T7" i="191"/>
  <c r="L43" i="194"/>
  <c r="U18" i="209"/>
  <c r="T36" i="206"/>
  <c r="O19" i="202"/>
  <c r="S26" i="199"/>
  <c r="Q2" i="37"/>
  <c r="Q45" i="191"/>
  <c r="Q21" i="201"/>
  <c r="L24" i="197"/>
  <c r="R36" i="37"/>
  <c r="T9" i="37"/>
  <c r="T31" i="199"/>
  <c r="N25" i="37"/>
  <c r="R4" i="191"/>
  <c r="U34" i="37"/>
  <c r="S12" i="199"/>
  <c r="R46" i="192"/>
  <c r="L33" i="191"/>
  <c r="T37" i="193"/>
  <c r="M20" i="197"/>
  <c r="U46" i="201"/>
  <c r="L36" i="194"/>
  <c r="O14" i="191"/>
  <c r="R25" i="191"/>
  <c r="T24" i="206"/>
  <c r="L39" i="213"/>
  <c r="M3" i="196"/>
  <c r="T30" i="207"/>
  <c r="S6" i="196"/>
  <c r="P29" i="195"/>
  <c r="U40" i="197"/>
  <c r="L29" i="191"/>
  <c r="S4" i="197"/>
  <c r="M22" i="192"/>
  <c r="O4" i="196"/>
  <c r="S40" i="197"/>
  <c r="N22" i="196"/>
  <c r="L12" i="194"/>
  <c r="R5" i="37"/>
  <c r="Q34" i="193"/>
  <c r="N33" i="197"/>
  <c r="O31" i="202"/>
  <c r="M23" i="197"/>
  <c r="U18" i="203"/>
  <c r="S31" i="197"/>
  <c r="U5" i="192"/>
  <c r="Q12" i="200"/>
  <c r="L36" i="196"/>
  <c r="U42" i="200"/>
  <c r="N40" i="200"/>
  <c r="Q9" i="37"/>
  <c r="S5" i="204"/>
  <c r="L46" i="37"/>
  <c r="R38" i="193"/>
  <c r="L19" i="192"/>
  <c r="U22" i="192"/>
  <c r="N3" i="37"/>
  <c r="L9" i="202"/>
  <c r="P19" i="195"/>
  <c r="T14" i="197"/>
  <c r="T25" i="196"/>
  <c r="N25" i="202"/>
  <c r="M26" i="212"/>
  <c r="P21" i="205"/>
  <c r="T30" i="198"/>
  <c r="R31" i="191"/>
  <c r="P6" i="201"/>
  <c r="L39" i="191"/>
  <c r="U6" i="191"/>
  <c r="M33" i="204"/>
  <c r="O5" i="191"/>
  <c r="T26" i="193"/>
  <c r="P17" i="191"/>
  <c r="T32" i="198"/>
  <c r="U19" i="192"/>
  <c r="S7" i="198"/>
  <c r="T14" i="193"/>
  <c r="L2" i="193"/>
  <c r="Q28" i="204"/>
  <c r="M4" i="194"/>
  <c r="P30" i="198"/>
  <c r="N43" i="192"/>
  <c r="M13" i="195"/>
  <c r="T11" i="191"/>
  <c r="T20" i="211"/>
  <c r="O44" i="194"/>
  <c r="S13" i="191"/>
  <c r="O40" i="195"/>
  <c r="R10" i="191"/>
  <c r="R34" i="200"/>
  <c r="Q17" i="201"/>
  <c r="U41" i="202"/>
  <c r="U23" i="194"/>
  <c r="P5" i="192"/>
  <c r="P9" i="196"/>
  <c r="O45" i="207"/>
  <c r="N37" i="202"/>
  <c r="U31" i="200"/>
  <c r="Q24" i="194"/>
  <c r="P41" i="196"/>
  <c r="N37" i="198"/>
  <c r="O6" i="199"/>
  <c r="N29" i="37"/>
  <c r="N37" i="197"/>
  <c r="P28" i="201"/>
  <c r="U29" i="37"/>
  <c r="U5" i="195"/>
  <c r="Q23" i="194"/>
  <c r="U29" i="203"/>
  <c r="R32" i="194"/>
  <c r="Q9" i="191"/>
  <c r="R14" i="193"/>
  <c r="N16" i="191"/>
  <c r="N36" i="195"/>
  <c r="N24" i="200"/>
  <c r="R41" i="201"/>
  <c r="N44" i="203"/>
  <c r="S21" i="194"/>
  <c r="O37" i="192"/>
  <c r="S37" i="194"/>
  <c r="L20" i="198"/>
  <c r="R41" i="194"/>
  <c r="P24" i="193"/>
  <c r="P9" i="209"/>
  <c r="P7" i="195"/>
  <c r="S19" i="210"/>
  <c r="O18" i="204"/>
  <c r="Q36" i="37"/>
  <c r="T2" i="198"/>
  <c r="U27" i="193"/>
  <c r="U46" i="193"/>
  <c r="T17" i="198"/>
  <c r="N33" i="207"/>
  <c r="P11" i="192"/>
  <c r="U36" i="202"/>
  <c r="S42" i="37"/>
  <c r="Q5" i="198"/>
  <c r="S13" i="199"/>
  <c r="L4" i="37"/>
  <c r="R46" i="205"/>
  <c r="U22" i="197"/>
  <c r="R31" i="192"/>
  <c r="P41" i="191"/>
  <c r="T24" i="197"/>
  <c r="N28" i="192"/>
  <c r="L9" i="37"/>
  <c r="M10" i="191"/>
  <c r="N10" i="204"/>
  <c r="U15" i="196"/>
  <c r="P41" i="202"/>
  <c r="Q21" i="191"/>
  <c r="T13" i="198"/>
  <c r="L20" i="200"/>
  <c r="T30" i="37"/>
  <c r="Q12" i="193"/>
  <c r="S28" i="201"/>
  <c r="U4" i="37"/>
  <c r="T15" i="37"/>
  <c r="S12" i="210"/>
  <c r="S13" i="37"/>
  <c r="M10" i="37"/>
  <c r="N15" i="201"/>
  <c r="N11" i="201"/>
  <c r="L40" i="201"/>
  <c r="S2" i="195"/>
  <c r="U5" i="197"/>
  <c r="N12" i="37"/>
  <c r="R11" i="198"/>
  <c r="U13" i="37"/>
  <c r="S17" i="191"/>
  <c r="P24" i="195"/>
  <c r="L20" i="37"/>
  <c r="T30" i="193"/>
  <c r="L29" i="37"/>
  <c r="T36" i="37"/>
  <c r="R24" i="201"/>
  <c r="Q38" i="201"/>
  <c r="T11" i="37"/>
  <c r="U39" i="37"/>
  <c r="T10" i="192"/>
  <c r="O32" i="201"/>
  <c r="U23" i="198"/>
  <c r="P35" i="199"/>
  <c r="N27" i="200"/>
  <c r="P7" i="192"/>
  <c r="R28" i="197"/>
  <c r="R32" i="198"/>
  <c r="P32" i="195"/>
  <c r="T25" i="195"/>
  <c r="L22" i="196"/>
  <c r="P3" i="206"/>
  <c r="T39" i="193"/>
  <c r="M41" i="199"/>
  <c r="P16" i="197"/>
  <c r="L2" i="201"/>
  <c r="U26" i="192"/>
  <c r="S5" i="192"/>
  <c r="P30" i="195"/>
  <c r="Q40" i="194"/>
  <c r="S14" i="197"/>
  <c r="O32" i="200"/>
  <c r="R39" i="37"/>
  <c r="L42" i="201"/>
  <c r="P32" i="197"/>
  <c r="P29" i="207"/>
  <c r="P42" i="37"/>
  <c r="Q22" i="197"/>
  <c r="R7" i="192"/>
  <c r="O33" i="202"/>
  <c r="N43" i="200"/>
  <c r="M7" i="191"/>
  <c r="N21" i="204"/>
  <c r="M16" i="197"/>
  <c r="M31" i="193"/>
  <c r="Q13" i="191"/>
  <c r="S38" i="198"/>
  <c r="S18" i="37"/>
  <c r="N14" i="209"/>
  <c r="L10" i="37"/>
  <c r="U12" i="194"/>
  <c r="L19" i="200"/>
  <c r="N2" i="208"/>
  <c r="S14" i="37"/>
  <c r="O16" i="37"/>
  <c r="Q22" i="192"/>
  <c r="N37" i="194"/>
  <c r="T41" i="203"/>
  <c r="R19" i="196"/>
  <c r="Q19" i="199"/>
  <c r="M21" i="197"/>
  <c r="P19" i="197"/>
  <c r="R42" i="202"/>
  <c r="Q8" i="197"/>
  <c r="U33" i="193"/>
  <c r="R45" i="37"/>
  <c r="S33" i="37"/>
  <c r="M40" i="196"/>
  <c r="R13" i="37"/>
  <c r="R19" i="202"/>
  <c r="O10" i="37"/>
  <c r="Q12" i="194"/>
  <c r="M38" i="195"/>
  <c r="S17" i="193"/>
  <c r="P16" i="198"/>
  <c r="U40" i="195"/>
  <c r="T44" i="37"/>
  <c r="T13" i="203"/>
  <c r="Q21" i="208"/>
  <c r="U41" i="199"/>
  <c r="T21" i="191"/>
  <c r="P8" i="201"/>
  <c r="P38" i="194"/>
  <c r="U7" i="191"/>
  <c r="Q23" i="206"/>
  <c r="U37" i="208"/>
  <c r="T2" i="193"/>
  <c r="S10" i="197"/>
  <c r="S8" i="206"/>
  <c r="L27" i="192"/>
  <c r="L30" i="199"/>
  <c r="U40" i="199"/>
  <c r="U26" i="196"/>
  <c r="R43" i="192"/>
  <c r="P38" i="197"/>
  <c r="L44" i="199"/>
  <c r="L34" i="37"/>
  <c r="L34" i="191"/>
  <c r="M25" i="193"/>
  <c r="N8" i="199"/>
  <c r="N26" i="200"/>
  <c r="M18" i="196"/>
  <c r="P15" i="194"/>
  <c r="R44" i="205"/>
  <c r="N11" i="212"/>
  <c r="L31" i="37"/>
  <c r="P46" i="199"/>
  <c r="N20" i="37"/>
  <c r="N20" i="195"/>
  <c r="Q15" i="37"/>
  <c r="T13" i="37"/>
  <c r="U19" i="191"/>
  <c r="N12" i="198"/>
  <c r="N28" i="198"/>
  <c r="N32" i="203"/>
  <c r="O27" i="192"/>
  <c r="L18" i="37"/>
  <c r="T36" i="200"/>
  <c r="M34" i="202"/>
  <c r="R13" i="206"/>
  <c r="S20" i="193"/>
  <c r="R39" i="193"/>
  <c r="R32" i="209"/>
  <c r="U41" i="201"/>
  <c r="P7" i="199"/>
  <c r="O6" i="203"/>
  <c r="Q7" i="200"/>
  <c r="U30" i="199"/>
  <c r="Q46" i="206"/>
  <c r="P2" i="199"/>
  <c r="M15" i="205"/>
  <c r="O45" i="196"/>
  <c r="S3" i="191"/>
  <c r="R44" i="194"/>
  <c r="M42" i="192"/>
  <c r="T27" i="192"/>
  <c r="P6" i="194"/>
  <c r="L3" i="191"/>
  <c r="P5" i="200"/>
  <c r="P22" i="198"/>
  <c r="S20" i="192"/>
  <c r="U11" i="201"/>
  <c r="T31" i="200"/>
  <c r="L16" i="196"/>
  <c r="Q28" i="193"/>
  <c r="S39" i="37"/>
  <c r="S15" i="198"/>
  <c r="T34" i="201"/>
  <c r="R6" i="194"/>
  <c r="S19" i="191"/>
  <c r="L17" i="37"/>
  <c r="Q22" i="37"/>
  <c r="S43" i="37"/>
  <c r="M41" i="198"/>
  <c r="L14" i="203"/>
  <c r="N4" i="37"/>
  <c r="P8" i="191"/>
  <c r="L5" i="196"/>
  <c r="L31" i="195"/>
  <c r="P35" i="193"/>
  <c r="S27" i="37"/>
  <c r="L5" i="37"/>
  <c r="N16" i="204"/>
  <c r="R36" i="199"/>
  <c r="N17" i="37"/>
  <c r="T38" i="199"/>
  <c r="S34" i="193"/>
  <c r="M23" i="37"/>
  <c r="T38" i="192"/>
  <c r="U42" i="197"/>
  <c r="Q33" i="37"/>
  <c r="P44" i="204"/>
  <c r="O28" i="37"/>
  <c r="R31" i="37"/>
  <c r="O39" i="199"/>
  <c r="M17" i="37"/>
  <c r="U21" i="37"/>
  <c r="U6" i="200"/>
  <c r="P37" i="203"/>
  <c r="O25" i="37"/>
  <c r="R13" i="196"/>
  <c r="N26" i="37"/>
  <c r="M12" i="200"/>
  <c r="U21" i="202"/>
  <c r="L25" i="211"/>
  <c r="P12" i="194"/>
  <c r="P5" i="196"/>
  <c r="R19" i="200"/>
  <c r="U15" i="200"/>
  <c r="O26" i="193"/>
  <c r="O38" i="192"/>
  <c r="T11" i="192"/>
  <c r="L6" i="201"/>
  <c r="U30" i="37"/>
  <c r="P17" i="37"/>
  <c r="R18" i="210"/>
  <c r="Q22" i="208"/>
  <c r="S19" i="37"/>
  <c r="R22" i="199"/>
  <c r="U7" i="196"/>
  <c r="R10" i="204"/>
  <c r="L6" i="37"/>
  <c r="N26" i="204"/>
  <c r="S41" i="37"/>
  <c r="U43" i="192"/>
  <c r="U6" i="37"/>
  <c r="P3" i="192"/>
  <c r="U28" i="194"/>
  <c r="T41" i="196"/>
  <c r="P30" i="204"/>
  <c r="T39" i="195"/>
  <c r="N7" i="37"/>
  <c r="O18" i="193"/>
  <c r="O27" i="199"/>
  <c r="P26" i="196"/>
  <c r="S27" i="198"/>
  <c r="Q41" i="193"/>
  <c r="L41" i="196"/>
  <c r="U4" i="195"/>
  <c r="N25" i="192"/>
  <c r="N12" i="191"/>
  <c r="R7" i="194"/>
  <c r="Q45" i="37"/>
  <c r="N35" i="191"/>
  <c r="P26" i="207"/>
  <c r="R11" i="197"/>
  <c r="M25" i="202"/>
  <c r="R42" i="191"/>
  <c r="Q10" i="198"/>
  <c r="U9" i="206"/>
  <c r="Q16" i="191"/>
  <c r="U40" i="194"/>
  <c r="P42" i="194"/>
  <c r="Q44" i="198"/>
  <c r="P8" i="195"/>
  <c r="T5" i="196"/>
  <c r="M25" i="192"/>
  <c r="N17" i="194"/>
  <c r="O19" i="192"/>
  <c r="U18" i="208"/>
  <c r="N16" i="37"/>
  <c r="Q35" i="37"/>
  <c r="S46" i="37"/>
  <c r="T40" i="192"/>
  <c r="Q25" i="206"/>
  <c r="R34" i="197"/>
  <c r="N36" i="192"/>
  <c r="N37" i="207"/>
  <c r="R46" i="207"/>
  <c r="S34" i="195"/>
  <c r="U43" i="196"/>
  <c r="M43" i="191"/>
  <c r="U25" i="199"/>
  <c r="T9" i="194"/>
  <c r="L33" i="37"/>
  <c r="L22" i="192"/>
  <c r="R25" i="195"/>
  <c r="P21" i="200"/>
  <c r="U42" i="37"/>
  <c r="T4" i="37"/>
  <c r="Q11" i="197"/>
  <c r="R7" i="196"/>
  <c r="S45" i="204"/>
  <c r="S3" i="196"/>
  <c r="R8" i="37"/>
  <c r="N5" i="200"/>
  <c r="T13" i="199"/>
  <c r="U28" i="37"/>
  <c r="S11" i="207"/>
  <c r="T26" i="201"/>
  <c r="L44" i="37"/>
  <c r="U41" i="37"/>
  <c r="O8" i="191"/>
  <c r="S32" i="37"/>
  <c r="P18" i="199"/>
  <c r="M5" i="37"/>
  <c r="P44" i="196"/>
  <c r="N28" i="205"/>
  <c r="O35" i="191"/>
  <c r="Q33" i="197"/>
  <c r="P43" i="195"/>
  <c r="S25" i="201"/>
  <c r="L3" i="200"/>
  <c r="O27" i="193"/>
  <c r="M17" i="194"/>
  <c r="R42" i="195"/>
  <c r="N28" i="196"/>
  <c r="P32" i="191"/>
  <c r="T23" i="192"/>
  <c r="S5" i="195"/>
  <c r="T29" i="197"/>
  <c r="P20" i="195"/>
  <c r="N5" i="201"/>
  <c r="T30" i="200"/>
  <c r="Q24" i="193"/>
  <c r="L44" i="193"/>
  <c r="M45" i="198"/>
  <c r="R2" i="210"/>
  <c r="O36" i="196"/>
  <c r="N15" i="200"/>
  <c r="Q42" i="37"/>
  <c r="Q10" i="37"/>
  <c r="P36" i="204"/>
  <c r="U8" i="195"/>
  <c r="O23" i="37"/>
  <c r="U12" i="195"/>
  <c r="S37" i="201"/>
  <c r="T35" i="37"/>
  <c r="O42" i="194"/>
  <c r="L12" i="195"/>
  <c r="R41" i="197"/>
  <c r="O16" i="196"/>
  <c r="R34" i="192"/>
  <c r="O24" i="194"/>
  <c r="T24" i="201"/>
  <c r="O13" i="37"/>
  <c r="O42" i="37"/>
  <c r="R22" i="200"/>
  <c r="O28" i="191"/>
  <c r="N27" i="192"/>
  <c r="P4" i="200"/>
  <c r="U27" i="208"/>
  <c r="R33" i="209"/>
  <c r="U37" i="193"/>
  <c r="S4" i="198"/>
  <c r="P37" i="194"/>
  <c r="Q20" i="195"/>
  <c r="N5" i="192"/>
  <c r="N15" i="193"/>
  <c r="S29" i="194"/>
  <c r="S20" i="208"/>
  <c r="L9" i="205"/>
  <c r="T45" i="202"/>
  <c r="N19" i="193"/>
  <c r="T39" i="200"/>
  <c r="S30" i="200"/>
  <c r="P39" i="193"/>
  <c r="R19" i="198"/>
  <c r="R41" i="203"/>
  <c r="Q31" i="192"/>
  <c r="U26" i="191"/>
  <c r="P25" i="37"/>
  <c r="L7" i="195"/>
  <c r="P5" i="193"/>
  <c r="M12" i="191"/>
  <c r="M28" i="197"/>
  <c r="R26" i="206"/>
  <c r="U30" i="202"/>
  <c r="R35" i="198"/>
  <c r="T33" i="193"/>
  <c r="M30" i="37"/>
  <c r="S45" i="195"/>
  <c r="L36" i="195"/>
  <c r="U32" i="191"/>
  <c r="T15" i="197"/>
  <c r="P45" i="195"/>
  <c r="M15" i="195"/>
  <c r="R11" i="193"/>
  <c r="Q20" i="37"/>
  <c r="L2" i="192"/>
  <c r="T2" i="192"/>
  <c r="L29" i="195"/>
  <c r="P23" i="193"/>
  <c r="T9" i="205"/>
  <c r="L37" i="205"/>
  <c r="S5" i="196"/>
  <c r="S33" i="192"/>
  <c r="O3" i="197"/>
  <c r="L20" i="197"/>
  <c r="M27" i="204"/>
  <c r="L24" i="192"/>
  <c r="L39" i="197"/>
  <c r="Q11" i="193"/>
  <c r="Q37" i="37"/>
  <c r="Q21" i="199"/>
  <c r="Q2" i="192"/>
  <c r="M13" i="37"/>
  <c r="R25" i="208"/>
  <c r="M36" i="191"/>
  <c r="L16" i="37"/>
  <c r="R14" i="37"/>
  <c r="O21" i="192"/>
  <c r="S46" i="195"/>
  <c r="U11" i="195"/>
  <c r="R22" i="196"/>
  <c r="R23" i="205"/>
  <c r="P5" i="208"/>
  <c r="T39" i="37"/>
  <c r="Q9" i="192"/>
  <c r="Q8" i="204"/>
  <c r="S6" i="193"/>
  <c r="N35" i="196"/>
  <c r="S7" i="201"/>
  <c r="M12" i="37"/>
  <c r="L7" i="197"/>
  <c r="Q30" i="192"/>
  <c r="M46" i="197"/>
  <c r="R30" i="197"/>
  <c r="R44" i="196"/>
  <c r="R24" i="196"/>
  <c r="U30" i="192"/>
  <c r="P44" i="192"/>
  <c r="T8" i="195"/>
  <c r="S26" i="202"/>
  <c r="T24" i="37"/>
  <c r="Q13" i="201"/>
  <c r="S9" i="193"/>
  <c r="O10" i="200"/>
  <c r="R34" i="195"/>
  <c r="O37" i="201"/>
  <c r="N41" i="194"/>
  <c r="N36" i="198"/>
  <c r="P34" i="201"/>
  <c r="U28" i="199"/>
  <c r="Q35" i="207"/>
  <c r="S21" i="193"/>
  <c r="M23" i="195"/>
  <c r="P36" i="37"/>
  <c r="M25" i="210"/>
  <c r="L33" i="203"/>
  <c r="S38" i="37"/>
  <c r="Q9" i="198"/>
  <c r="L19" i="37"/>
  <c r="O28" i="197"/>
  <c r="T32" i="200"/>
  <c r="R30" i="195"/>
  <c r="P9" i="197"/>
  <c r="U16" i="197"/>
  <c r="P22" i="37"/>
  <c r="M35" i="37"/>
  <c r="R15" i="192"/>
  <c r="Q23" i="203"/>
  <c r="P27" i="37"/>
  <c r="T34" i="200"/>
  <c r="O34" i="200"/>
  <c r="R4" i="196"/>
  <c r="P41" i="37"/>
  <c r="P39" i="37"/>
  <c r="N25" i="201"/>
  <c r="R34" i="199"/>
  <c r="U3" i="199"/>
  <c r="U38" i="202"/>
  <c r="N35" i="37"/>
  <c r="U8" i="199"/>
  <c r="P33" i="205"/>
  <c r="U18" i="37"/>
  <c r="O31" i="205"/>
  <c r="N42" i="37"/>
  <c r="U6" i="199"/>
  <c r="U37" i="191"/>
  <c r="M44" i="37"/>
  <c r="N34" i="195"/>
  <c r="M9" i="200"/>
  <c r="O33" i="37"/>
  <c r="T36" i="203"/>
  <c r="Q32" i="200"/>
  <c r="Q34" i="196"/>
  <c r="U21" i="194"/>
  <c r="T8" i="37"/>
  <c r="Q11" i="199"/>
  <c r="L29" i="197"/>
  <c r="N21" i="194"/>
  <c r="M6" i="194"/>
  <c r="T37" i="197"/>
  <c r="U18" i="200"/>
  <c r="T36" i="204"/>
  <c r="L10" i="199"/>
  <c r="O12" i="192"/>
  <c r="P4" i="193"/>
  <c r="O10" i="193"/>
  <c r="R34" i="194"/>
  <c r="U31" i="201"/>
  <c r="T4" i="203"/>
  <c r="S12" i="203"/>
  <c r="R42" i="201"/>
  <c r="Q22" i="202"/>
  <c r="N38" i="37"/>
  <c r="L43" i="207"/>
  <c r="N26" i="203"/>
  <c r="Q26" i="193"/>
  <c r="P44" i="202"/>
  <c r="T18" i="207"/>
  <c r="M35" i="201"/>
  <c r="O3" i="37"/>
  <c r="S30" i="195"/>
  <c r="T6" i="37"/>
  <c r="L10" i="208"/>
  <c r="N8" i="37"/>
  <c r="P18" i="37"/>
  <c r="O15" i="37"/>
  <c r="L24" i="203"/>
  <c r="M14" i="37"/>
  <c r="U37" i="202"/>
  <c r="R7" i="191"/>
  <c r="U15" i="37"/>
  <c r="U18" i="192"/>
  <c r="O30" i="199"/>
  <c r="Q12" i="37"/>
  <c r="M9" i="192"/>
  <c r="O31" i="206"/>
  <c r="P12" i="196"/>
  <c r="R3" i="208"/>
  <c r="M20" i="204"/>
  <c r="L46" i="195"/>
  <c r="Q32" i="195"/>
  <c r="L38" i="201"/>
  <c r="O15" i="209"/>
  <c r="S11" i="193"/>
  <c r="M30" i="199"/>
  <c r="M32" i="201"/>
  <c r="O20" i="194"/>
  <c r="Q27" i="198"/>
  <c r="T29" i="202"/>
  <c r="L2" i="194"/>
  <c r="Q3" i="202"/>
  <c r="P21" i="210"/>
  <c r="T25" i="191"/>
  <c r="L15" i="202"/>
  <c r="L28" i="195"/>
  <c r="P15" i="204"/>
  <c r="L39" i="194"/>
  <c r="P16" i="192"/>
  <c r="R10" i="199"/>
  <c r="U3" i="196"/>
  <c r="M32" i="202"/>
  <c r="N23" i="196"/>
  <c r="N23" i="201"/>
  <c r="L23" i="203"/>
  <c r="T45" i="37"/>
  <c r="M22" i="198"/>
  <c r="T44" i="191"/>
  <c r="Q12" i="204"/>
  <c r="L7" i="201"/>
  <c r="Q28" i="194"/>
  <c r="L43" i="193"/>
  <c r="U24" i="202"/>
  <c r="U13" i="198"/>
  <c r="N4" i="199"/>
  <c r="T34" i="197"/>
  <c r="M25" i="199"/>
  <c r="U25" i="37"/>
  <c r="Q34" i="37"/>
  <c r="R18" i="195"/>
  <c r="P12" i="37"/>
  <c r="P31" i="37"/>
  <c r="N5" i="196"/>
  <c r="P19" i="194"/>
  <c r="L14" i="197"/>
  <c r="L28" i="191"/>
  <c r="L42" i="37"/>
  <c r="M2" i="193"/>
  <c r="U18" i="195"/>
  <c r="T5" i="194"/>
  <c r="O45" i="206"/>
  <c r="R29" i="198"/>
  <c r="R6" i="37"/>
  <c r="O24" i="37"/>
  <c r="N25" i="199"/>
  <c r="T38" i="37"/>
  <c r="L13" i="193"/>
  <c r="Q21" i="195"/>
  <c r="P37" i="205"/>
  <c r="L33" i="194"/>
  <c r="N34" i="193"/>
  <c r="S2" i="194"/>
  <c r="L5" i="191"/>
  <c r="P31" i="199"/>
  <c r="N37" i="195"/>
  <c r="P33" i="191"/>
  <c r="P36" i="195"/>
  <c r="N23" i="37"/>
  <c r="O13" i="197"/>
  <c r="M23" i="204"/>
  <c r="Q27" i="191"/>
  <c r="U7" i="37"/>
  <c r="L28" i="192"/>
  <c r="U11" i="37"/>
  <c r="M20" i="196"/>
  <c r="N21" i="37"/>
  <c r="Q4" i="209"/>
  <c r="R10" i="193"/>
  <c r="U18" i="201"/>
  <c r="U11" i="199"/>
  <c r="M20" i="199"/>
  <c r="P9" i="192"/>
  <c r="L21" i="37"/>
  <c r="N14" i="210"/>
  <c r="R12" i="191"/>
  <c r="Q17" i="37"/>
  <c r="R38" i="37"/>
  <c r="N37" i="37"/>
  <c r="R39" i="197"/>
  <c r="M8" i="192"/>
  <c r="U12" i="37"/>
  <c r="L43" i="199"/>
  <c r="O4" i="199"/>
  <c r="R27" i="192"/>
  <c r="R6" i="192"/>
  <c r="P5" i="205"/>
  <c r="M28" i="191"/>
  <c r="U43" i="200"/>
  <c r="N16" i="195"/>
  <c r="N29" i="192"/>
  <c r="Q7" i="201"/>
  <c r="Q4" i="37"/>
  <c r="L36" i="200"/>
  <c r="T36" i="199"/>
  <c r="O18" i="192"/>
  <c r="O46" i="192"/>
  <c r="R17" i="194"/>
  <c r="S35" i="203"/>
  <c r="T22" i="191"/>
  <c r="M33" i="197"/>
  <c r="N4" i="198"/>
  <c r="L32" i="208"/>
  <c r="M5" i="194"/>
  <c r="S6" i="197"/>
  <c r="P22" i="192"/>
  <c r="O24" i="206"/>
  <c r="M22" i="196"/>
  <c r="R32" i="196"/>
  <c r="P19" i="191"/>
  <c r="M8" i="37"/>
  <c r="R12" i="192"/>
  <c r="R9" i="203"/>
  <c r="T23" i="37"/>
  <c r="R39" i="202"/>
  <c r="M29" i="204"/>
  <c r="M43" i="204"/>
  <c r="N36" i="37"/>
  <c r="U43" i="37"/>
  <c r="O13" i="208"/>
  <c r="L3" i="37"/>
  <c r="P21" i="37"/>
  <c r="L15" i="205"/>
  <c r="R22" i="191"/>
  <c r="O11" i="194"/>
  <c r="L37" i="37"/>
  <c r="U23" i="202"/>
  <c r="O4" i="191"/>
  <c r="O2" i="191"/>
  <c r="L6" i="200"/>
  <c r="M7" i="194"/>
  <c r="M18" i="213"/>
  <c r="S8" i="37"/>
  <c r="S15" i="197"/>
  <c r="L38" i="37"/>
  <c r="O24" i="205"/>
  <c r="M20" i="37"/>
  <c r="U5" i="200"/>
  <c r="S27" i="207"/>
  <c r="N40" i="37"/>
  <c r="S16" i="191"/>
  <c r="T37" i="202"/>
  <c r="R38" i="199"/>
  <c r="U26" i="194"/>
  <c r="L5" i="194"/>
  <c r="N21" i="200"/>
  <c r="N9" i="199"/>
  <c r="L2" i="191"/>
  <c r="S29" i="37"/>
  <c r="M43" i="201"/>
  <c r="M33" i="193"/>
  <c r="N24" i="37"/>
  <c r="U46" i="37"/>
  <c r="S23" i="37"/>
  <c r="M10" i="197"/>
  <c r="T20" i="37"/>
  <c r="Q15" i="192"/>
  <c r="Q15" i="203"/>
  <c r="U46" i="195"/>
  <c r="O8" i="203"/>
  <c r="O25" i="191"/>
  <c r="S29" i="205"/>
  <c r="L45" i="196"/>
  <c r="U29" i="194"/>
  <c r="L32" i="37"/>
  <c r="S34" i="196"/>
  <c r="R32" i="193"/>
  <c r="T23" i="211"/>
  <c r="E32" i="73" l="1"/>
  <c r="W32" i="37"/>
  <c r="W45" i="196"/>
  <c r="AB45" i="196"/>
  <c r="AM45" i="196" s="1"/>
  <c r="AK46" i="195"/>
  <c r="AK46" i="37"/>
  <c r="AC43" i="201"/>
  <c r="W2" i="191"/>
  <c r="W5" i="194"/>
  <c r="AH38" i="199"/>
  <c r="AD40" i="37"/>
  <c r="AB38" i="37"/>
  <c r="AM38" i="37" s="1"/>
  <c r="W38" i="37"/>
  <c r="W6" i="200"/>
  <c r="E37" i="73"/>
  <c r="W37" i="37"/>
  <c r="W15" i="205"/>
  <c r="E3" i="73"/>
  <c r="W3" i="37"/>
  <c r="AK43" i="37"/>
  <c r="AC43" i="204"/>
  <c r="AH39" i="202"/>
  <c r="W32" i="208"/>
  <c r="AE46" i="192"/>
  <c r="W36" i="200"/>
  <c r="AK43" i="200"/>
  <c r="W43" i="199"/>
  <c r="AB43" i="199"/>
  <c r="AM43" i="199" s="1"/>
  <c r="AH39" i="197"/>
  <c r="AH38" i="37"/>
  <c r="W21" i="37"/>
  <c r="E21" i="73"/>
  <c r="W28" i="192"/>
  <c r="W5" i="191"/>
  <c r="W33" i="194"/>
  <c r="W13" i="193"/>
  <c r="AJ38" i="37"/>
  <c r="AE45" i="206"/>
  <c r="W42" i="37"/>
  <c r="AB42" i="37"/>
  <c r="AM42" i="37" s="1"/>
  <c r="W28" i="191"/>
  <c r="W14" i="197"/>
  <c r="W43" i="193"/>
  <c r="AB43" i="193"/>
  <c r="AM43" i="193" s="1"/>
  <c r="W7" i="201"/>
  <c r="AJ44" i="191"/>
  <c r="AJ45" i="37"/>
  <c r="W23" i="203"/>
  <c r="W39" i="194"/>
  <c r="AB39" i="194"/>
  <c r="AM39" i="194" s="1"/>
  <c r="W28" i="195"/>
  <c r="W15" i="202"/>
  <c r="W2" i="194"/>
  <c r="W38" i="201"/>
  <c r="AB38" i="201"/>
  <c r="AM38" i="201" s="1"/>
  <c r="W46" i="195"/>
  <c r="AB46" i="195"/>
  <c r="AM46" i="195" s="1"/>
  <c r="W24" i="203"/>
  <c r="W10" i="208"/>
  <c r="AF44" i="202"/>
  <c r="W43" i="207"/>
  <c r="AB43" i="207"/>
  <c r="AM43" i="207" s="1"/>
  <c r="AD38" i="37"/>
  <c r="AH42" i="201"/>
  <c r="W10" i="199"/>
  <c r="W29" i="197"/>
  <c r="AC44" i="37"/>
  <c r="AD42" i="37"/>
  <c r="AK38" i="202"/>
  <c r="AF39" i="37"/>
  <c r="AF41" i="37"/>
  <c r="W19" i="37"/>
  <c r="E19" i="73"/>
  <c r="AI38" i="37"/>
  <c r="W33" i="203"/>
  <c r="AD41" i="194"/>
  <c r="AF44" i="192"/>
  <c r="AH44" i="196"/>
  <c r="AC46" i="197"/>
  <c r="W7" i="197"/>
  <c r="AJ39" i="37"/>
  <c r="AI46" i="195"/>
  <c r="W16" i="37"/>
  <c r="E16" i="73"/>
  <c r="W39" i="197"/>
  <c r="AB39" i="197"/>
  <c r="AM39" i="197" s="1"/>
  <c r="W24" i="192"/>
  <c r="W20" i="197"/>
  <c r="W37" i="205"/>
  <c r="W29" i="195"/>
  <c r="W2" i="192"/>
  <c r="AF45" i="195"/>
  <c r="W36" i="195"/>
  <c r="AI45" i="195"/>
  <c r="W7" i="195"/>
  <c r="AH41" i="203"/>
  <c r="AF39" i="193"/>
  <c r="AJ39" i="200"/>
  <c r="AJ45" i="202"/>
  <c r="W9" i="205"/>
  <c r="AE42" i="37"/>
  <c r="AH41" i="197"/>
  <c r="W12" i="195"/>
  <c r="AE42" i="194"/>
  <c r="AG42" i="37"/>
  <c r="AC45" i="198"/>
  <c r="W44" i="193"/>
  <c r="AB44" i="193"/>
  <c r="AM44" i="193" s="1"/>
  <c r="AH42" i="195"/>
  <c r="W3" i="200"/>
  <c r="AF43" i="195"/>
  <c r="AF44" i="196"/>
  <c r="AK41" i="37"/>
  <c r="W44" i="37"/>
  <c r="AB44" i="37"/>
  <c r="AM44" i="37" s="1"/>
  <c r="AI45" i="204"/>
  <c r="AK42" i="37"/>
  <c r="W22" i="192"/>
  <c r="E33" i="73"/>
  <c r="W33" i="37"/>
  <c r="AC43" i="191"/>
  <c r="AK43" i="196"/>
  <c r="AH46" i="207"/>
  <c r="AJ40" i="192"/>
  <c r="AI46" i="37"/>
  <c r="AG44" i="198"/>
  <c r="AF42" i="194"/>
  <c r="AK40" i="194"/>
  <c r="AH42" i="191"/>
  <c r="AG45" i="37"/>
  <c r="W41" i="196"/>
  <c r="AB41" i="196"/>
  <c r="AM41" i="196" s="1"/>
  <c r="AG41" i="193"/>
  <c r="AJ39" i="195"/>
  <c r="AJ41" i="196"/>
  <c r="AK43" i="192"/>
  <c r="AI41" i="37"/>
  <c r="W6" i="37"/>
  <c r="E6" i="73"/>
  <c r="W6" i="201"/>
  <c r="AE38" i="192"/>
  <c r="W25" i="211"/>
  <c r="AE39" i="199"/>
  <c r="AF44" i="204"/>
  <c r="AK42" i="197"/>
  <c r="AJ38" i="192"/>
  <c r="AJ38" i="199"/>
  <c r="W5" i="37"/>
  <c r="E5" i="73"/>
  <c r="W31" i="195"/>
  <c r="W5" i="196"/>
  <c r="W14" i="203"/>
  <c r="AC41" i="198"/>
  <c r="AI43" i="37"/>
  <c r="W17" i="37"/>
  <c r="E17" i="73"/>
  <c r="AI39" i="37"/>
  <c r="W16" i="196"/>
  <c r="W3" i="191"/>
  <c r="AC42" i="192"/>
  <c r="AH44" i="194"/>
  <c r="AE45" i="196"/>
  <c r="AG46" i="206"/>
  <c r="AK41" i="201"/>
  <c r="AH39" i="193"/>
  <c r="W18" i="37"/>
  <c r="E18" i="73"/>
  <c r="AF46" i="199"/>
  <c r="W31" i="37"/>
  <c r="E31" i="73"/>
  <c r="AH44" i="205"/>
  <c r="W34" i="191"/>
  <c r="W34" i="37"/>
  <c r="E34" i="73"/>
  <c r="W44" i="199"/>
  <c r="AB44" i="199"/>
  <c r="AM44" i="199" s="1"/>
  <c r="AF38" i="197"/>
  <c r="AH43" i="192"/>
  <c r="AK40" i="199"/>
  <c r="W30" i="199"/>
  <c r="W27" i="192"/>
  <c r="AF38" i="194"/>
  <c r="AK41" i="199"/>
  <c r="AJ44" i="37"/>
  <c r="AK40" i="195"/>
  <c r="AC38" i="195"/>
  <c r="AC40" i="196"/>
  <c r="AH45" i="37"/>
  <c r="AH42" i="202"/>
  <c r="AJ41" i="203"/>
  <c r="W19" i="200"/>
  <c r="E10" i="73"/>
  <c r="W10" i="37"/>
  <c r="AI38" i="198"/>
  <c r="AD43" i="200"/>
  <c r="AF42" i="37"/>
  <c r="W42" i="201"/>
  <c r="AB42" i="201"/>
  <c r="AM42" i="201" s="1"/>
  <c r="AH39" i="37"/>
  <c r="AG40" i="194"/>
  <c r="W2" i="201"/>
  <c r="AC41" i="199"/>
  <c r="AJ39" i="193"/>
  <c r="W22" i="196"/>
  <c r="AK39" i="37"/>
  <c r="AG38" i="201"/>
  <c r="W29" i="37"/>
  <c r="E29" i="73"/>
  <c r="E20" i="73"/>
  <c r="W20" i="37"/>
  <c r="W40" i="201"/>
  <c r="AB40" i="201"/>
  <c r="AM40" i="201" s="1"/>
  <c r="W20" i="200"/>
  <c r="AF41" i="202"/>
  <c r="W9" i="37"/>
  <c r="E9" i="73"/>
  <c r="AF41" i="191"/>
  <c r="AH46" i="205"/>
  <c r="E4" i="73"/>
  <c r="W4" i="37"/>
  <c r="AI42" i="37"/>
  <c r="AK46" i="193"/>
  <c r="AH41" i="194"/>
  <c r="W20" i="198"/>
  <c r="AD44" i="203"/>
  <c r="AH41" i="201"/>
  <c r="AF41" i="196"/>
  <c r="AE45" i="207"/>
  <c r="AK41" i="202"/>
  <c r="AE40" i="195"/>
  <c r="AE44" i="194"/>
  <c r="AD43" i="192"/>
  <c r="W2" i="193"/>
  <c r="W39" i="191"/>
  <c r="AB39" i="191"/>
  <c r="AM39" i="191" s="1"/>
  <c r="W9" i="202"/>
  <c r="W19" i="192"/>
  <c r="AH38" i="193"/>
  <c r="W46" i="37"/>
  <c r="AB46" i="37"/>
  <c r="AM46" i="37" s="1"/>
  <c r="AD40" i="200"/>
  <c r="AK42" i="200"/>
  <c r="W36" i="196"/>
  <c r="W12" i="194"/>
  <c r="AI40" i="197"/>
  <c r="W29" i="191"/>
  <c r="AK40" i="197"/>
  <c r="W39" i="213"/>
  <c r="AB39" i="213"/>
  <c r="AM39" i="213" s="1"/>
  <c r="W36" i="194"/>
  <c r="AK46" i="201"/>
  <c r="W33" i="191"/>
  <c r="AH46" i="192"/>
  <c r="W24" i="197"/>
  <c r="AG45" i="191"/>
  <c r="W43" i="194"/>
  <c r="AB43" i="194"/>
  <c r="AM43" i="194" s="1"/>
  <c r="AG43" i="208"/>
  <c r="AI40" i="37"/>
  <c r="AK39" i="200"/>
  <c r="AJ45" i="200"/>
  <c r="W45" i="198"/>
  <c r="AB45" i="198"/>
  <c r="AM45" i="198" s="1"/>
  <c r="AJ46" i="37"/>
  <c r="W7" i="193"/>
  <c r="AG43" i="37"/>
  <c r="AG44" i="37"/>
  <c r="AJ43" i="191"/>
  <c r="AC41" i="194"/>
  <c r="AH40" i="192"/>
  <c r="W34" i="197"/>
  <c r="W3" i="199"/>
  <c r="AD38" i="194"/>
  <c r="W19" i="191"/>
  <c r="W16" i="192"/>
  <c r="AE41" i="199"/>
  <c r="AF46" i="204"/>
  <c r="AE38" i="201"/>
  <c r="AH39" i="192"/>
  <c r="AH41" i="196"/>
  <c r="AI46" i="203"/>
  <c r="AG38" i="203"/>
  <c r="AJ45" i="196"/>
  <c r="AH46" i="193"/>
  <c r="W42" i="204"/>
  <c r="AB42" i="204"/>
  <c r="AM42" i="204" s="1"/>
  <c r="W42" i="197"/>
  <c r="AB42" i="197"/>
  <c r="AM42" i="197" s="1"/>
  <c r="W6" i="203"/>
  <c r="W22" i="37"/>
  <c r="E22" i="73"/>
  <c r="AK40" i="196"/>
  <c r="W29" i="198"/>
  <c r="W44" i="197"/>
  <c r="AB44" i="197"/>
  <c r="AM44" i="197" s="1"/>
  <c r="AG46" i="37"/>
  <c r="AI38" i="194"/>
  <c r="AI44" i="193"/>
  <c r="AI39" i="198"/>
  <c r="W25" i="191"/>
  <c r="AD41" i="202"/>
  <c r="AI38" i="191"/>
  <c r="W2" i="199"/>
  <c r="AH44" i="197"/>
  <c r="AK39" i="203"/>
  <c r="AC46" i="206"/>
  <c r="W45" i="37"/>
  <c r="AB45" i="37"/>
  <c r="AM45" i="37" s="1"/>
  <c r="W36" i="192"/>
  <c r="AG38" i="194"/>
  <c r="W32" i="192"/>
  <c r="W13" i="191"/>
  <c r="W17" i="204"/>
  <c r="W22" i="201"/>
  <c r="AH39" i="206"/>
  <c r="W11" i="204"/>
  <c r="AE38" i="206"/>
  <c r="AF40" i="195"/>
  <c r="W10" i="194"/>
  <c r="W26" i="192"/>
  <c r="W26" i="207"/>
  <c r="AJ38" i="194"/>
  <c r="AF43" i="194"/>
  <c r="AK45" i="191"/>
  <c r="AK42" i="199"/>
  <c r="AF39" i="199"/>
  <c r="AC38" i="192"/>
  <c r="W10" i="202"/>
  <c r="AF46" i="191"/>
  <c r="W24" i="202"/>
  <c r="AD45" i="208"/>
  <c r="AI45" i="203"/>
  <c r="AJ46" i="193"/>
  <c r="W42" i="191"/>
  <c r="AB42" i="191"/>
  <c r="AM42" i="191" s="1"/>
  <c r="W40" i="193"/>
  <c r="AB40" i="193"/>
  <c r="AM40" i="193" s="1"/>
  <c r="AH42" i="198"/>
  <c r="AF43" i="201"/>
  <c r="AE39" i="210"/>
  <c r="W15" i="203"/>
  <c r="AC40" i="194"/>
  <c r="W42" i="202"/>
  <c r="AB42" i="202"/>
  <c r="AM42" i="202" s="1"/>
  <c r="AE38" i="191"/>
  <c r="AG43" i="196"/>
  <c r="W31" i="209"/>
  <c r="AC42" i="203"/>
  <c r="W20" i="199"/>
  <c r="AI38" i="199"/>
  <c r="AH40" i="37"/>
  <c r="W30" i="196"/>
  <c r="AE39" i="37"/>
  <c r="W7" i="198"/>
  <c r="AE39" i="193"/>
  <c r="AC38" i="203"/>
  <c r="AI42" i="200"/>
  <c r="W40" i="203"/>
  <c r="AB40" i="203"/>
  <c r="AM40" i="203" s="1"/>
  <c r="AI38" i="195"/>
  <c r="AC41" i="200"/>
  <c r="W19" i="204"/>
  <c r="AG44" i="196"/>
  <c r="AD43" i="193"/>
  <c r="W43" i="205"/>
  <c r="AB43" i="205"/>
  <c r="AM43" i="205" s="1"/>
  <c r="W30" i="205"/>
  <c r="W23" i="195"/>
  <c r="AG46" i="193"/>
  <c r="AE42" i="196"/>
  <c r="W43" i="191"/>
  <c r="AB43" i="191"/>
  <c r="AM43" i="191" s="1"/>
  <c r="W24" i="194"/>
  <c r="AH38" i="203"/>
  <c r="W6" i="194"/>
  <c r="AK45" i="197"/>
  <c r="W15" i="199"/>
  <c r="W40" i="196"/>
  <c r="AB40" i="196"/>
  <c r="AM40" i="196" s="1"/>
  <c r="W45" i="191"/>
  <c r="AB45" i="191"/>
  <c r="AM45" i="191" s="1"/>
  <c r="W37" i="201"/>
  <c r="AE38" i="203"/>
  <c r="AC46" i="37"/>
  <c r="W18" i="197"/>
  <c r="W15" i="195"/>
  <c r="W15" i="37"/>
  <c r="E15" i="73"/>
  <c r="AE38" i="37"/>
  <c r="AK46" i="194"/>
  <c r="W41" i="192"/>
  <c r="AB41" i="192"/>
  <c r="AM41" i="192" s="1"/>
  <c r="W25" i="195"/>
  <c r="W5" i="193"/>
  <c r="W3" i="192"/>
  <c r="W32" i="209"/>
  <c r="AC46" i="194"/>
  <c r="AJ46" i="194"/>
  <c r="AE41" i="197"/>
  <c r="AK43" i="195"/>
  <c r="AE43" i="192"/>
  <c r="AG39" i="201"/>
  <c r="AF44" i="198"/>
  <c r="AH46" i="201"/>
  <c r="AK43" i="205"/>
  <c r="W26" i="194"/>
  <c r="AF44" i="205"/>
  <c r="AK43" i="208"/>
  <c r="W29" i="205"/>
  <c r="W23" i="206"/>
  <c r="W8" i="200"/>
  <c r="W14" i="192"/>
  <c r="W28" i="193"/>
  <c r="W20" i="194"/>
  <c r="W42" i="195"/>
  <c r="AB42" i="195"/>
  <c r="AM42" i="195" s="1"/>
  <c r="AH38" i="202"/>
  <c r="AF42" i="197"/>
  <c r="AC43" i="196"/>
  <c r="W34" i="192"/>
  <c r="AK41" i="193"/>
  <c r="W37" i="199"/>
  <c r="AG40" i="196"/>
  <c r="W8" i="210"/>
  <c r="W12" i="191"/>
  <c r="W39" i="201"/>
  <c r="AB39" i="201"/>
  <c r="AM39" i="201" s="1"/>
  <c r="AJ43" i="199"/>
  <c r="AE45" i="211"/>
  <c r="AI41" i="199"/>
  <c r="W37" i="192"/>
  <c r="AI39" i="196"/>
  <c r="AE40" i="196"/>
  <c r="AK44" i="200"/>
  <c r="W9" i="198"/>
  <c r="W46" i="198"/>
  <c r="AB46" i="198"/>
  <c r="AM46" i="198" s="1"/>
  <c r="AF39" i="195"/>
  <c r="W36" i="201"/>
  <c r="AH46" i="196"/>
  <c r="AJ39" i="191"/>
  <c r="W33" i="205"/>
  <c r="AG39" i="197"/>
  <c r="W26" i="193"/>
  <c r="AH43" i="195"/>
  <c r="AG46" i="202"/>
  <c r="AG44" i="197"/>
  <c r="W25" i="202"/>
  <c r="W2" i="207"/>
  <c r="AH38" i="195"/>
  <c r="W36" i="208"/>
  <c r="AH42" i="37"/>
  <c r="W16" i="200"/>
  <c r="AF40" i="193"/>
  <c r="AD41" i="200"/>
  <c r="W8" i="37"/>
  <c r="E8" i="73"/>
  <c r="W11" i="195"/>
  <c r="AF44" i="37"/>
  <c r="W9" i="194"/>
  <c r="W32" i="193"/>
  <c r="W29" i="194"/>
  <c r="AI42" i="201"/>
  <c r="W25" i="193"/>
  <c r="AE44" i="200"/>
  <c r="AC44" i="200"/>
  <c r="W19" i="193"/>
  <c r="AH43" i="213"/>
  <c r="W11" i="196"/>
  <c r="AE41" i="37"/>
  <c r="AC39" i="191"/>
  <c r="AC38" i="197"/>
  <c r="W30" i="191"/>
  <c r="W42" i="193"/>
  <c r="AB42" i="193"/>
  <c r="AM42" i="193" s="1"/>
  <c r="W33" i="199"/>
  <c r="W12" i="197"/>
  <c r="E14" i="73"/>
  <c r="W14" i="37"/>
  <c r="AI45" i="200"/>
  <c r="AH41" i="193"/>
  <c r="AK43" i="197"/>
  <c r="W35" i="197"/>
  <c r="AK42" i="195"/>
  <c r="AJ41" i="37"/>
  <c r="E11" i="73"/>
  <c r="W11" i="37"/>
  <c r="W28" i="37"/>
  <c r="E28" i="73"/>
  <c r="W40" i="37"/>
  <c r="AB40" i="37"/>
  <c r="AM40" i="37" s="1"/>
  <c r="AD46" i="195"/>
  <c r="AJ46" i="206"/>
  <c r="AF44" i="199"/>
  <c r="AD39" i="197"/>
  <c r="W19" i="194"/>
  <c r="AE39" i="198"/>
  <c r="AB40" i="204"/>
  <c r="AM40" i="204" s="1"/>
  <c r="W40" i="204"/>
  <c r="AC38" i="196"/>
  <c r="AD43" i="194"/>
  <c r="AH38" i="194"/>
  <c r="AD45" i="200"/>
  <c r="AJ41" i="194"/>
  <c r="AC45" i="191"/>
  <c r="AF43" i="191"/>
  <c r="AE45" i="203"/>
  <c r="AG41" i="37"/>
  <c r="W16" i="191"/>
  <c r="W6" i="199"/>
  <c r="W27" i="195"/>
  <c r="AG39" i="37"/>
  <c r="AK44" i="191"/>
  <c r="AH45" i="198"/>
  <c r="AH45" i="204"/>
  <c r="W15" i="201"/>
  <c r="W39" i="200"/>
  <c r="AB39" i="200"/>
  <c r="AM39" i="200" s="1"/>
  <c r="W20" i="192"/>
  <c r="AD39" i="200"/>
  <c r="W35" i="201"/>
  <c r="W26" i="208"/>
  <c r="AE43" i="194"/>
  <c r="AD39" i="37"/>
  <c r="AK43" i="191"/>
  <c r="AF40" i="199"/>
  <c r="AE45" i="195"/>
  <c r="AK38" i="191"/>
  <c r="W10" i="192"/>
  <c r="W19" i="205"/>
  <c r="AJ44" i="195"/>
  <c r="AG43" i="197"/>
  <c r="AE41" i="194"/>
  <c r="AE42" i="195"/>
  <c r="AC38" i="37"/>
  <c r="W24" i="37"/>
  <c r="E24" i="73"/>
  <c r="AD44" i="191"/>
  <c r="AF40" i="192"/>
  <c r="AF42" i="196"/>
  <c r="W6" i="193"/>
  <c r="AE42" i="198"/>
  <c r="AK39" i="192"/>
  <c r="AJ43" i="37"/>
  <c r="W3" i="204"/>
  <c r="AD44" i="37"/>
  <c r="AF44" i="195"/>
  <c r="W30" i="198"/>
  <c r="AI39" i="203"/>
  <c r="W29" i="200"/>
  <c r="AF44" i="201"/>
  <c r="AK46" i="191"/>
  <c r="AC40" i="204"/>
  <c r="AI42" i="198"/>
  <c r="W23" i="191"/>
  <c r="AG46" i="191"/>
  <c r="AE43" i="201"/>
  <c r="AC45" i="201"/>
  <c r="AH45" i="194"/>
  <c r="AC44" i="194"/>
  <c r="W4" i="195"/>
  <c r="AK46" i="197"/>
  <c r="AJ41" i="201"/>
  <c r="W19" i="196"/>
  <c r="AF38" i="199"/>
  <c r="AJ46" i="199"/>
  <c r="AJ43" i="197"/>
  <c r="W14" i="194"/>
  <c r="AF38" i="200"/>
  <c r="W4" i="203"/>
  <c r="AJ40" i="37"/>
  <c r="AJ39" i="203"/>
  <c r="AE41" i="192"/>
  <c r="AK42" i="191"/>
  <c r="AI40" i="191"/>
  <c r="AH40" i="210"/>
  <c r="AI45" i="192"/>
  <c r="AF38" i="193"/>
  <c r="AK41" i="195"/>
  <c r="AF43" i="192"/>
  <c r="AF44" i="191"/>
  <c r="W42" i="199"/>
  <c r="AB42" i="199"/>
  <c r="AM42" i="199" s="1"/>
  <c r="W32" i="206"/>
  <c r="W30" i="212"/>
  <c r="W29" i="204"/>
  <c r="AI39" i="202"/>
  <c r="AC38" i="206"/>
  <c r="W20" i="204"/>
  <c r="W26" i="201"/>
  <c r="AD44" i="202"/>
  <c r="AK45" i="193"/>
  <c r="AE41" i="191"/>
  <c r="AE43" i="199"/>
  <c r="AE45" i="198"/>
  <c r="AJ46" i="198"/>
  <c r="AH45" i="191"/>
  <c r="AI41" i="203"/>
  <c r="W14" i="200"/>
  <c r="W39" i="210"/>
  <c r="AB39" i="210"/>
  <c r="AM39" i="210" s="1"/>
  <c r="AE43" i="197"/>
  <c r="AG42" i="207"/>
  <c r="AG39" i="194"/>
  <c r="W25" i="200"/>
  <c r="AI44" i="200"/>
  <c r="AC41" i="196"/>
  <c r="AG44" i="192"/>
  <c r="AC40" i="192"/>
  <c r="AI39" i="192"/>
  <c r="W22" i="203"/>
  <c r="AH41" i="195"/>
  <c r="AJ42" i="37"/>
  <c r="W17" i="198"/>
  <c r="AG42" i="196"/>
  <c r="AI44" i="37"/>
  <c r="AK42" i="196"/>
  <c r="AG38" i="199"/>
  <c r="AF41" i="200"/>
  <c r="AD44" i="196"/>
  <c r="AD40" i="202"/>
  <c r="AE46" i="197"/>
  <c r="AI45" i="37"/>
  <c r="AK39" i="198"/>
  <c r="AC41" i="193"/>
  <c r="AD46" i="37"/>
  <c r="AI46" i="196"/>
  <c r="AC40" i="197"/>
  <c r="AD43" i="201"/>
  <c r="AC45" i="194"/>
  <c r="AG46" i="201"/>
  <c r="W21" i="192"/>
  <c r="AE40" i="191"/>
  <c r="W37" i="206"/>
  <c r="AF46" i="193"/>
  <c r="W13" i="195"/>
  <c r="W11" i="199"/>
  <c r="W22" i="197"/>
  <c r="W11" i="192"/>
  <c r="AH39" i="200"/>
  <c r="AC38" i="191"/>
  <c r="E35" i="73"/>
  <c r="W35" i="37"/>
  <c r="AF40" i="37"/>
  <c r="AK40" i="198"/>
  <c r="AH42" i="193"/>
  <c r="AJ38" i="201"/>
  <c r="AH40" i="198"/>
  <c r="AE46" i="195"/>
  <c r="W17" i="193"/>
  <c r="AK41" i="191"/>
  <c r="AD45" i="201"/>
  <c r="AJ42" i="193"/>
  <c r="AG39" i="202"/>
  <c r="AC43" i="193"/>
  <c r="AH40" i="200"/>
  <c r="AC42" i="37"/>
  <c r="AG42" i="195"/>
  <c r="AI38" i="196"/>
  <c r="W44" i="191"/>
  <c r="AB44" i="191"/>
  <c r="AM44" i="191" s="1"/>
  <c r="W27" i="191"/>
  <c r="W45" i="192"/>
  <c r="AB45" i="192"/>
  <c r="AM45" i="192" s="1"/>
  <c r="W7" i="191"/>
  <c r="AD40" i="199"/>
  <c r="W12" i="198"/>
  <c r="AE43" i="193"/>
  <c r="AK46" i="192"/>
  <c r="AK39" i="196"/>
  <c r="AG46" i="192"/>
  <c r="AE44" i="37"/>
  <c r="AH43" i="196"/>
  <c r="AD42" i="196"/>
  <c r="AJ46" i="197"/>
  <c r="AF45" i="206"/>
  <c r="W14" i="198"/>
  <c r="AI42" i="194"/>
  <c r="AF38" i="191"/>
  <c r="AJ43" i="195"/>
  <c r="W19" i="202"/>
  <c r="AH45" i="195"/>
  <c r="W30" i="201"/>
  <c r="AI40" i="192"/>
  <c r="AK38" i="192"/>
  <c r="AC46" i="202"/>
  <c r="AI41" i="197"/>
  <c r="AC38" i="201"/>
  <c r="W31" i="199"/>
  <c r="AJ38" i="195"/>
  <c r="W14" i="208"/>
  <c r="W18" i="194"/>
  <c r="W18" i="195"/>
  <c r="AG41" i="205"/>
  <c r="W10" i="193"/>
  <c r="AD45" i="202"/>
  <c r="AC45" i="192"/>
  <c r="AG46" i="196"/>
  <c r="AG40" i="192"/>
  <c r="AC44" i="192"/>
  <c r="W3" i="209"/>
  <c r="AK46" i="196"/>
  <c r="AD39" i="202"/>
  <c r="AI45" i="196"/>
  <c r="AC46" i="192"/>
  <c r="AG41" i="191"/>
  <c r="AF39" i="197"/>
  <c r="AC40" i="199"/>
  <c r="W2" i="196"/>
  <c r="W29" i="192"/>
  <c r="AI42" i="199"/>
  <c r="AJ40" i="193"/>
  <c r="AE44" i="196"/>
  <c r="AE38" i="196"/>
  <c r="AD45" i="203"/>
  <c r="AF44" i="193"/>
  <c r="AE38" i="202"/>
  <c r="W34" i="209"/>
  <c r="AH46" i="197"/>
  <c r="AE40" i="194"/>
  <c r="W6" i="192"/>
  <c r="AD39" i="199"/>
  <c r="W38" i="191"/>
  <c r="AB38" i="191"/>
  <c r="AM38" i="191" s="1"/>
  <c r="AH40" i="194"/>
  <c r="AH40" i="197"/>
  <c r="AD42" i="199"/>
  <c r="W25" i="192"/>
  <c r="AD41" i="198"/>
  <c r="W15" i="194"/>
  <c r="W35" i="196"/>
  <c r="W14" i="201"/>
  <c r="AE45" i="194"/>
  <c r="AK45" i="194"/>
  <c r="AE40" i="201"/>
  <c r="W22" i="199"/>
  <c r="AC39" i="196"/>
  <c r="AD41" i="208"/>
  <c r="AD44" i="193"/>
  <c r="W35" i="209"/>
  <c r="AH43" i="200"/>
  <c r="AC43" i="198"/>
  <c r="AI42" i="206"/>
  <c r="AK44" i="37"/>
  <c r="AI45" i="194"/>
  <c r="W42" i="192"/>
  <c r="AB42" i="192"/>
  <c r="AM42" i="192" s="1"/>
  <c r="W9" i="192"/>
  <c r="W20" i="193"/>
  <c r="W23" i="193"/>
  <c r="AG45" i="196"/>
  <c r="W28" i="198"/>
  <c r="W23" i="198"/>
  <c r="W33" i="201"/>
  <c r="AG42" i="201"/>
  <c r="W43" i="192"/>
  <c r="AB43" i="192"/>
  <c r="AM43" i="192" s="1"/>
  <c r="AH44" i="203"/>
  <c r="AF45" i="37"/>
  <c r="W6" i="195"/>
  <c r="AG46" i="205"/>
  <c r="E36" i="73"/>
  <c r="W36" i="37"/>
  <c r="AJ44" i="197"/>
  <c r="AK39" i="194"/>
  <c r="W40" i="199"/>
  <c r="AB40" i="199"/>
  <c r="AM40" i="199" s="1"/>
  <c r="W14" i="191"/>
  <c r="AG43" i="193"/>
  <c r="AJ38" i="196"/>
  <c r="W43" i="206"/>
  <c r="AB43" i="206"/>
  <c r="AM43" i="206" s="1"/>
  <c r="AD39" i="196"/>
  <c r="AC44" i="196"/>
  <c r="AK38" i="197"/>
  <c r="AF46" i="194"/>
  <c r="AK38" i="196"/>
  <c r="AG41" i="196"/>
  <c r="AF45" i="191"/>
  <c r="W30" i="193"/>
  <c r="AG44" i="193"/>
  <c r="W32" i="191"/>
  <c r="AF45" i="203"/>
  <c r="AC38" i="199"/>
  <c r="AF42" i="195"/>
  <c r="AD41" i="191"/>
  <c r="AD39" i="191"/>
  <c r="AC44" i="191"/>
  <c r="AD42" i="193"/>
  <c r="AF41" i="192"/>
  <c r="W11" i="193"/>
  <c r="AE42" i="192"/>
  <c r="AJ40" i="202"/>
  <c r="AE45" i="197"/>
  <c r="AG39" i="203"/>
  <c r="W42" i="203"/>
  <c r="AB42" i="203"/>
  <c r="AM42" i="203" s="1"/>
  <c r="W15" i="197"/>
  <c r="AI39" i="199"/>
  <c r="W21" i="204"/>
  <c r="W16" i="199"/>
  <c r="AI43" i="203"/>
  <c r="AE46" i="199"/>
  <c r="W8" i="191"/>
  <c r="AC38" i="204"/>
  <c r="W39" i="211"/>
  <c r="AB39" i="211"/>
  <c r="AM39" i="211" s="1"/>
  <c r="W29" i="201"/>
  <c r="AH38" i="200"/>
  <c r="AE44" i="195"/>
  <c r="W35" i="198"/>
  <c r="AH41" i="37"/>
  <c r="AF43" i="37"/>
  <c r="AE38" i="197"/>
  <c r="AK45" i="199"/>
  <c r="AF40" i="191"/>
  <c r="AH44" i="37"/>
  <c r="W26" i="37"/>
  <c r="E26" i="73"/>
  <c r="W7" i="37"/>
  <c r="E7" i="73"/>
  <c r="AK41" i="203"/>
  <c r="W11" i="191"/>
  <c r="W41" i="37"/>
  <c r="AB41" i="37"/>
  <c r="AM41" i="37" s="1"/>
  <c r="W31" i="191"/>
  <c r="AG44" i="199"/>
  <c r="W3" i="211"/>
  <c r="W13" i="192"/>
  <c r="AK44" i="193"/>
  <c r="AF39" i="192"/>
  <c r="AH42" i="199"/>
  <c r="AD43" i="198"/>
  <c r="AD43" i="196"/>
  <c r="W28" i="206"/>
  <c r="AI44" i="194"/>
  <c r="W34" i="193"/>
  <c r="W12" i="200"/>
  <c r="W19" i="197"/>
  <c r="AF44" i="194"/>
  <c r="W26" i="196"/>
  <c r="AH40" i="208"/>
  <c r="W4" i="192"/>
  <c r="W37" i="197"/>
  <c r="AG39" i="196"/>
  <c r="W18" i="193"/>
  <c r="AG42" i="198"/>
  <c r="W17" i="197"/>
  <c r="AC44" i="195"/>
  <c r="W32" i="196"/>
  <c r="AC43" i="195"/>
  <c r="W41" i="193"/>
  <c r="AB41" i="193"/>
  <c r="AM41" i="193" s="1"/>
  <c r="W7" i="196"/>
  <c r="W46" i="192"/>
  <c r="AB46" i="192"/>
  <c r="AM46" i="192" s="1"/>
  <c r="W31" i="201"/>
  <c r="AD41" i="196"/>
  <c r="AK43" i="194"/>
  <c r="AD41" i="201"/>
  <c r="AD44" i="197"/>
  <c r="AH43" i="203"/>
  <c r="AD43" i="197"/>
  <c r="AK44" i="197"/>
  <c r="W46" i="197"/>
  <c r="AB46" i="197"/>
  <c r="AM46" i="197" s="1"/>
  <c r="AF45" i="194"/>
  <c r="AH41" i="199"/>
  <c r="AC43" i="194"/>
  <c r="AH46" i="198"/>
  <c r="AE39" i="206"/>
  <c r="W31" i="196"/>
  <c r="W38" i="203"/>
  <c r="AB38" i="203"/>
  <c r="AM38" i="203" s="1"/>
  <c r="AG44" i="204"/>
  <c r="AC39" i="195"/>
  <c r="W43" i="196"/>
  <c r="AB43" i="196"/>
  <c r="AM43" i="196" s="1"/>
  <c r="AI41" i="191"/>
  <c r="AF46" i="198"/>
  <c r="AH43" i="194"/>
  <c r="AE43" i="37"/>
  <c r="AF45" i="197"/>
  <c r="AC39" i="192"/>
  <c r="AD43" i="37"/>
  <c r="AK39" i="205"/>
  <c r="W35" i="192"/>
  <c r="AI38" i="193"/>
  <c r="AD42" i="194"/>
  <c r="AG38" i="191"/>
  <c r="W3" i="193"/>
  <c r="W15" i="191"/>
  <c r="AC41" i="37"/>
  <c r="AC42" i="199"/>
  <c r="AK39" i="201"/>
  <c r="AF39" i="191"/>
  <c r="AF40" i="196"/>
  <c r="AG42" i="191"/>
  <c r="AH43" i="201"/>
  <c r="AH40" i="195"/>
  <c r="AI45" i="191"/>
  <c r="W24" i="195"/>
  <c r="AD45" i="191"/>
  <c r="AK38" i="195"/>
  <c r="AE43" i="200"/>
  <c r="AI39" i="204"/>
  <c r="AH43" i="207"/>
  <c r="AC42" i="194"/>
  <c r="AE40" i="199"/>
  <c r="AJ41" i="210"/>
  <c r="AG40" i="37"/>
  <c r="AF46" i="37"/>
  <c r="AH42" i="194"/>
  <c r="W12" i="196"/>
  <c r="AE44" i="202"/>
  <c r="AE43" i="198"/>
  <c r="W8" i="196"/>
  <c r="AG41" i="204"/>
  <c r="W4" i="194"/>
  <c r="AD39" i="193"/>
  <c r="AD45" i="192"/>
  <c r="W38" i="200"/>
  <c r="AB38" i="200"/>
  <c r="AM38" i="200" s="1"/>
  <c r="AE38" i="194"/>
  <c r="AI46" i="191"/>
  <c r="W16" i="207"/>
  <c r="AK44" i="195"/>
  <c r="AI40" i="207"/>
  <c r="AI46" i="199"/>
  <c r="AE38" i="199"/>
  <c r="AC40" i="201"/>
  <c r="W27" i="194"/>
  <c r="AG43" i="200"/>
  <c r="AI41" i="194"/>
  <c r="AJ42" i="192"/>
  <c r="W38" i="194"/>
  <c r="AB38" i="194"/>
  <c r="AM38" i="194" s="1"/>
  <c r="AI43" i="209"/>
  <c r="W45" i="195"/>
  <c r="AB45" i="195"/>
  <c r="AM45" i="195" s="1"/>
  <c r="AH44" i="206"/>
  <c r="AE40" i="37"/>
  <c r="AH46" i="37"/>
  <c r="W29" i="203"/>
  <c r="AJ45" i="192"/>
  <c r="AC42" i="193"/>
  <c r="AI41" i="196"/>
  <c r="AC46" i="198"/>
  <c r="AF46" i="192"/>
  <c r="AI44" i="195"/>
  <c r="AH45" i="192"/>
  <c r="AC46" i="191"/>
  <c r="W13" i="197"/>
  <c r="W34" i="201"/>
  <c r="W13" i="203"/>
  <c r="AJ45" i="193"/>
  <c r="AI45" i="197"/>
  <c r="W22" i="191"/>
  <c r="AF39" i="201"/>
  <c r="W23" i="201"/>
  <c r="AJ43" i="193"/>
  <c r="AD41" i="195"/>
  <c r="AE45" i="200"/>
  <c r="W38" i="193"/>
  <c r="AB38" i="193"/>
  <c r="AM38" i="193" s="1"/>
  <c r="AI46" i="192"/>
  <c r="AK43" i="193"/>
  <c r="W33" i="195"/>
  <c r="AJ40" i="194"/>
  <c r="AG42" i="194"/>
  <c r="W46" i="191"/>
  <c r="AB46" i="191"/>
  <c r="AM46" i="191" s="1"/>
  <c r="AJ39" i="208"/>
  <c r="W27" i="199"/>
  <c r="W25" i="199"/>
  <c r="AF45" i="192"/>
  <c r="AK40" i="191"/>
  <c r="AI42" i="191"/>
  <c r="AK39" i="197"/>
  <c r="AJ43" i="194"/>
  <c r="AH43" i="37"/>
  <c r="AK41" i="192"/>
  <c r="AD40" i="193"/>
  <c r="AI43" i="199"/>
  <c r="AD45" i="196"/>
  <c r="AE43" i="196"/>
  <c r="AE44" i="197"/>
  <c r="AG40" i="199"/>
  <c r="AE38" i="198"/>
  <c r="W30" i="204"/>
  <c r="AC41" i="202"/>
  <c r="AJ38" i="207"/>
  <c r="AI44" i="201"/>
  <c r="AJ45" i="194"/>
  <c r="AK43" i="203"/>
  <c r="AG46" i="194"/>
  <c r="AD43" i="195"/>
  <c r="W41" i="203"/>
  <c r="AB41" i="203"/>
  <c r="AM41" i="203" s="1"/>
  <c r="W44" i="201"/>
  <c r="AB44" i="201"/>
  <c r="AM44" i="201" s="1"/>
  <c r="AC39" i="200"/>
  <c r="AF43" i="193"/>
  <c r="AJ39" i="194"/>
  <c r="W6" i="197"/>
  <c r="W3" i="206"/>
  <c r="AG42" i="202"/>
  <c r="AI41" i="206"/>
  <c r="W46" i="200"/>
  <c r="AB46" i="200"/>
  <c r="AM46" i="200" s="1"/>
  <c r="W33" i="197"/>
  <c r="AI39" i="208"/>
  <c r="W15" i="193"/>
  <c r="AE40" i="192"/>
  <c r="W36" i="207"/>
  <c r="AF42" i="192"/>
  <c r="AH39" i="195"/>
  <c r="W24" i="200"/>
  <c r="W41" i="195"/>
  <c r="AB41" i="195"/>
  <c r="AM41" i="195" s="1"/>
  <c r="AD38" i="191"/>
  <c r="W13" i="200"/>
  <c r="W37" i="191"/>
  <c r="AJ40" i="200"/>
  <c r="AI43" i="191"/>
  <c r="AJ42" i="191"/>
  <c r="W36" i="191"/>
  <c r="W13" i="201"/>
  <c r="W43" i="37"/>
  <c r="AB43" i="37"/>
  <c r="AM43" i="37" s="1"/>
  <c r="W31" i="194"/>
  <c r="AK38" i="194"/>
  <c r="W26" i="197"/>
  <c r="AE45" i="193"/>
  <c r="AF44" i="200"/>
  <c r="AD38" i="195"/>
  <c r="AE42" i="201"/>
  <c r="AF45" i="198"/>
  <c r="AE44" i="199"/>
  <c r="AJ40" i="191"/>
  <c r="W37" i="194"/>
  <c r="AI39" i="191"/>
  <c r="W31" i="200"/>
  <c r="AJ42" i="197"/>
  <c r="AH38" i="192"/>
  <c r="W8" i="199"/>
  <c r="AJ41" i="206"/>
  <c r="W9" i="199"/>
  <c r="W18" i="205"/>
  <c r="AH44" i="193"/>
  <c r="W32" i="195"/>
  <c r="W24" i="193"/>
  <c r="AD43" i="199"/>
  <c r="AI40" i="198"/>
  <c r="AF43" i="200"/>
  <c r="W41" i="191"/>
  <c r="AB41" i="191"/>
  <c r="AM41" i="191" s="1"/>
  <c r="AH46" i="199"/>
  <c r="AE45" i="191"/>
  <c r="AJ44" i="209"/>
  <c r="AE45" i="192"/>
  <c r="W2" i="195"/>
  <c r="E23" i="73"/>
  <c r="W23" i="37"/>
  <c r="AC40" i="37"/>
  <c r="W37" i="196"/>
  <c r="E25" i="73"/>
  <c r="W25" i="37"/>
  <c r="W34" i="207"/>
  <c r="AE44" i="204"/>
  <c r="W17" i="210"/>
  <c r="AK42" i="194"/>
  <c r="W8" i="198"/>
  <c r="AG46" i="203"/>
  <c r="AD38" i="192"/>
  <c r="AK44" i="202"/>
  <c r="W7" i="203"/>
  <c r="W4" i="191"/>
  <c r="AE42" i="199"/>
  <c r="W38" i="208"/>
  <c r="AB38" i="208"/>
  <c r="AM38" i="208" s="1"/>
  <c r="AE41" i="196"/>
  <c r="AJ40" i="196"/>
  <c r="AC40" i="198"/>
  <c r="W11" i="194"/>
  <c r="W38" i="196"/>
  <c r="AB38" i="196"/>
  <c r="AM38" i="196" s="1"/>
  <c r="W20" i="201"/>
  <c r="AJ38" i="200"/>
  <c r="AI43" i="200"/>
  <c r="AC44" i="193"/>
  <c r="W38" i="206"/>
  <c r="AB38" i="206"/>
  <c r="AM38" i="206" s="1"/>
  <c r="AE42" i="204"/>
  <c r="AC45" i="196"/>
  <c r="AI42" i="205"/>
  <c r="W39" i="206"/>
  <c r="AB39" i="206"/>
  <c r="AM39" i="206" s="1"/>
  <c r="E13" i="73"/>
  <c r="W13" i="37"/>
  <c r="AF46" i="202"/>
  <c r="W34" i="194"/>
  <c r="AG41" i="192"/>
  <c r="W41" i="198"/>
  <c r="AB41" i="198"/>
  <c r="AM41" i="198" s="1"/>
  <c r="W9" i="191"/>
  <c r="AJ40" i="199"/>
  <c r="AG38" i="198"/>
  <c r="AK39" i="195"/>
  <c r="AJ44" i="206"/>
  <c r="AD38" i="205"/>
  <c r="AF45" i="193"/>
  <c r="AD43" i="203"/>
  <c r="W26" i="200"/>
  <c r="AG46" i="197"/>
  <c r="W23" i="200"/>
  <c r="AG39" i="192"/>
  <c r="AI44" i="192"/>
  <c r="AD42" i="191"/>
  <c r="W21" i="198"/>
  <c r="W39" i="37"/>
  <c r="AB39" i="37"/>
  <c r="AM39" i="37" s="1"/>
  <c r="AJ46" i="208"/>
  <c r="AD41" i="199"/>
  <c r="AI43" i="196"/>
  <c r="AH43" i="206"/>
  <c r="W20" i="196"/>
  <c r="W30" i="206"/>
  <c r="W9" i="195"/>
  <c r="AK42" i="193"/>
  <c r="AE40" i="198"/>
  <c r="AK44" i="199"/>
  <c r="AE46" i="37"/>
  <c r="AC45" i="37"/>
  <c r="AG38" i="37"/>
  <c r="AG39" i="195"/>
  <c r="AG43" i="192"/>
  <c r="AF42" i="191"/>
  <c r="AG45" i="194"/>
  <c r="W16" i="202"/>
  <c r="AF40" i="201"/>
  <c r="AK39" i="193"/>
  <c r="W25" i="205"/>
  <c r="AD46" i="191"/>
  <c r="AK40" i="193"/>
  <c r="AG45" i="199"/>
  <c r="AK40" i="200"/>
  <c r="AH45" i="200"/>
  <c r="W46" i="206"/>
  <c r="AB46" i="206"/>
  <c r="AM46" i="206" s="1"/>
  <c r="AK41" i="200"/>
  <c r="W25" i="207"/>
  <c r="W14" i="195"/>
  <c r="AF39" i="200"/>
  <c r="AE40" i="197"/>
  <c r="AI39" i="195"/>
  <c r="AE38" i="193"/>
  <c r="AJ45" i="195"/>
  <c r="AF42" i="204"/>
  <c r="AH38" i="201"/>
  <c r="W36" i="209"/>
  <c r="AH44" i="208"/>
  <c r="AK41" i="205"/>
  <c r="W18" i="192"/>
  <c r="AF42" i="193"/>
  <c r="W37" i="198"/>
  <c r="AC38" i="193"/>
  <c r="W4" i="202"/>
  <c r="AD45" i="37"/>
  <c r="AJ42" i="203"/>
  <c r="W22" i="205"/>
  <c r="W30" i="202"/>
  <c r="AC46" i="196"/>
  <c r="E12" i="73"/>
  <c r="W12" i="37"/>
  <c r="W9" i="197"/>
  <c r="AE39" i="194"/>
  <c r="W35" i="204"/>
  <c r="W11" i="198"/>
  <c r="AI46" i="200"/>
  <c r="AJ42" i="194"/>
  <c r="AE42" i="193"/>
  <c r="AC41" i="201"/>
  <c r="W17" i="195"/>
  <c r="AE44" i="193"/>
  <c r="AC44" i="197"/>
  <c r="W15" i="196"/>
  <c r="W5" i="195"/>
  <c r="AD46" i="193"/>
  <c r="AF46" i="195"/>
  <c r="AC43" i="200"/>
  <c r="W2" i="37"/>
  <c r="E2" i="73"/>
  <c r="E27" i="73"/>
  <c r="W27" i="37"/>
  <c r="AE45" i="37"/>
  <c r="AJ41" i="193"/>
  <c r="AG41" i="200"/>
  <c r="W5" i="203"/>
  <c r="AG43" i="194"/>
  <c r="W7" i="199"/>
  <c r="AJ46" i="192"/>
  <c r="AJ41" i="200"/>
  <c r="W27" i="207"/>
  <c r="AK41" i="197"/>
  <c r="AK40" i="37"/>
  <c r="W18" i="200"/>
  <c r="W23" i="196"/>
  <c r="W18" i="196"/>
  <c r="W15" i="192"/>
  <c r="W35" i="194"/>
  <c r="AD39" i="192"/>
  <c r="W3" i="203"/>
  <c r="W3" i="198"/>
  <c r="AG40" i="193"/>
  <c r="AH39" i="201"/>
  <c r="W3" i="201"/>
  <c r="AE39" i="196"/>
  <c r="AG45" i="193"/>
  <c r="AE42" i="191"/>
  <c r="AJ44" i="203"/>
  <c r="AJ41" i="202"/>
  <c r="AH38" i="191"/>
  <c r="AH41" i="204"/>
  <c r="W40" i="197"/>
  <c r="AB40" i="197"/>
  <c r="AM40" i="197" s="1"/>
  <c r="W8" i="207"/>
  <c r="AK45" i="192"/>
  <c r="W35" i="191"/>
  <c r="W25" i="194"/>
  <c r="AK38" i="193"/>
  <c r="AI45" i="198"/>
  <c r="AC43" i="37"/>
  <c r="AF41" i="210"/>
  <c r="AJ44" i="204"/>
  <c r="AG39" i="199"/>
  <c r="AG46" i="200"/>
  <c r="AD46" i="197"/>
  <c r="W39" i="204"/>
  <c r="AB39" i="204"/>
  <c r="AM39" i="204" s="1"/>
  <c r="AC39" i="37"/>
  <c r="W16" i="206"/>
  <c r="AJ43" i="208"/>
  <c r="W21" i="200"/>
  <c r="W13" i="198"/>
  <c r="AD41" i="37"/>
  <c r="AD45" i="194"/>
  <c r="E30" i="73"/>
  <c r="W30" i="37"/>
  <c r="AJ41" i="192"/>
  <c r="W34" i="196"/>
  <c r="AI40" i="193"/>
  <c r="W21" i="201"/>
  <c r="W10" i="195"/>
  <c r="W13" i="196"/>
  <c r="AE44" i="192"/>
  <c r="AD44" i="192"/>
  <c r="W40" i="191"/>
  <c r="AB40" i="191"/>
  <c r="AM40" i="191" s="1"/>
  <c r="AF45" i="205"/>
  <c r="AE40" i="193"/>
  <c r="AK39" i="191"/>
  <c r="AJ46" i="195"/>
  <c r="AD38" i="198"/>
  <c r="AK40" i="201"/>
  <c r="AC43" i="199"/>
  <c r="AF45" i="196"/>
  <c r="AK45" i="37"/>
  <c r="AK38" i="37"/>
  <c r="AK38" i="198"/>
  <c r="W35" i="205"/>
  <c r="AJ44" i="196"/>
  <c r="AE43" i="191"/>
  <c r="W8" i="197"/>
  <c r="AD46" i="202"/>
  <c r="AH43" i="197"/>
  <c r="AH39" i="203"/>
  <c r="AC39" i="194"/>
  <c r="AD44" i="195"/>
  <c r="AI42" i="192"/>
  <c r="W31" i="192"/>
  <c r="AG41" i="195"/>
  <c r="AF38" i="37"/>
  <c r="AE46" i="200"/>
  <c r="W23" i="192"/>
  <c r="AJ39" i="192"/>
  <c r="W42" i="194"/>
  <c r="AB42" i="194"/>
  <c r="AM42" i="194" s="1"/>
  <c r="AD44" i="194"/>
  <c r="W20" i="191"/>
  <c r="W6" i="191"/>
  <c r="AK40" i="192"/>
  <c r="W30" i="195"/>
  <c r="AK44" i="203"/>
  <c r="AK41" i="208"/>
  <c r="W3" i="197"/>
  <c r="AI39" i="200"/>
  <c r="AI44" i="196"/>
  <c r="AD45" i="197"/>
  <c r="W11" i="203"/>
  <c r="AG45" i="197"/>
  <c r="W7" i="200"/>
  <c r="AK38" i="203"/>
  <c r="W31" i="193"/>
  <c r="AD46" i="199"/>
  <c r="W46" i="201"/>
  <c r="AB46" i="201"/>
  <c r="AM46" i="201" s="1"/>
  <c r="AD43" i="204"/>
  <c r="W25" i="203"/>
  <c r="W5" i="192"/>
  <c r="AD42" i="197"/>
  <c r="W8" i="194"/>
  <c r="W40" i="192"/>
  <c r="AB40" i="192"/>
  <c r="AM40" i="192" s="1"/>
  <c r="W28" i="200"/>
  <c r="AH43" i="191"/>
  <c r="AG42" i="200"/>
  <c r="W21" i="196"/>
  <c r="AK46" i="214"/>
  <c r="W29" i="208"/>
  <c r="AD40" i="198"/>
  <c r="AF46" i="200"/>
  <c r="AD42" i="203"/>
  <c r="AI44" i="202"/>
  <c r="W39" i="196"/>
  <c r="AB39" i="196"/>
  <c r="AM39" i="196" s="1"/>
  <c r="W3" i="196"/>
  <c r="W41" i="207"/>
  <c r="AB41" i="207"/>
  <c r="AM41" i="207" s="1"/>
  <c r="AG38" i="204"/>
  <c r="AC41" i="211"/>
  <c r="W2" i="202"/>
  <c r="AE39" i="207"/>
  <c r="AF42" i="198"/>
  <c r="AF40" i="202"/>
  <c r="AI46" i="194"/>
  <c r="AB43" i="201"/>
  <c r="AM43" i="201" s="1"/>
  <c r="W43" i="201"/>
  <c r="AH42" i="192"/>
  <c r="W33" i="200"/>
  <c r="AE46" i="191"/>
  <c r="AG40" i="197"/>
  <c r="W12" i="192"/>
  <c r="AG42" i="199"/>
  <c r="AK45" i="200"/>
  <c r="AK43" i="201"/>
  <c r="AK41" i="196"/>
  <c r="AJ46" i="200"/>
  <c r="AH46" i="191"/>
  <c r="AD42" i="204"/>
  <c r="AK40" i="208"/>
  <c r="AG40" i="198"/>
  <c r="AG39" i="198"/>
  <c r="AF40" i="198"/>
  <c r="AG45" i="195"/>
  <c r="AI44" i="197"/>
  <c r="AD40" i="201"/>
  <c r="W4" i="196"/>
  <c r="AG46" i="195"/>
  <c r="AE43" i="209"/>
  <c r="AF43" i="203"/>
  <c r="W45" i="210"/>
  <c r="AB45" i="210"/>
  <c r="AM45" i="210" s="1"/>
  <c r="W13" i="202"/>
  <c r="W19" i="209"/>
  <c r="AF43" i="211"/>
  <c r="W24" i="191"/>
  <c r="W18" i="191"/>
  <c r="AD46" i="196"/>
  <c r="AH40" i="191"/>
  <c r="AG40" i="202"/>
  <c r="AG43" i="203"/>
  <c r="W32" i="200"/>
  <c r="AF39" i="206"/>
  <c r="W20" i="205"/>
  <c r="AH43" i="199"/>
  <c r="AG40" i="195"/>
  <c r="AJ38" i="191"/>
  <c r="W18" i="201"/>
  <c r="AD46" i="198"/>
  <c r="AK40" i="203"/>
  <c r="AI42" i="197"/>
  <c r="AH44" i="200"/>
  <c r="W27" i="198"/>
  <c r="AJ39" i="204"/>
  <c r="AF45" i="204"/>
  <c r="AH46" i="209"/>
  <c r="W10" i="203"/>
  <c r="W8" i="203"/>
  <c r="AE40" i="209"/>
  <c r="AC40" i="205"/>
  <c r="AI43" i="202"/>
  <c r="AI43" i="194"/>
  <c r="W10" i="196"/>
  <c r="AJ42" i="205"/>
  <c r="W39" i="208"/>
  <c r="AB39" i="208"/>
  <c r="AM39" i="208" s="1"/>
  <c r="W27" i="213"/>
  <c r="AI38" i="202"/>
  <c r="AD39" i="203"/>
  <c r="AK44" i="212"/>
  <c r="W21" i="191"/>
  <c r="W16" i="195"/>
  <c r="W33" i="196"/>
  <c r="W44" i="202"/>
  <c r="AB44" i="202"/>
  <c r="AM44" i="202" s="1"/>
  <c r="W35" i="213"/>
  <c r="W22" i="195"/>
  <c r="W36" i="197"/>
  <c r="W17" i="203"/>
  <c r="W45" i="197"/>
  <c r="AB45" i="197"/>
  <c r="AM45" i="197" s="1"/>
  <c r="W11" i="200"/>
  <c r="AD38" i="201"/>
  <c r="AG46" i="204"/>
  <c r="AH42" i="207"/>
  <c r="W26" i="191"/>
  <c r="AI41" i="192"/>
  <c r="AF41" i="194"/>
  <c r="AK39" i="202"/>
  <c r="AE46" i="194"/>
  <c r="W32" i="197"/>
  <c r="AE40" i="211"/>
  <c r="W24" i="207"/>
  <c r="AC38" i="202"/>
  <c r="W17" i="194"/>
  <c r="AH42" i="205"/>
  <c r="W33" i="208"/>
  <c r="AE46" i="202"/>
  <c r="AJ44" i="199"/>
  <c r="AG42" i="209"/>
  <c r="W34" i="203"/>
  <c r="AD39" i="198"/>
  <c r="AC39" i="197"/>
  <c r="AJ44" i="193"/>
  <c r="W5" i="209"/>
  <c r="AH43" i="205"/>
  <c r="W31" i="202"/>
  <c r="AE45" i="208"/>
  <c r="AH44" i="202"/>
  <c r="AC39" i="203"/>
  <c r="W8" i="204"/>
  <c r="W10" i="209"/>
  <c r="W11" i="214"/>
  <c r="AI38" i="210"/>
  <c r="AJ40" i="203"/>
  <c r="AF46" i="203"/>
  <c r="AK42" i="203"/>
  <c r="AF39" i="198"/>
  <c r="AI40" i="196"/>
  <c r="AE39" i="195"/>
  <c r="AF46" i="196"/>
  <c r="W14" i="199"/>
  <c r="AF44" i="197"/>
  <c r="W17" i="202"/>
  <c r="AE39" i="191"/>
  <c r="AI44" i="198"/>
  <c r="W20" i="210"/>
  <c r="W31" i="198"/>
  <c r="AI43" i="192"/>
  <c r="W30" i="194"/>
  <c r="AF39" i="204"/>
  <c r="AG39" i="206"/>
  <c r="AI46" i="202"/>
  <c r="W41" i="199"/>
  <c r="AB41" i="199"/>
  <c r="AM41" i="199" s="1"/>
  <c r="AE45" i="204"/>
  <c r="AI40" i="194"/>
  <c r="AG38" i="193"/>
  <c r="AH45" i="193"/>
  <c r="AK42" i="202"/>
  <c r="AF41" i="199"/>
  <c r="W20" i="203"/>
  <c r="AC42" i="208"/>
  <c r="AJ46" i="202"/>
  <c r="AH39" i="204"/>
  <c r="W37" i="212"/>
  <c r="AD46" i="194"/>
  <c r="AE41" i="208"/>
  <c r="W42" i="198"/>
  <c r="AB42" i="198"/>
  <c r="AM42" i="198" s="1"/>
  <c r="AD38" i="203"/>
  <c r="AK42" i="192"/>
  <c r="W27" i="197"/>
  <c r="AE46" i="198"/>
  <c r="W34" i="195"/>
  <c r="W35" i="193"/>
  <c r="W30" i="192"/>
  <c r="AG38" i="200"/>
  <c r="AJ42" i="195"/>
  <c r="AD44" i="199"/>
  <c r="W36" i="193"/>
  <c r="W40" i="194"/>
  <c r="AB40" i="194"/>
  <c r="AM40" i="194" s="1"/>
  <c r="AC38" i="194"/>
  <c r="AF42" i="199"/>
  <c r="AF43" i="199"/>
  <c r="W46" i="193"/>
  <c r="AB46" i="193"/>
  <c r="AM46" i="193" s="1"/>
  <c r="AJ44" i="198"/>
  <c r="AF40" i="200"/>
  <c r="AG41" i="194"/>
  <c r="W5" i="200"/>
  <c r="W24" i="204"/>
  <c r="AE46" i="207"/>
  <c r="AJ40" i="205"/>
  <c r="AD46" i="204"/>
  <c r="AH38" i="198"/>
  <c r="AG39" i="200"/>
  <c r="W7" i="204"/>
  <c r="W13" i="199"/>
  <c r="AK41" i="194"/>
  <c r="AD42" i="202"/>
  <c r="W11" i="201"/>
  <c r="W11" i="207"/>
  <c r="AH43" i="210"/>
  <c r="W2" i="205"/>
  <c r="AG43" i="206"/>
  <c r="AG43" i="214"/>
  <c r="AF41" i="197"/>
  <c r="W21" i="202"/>
  <c r="AI39" i="201"/>
  <c r="W18" i="203"/>
  <c r="AC46" i="195"/>
  <c r="AD40" i="197"/>
  <c r="AI39" i="193"/>
  <c r="W14" i="210"/>
  <c r="AC38" i="200"/>
  <c r="W44" i="192"/>
  <c r="AB44" i="192"/>
  <c r="AM44" i="192" s="1"/>
  <c r="W38" i="197"/>
  <c r="AB38" i="197"/>
  <c r="AM38" i="197" s="1"/>
  <c r="AK45" i="196"/>
  <c r="AJ40" i="197"/>
  <c r="AG44" i="191"/>
  <c r="AJ42" i="199"/>
  <c r="AK45" i="203"/>
  <c r="AI38" i="201"/>
  <c r="AG40" i="201"/>
  <c r="AI41" i="193"/>
  <c r="AI42" i="204"/>
  <c r="AC43" i="192"/>
  <c r="W14" i="196"/>
  <c r="AD43" i="202"/>
  <c r="W35" i="202"/>
  <c r="AH43" i="198"/>
  <c r="AD42" i="195"/>
  <c r="W31" i="203"/>
  <c r="AC46" i="193"/>
  <c r="AJ46" i="191"/>
  <c r="W26" i="203"/>
  <c r="AF42" i="206"/>
  <c r="W7" i="208"/>
  <c r="W22" i="193"/>
  <c r="AJ44" i="194"/>
  <c r="AC46" i="203"/>
  <c r="W25" i="209"/>
  <c r="AD38" i="197"/>
  <c r="AF39" i="194"/>
  <c r="AE39" i="205"/>
  <c r="AI44" i="205"/>
  <c r="W23" i="209"/>
  <c r="AI41" i="201"/>
  <c r="W39" i="192"/>
  <c r="AB39" i="192"/>
  <c r="AM39" i="192" s="1"/>
  <c r="AH41" i="191"/>
  <c r="AD40" i="209"/>
  <c r="AE46" i="196"/>
  <c r="W6" i="196"/>
  <c r="W43" i="203"/>
  <c r="AB43" i="203"/>
  <c r="AM43" i="203" s="1"/>
  <c r="AJ38" i="205"/>
  <c r="AD44" i="204"/>
  <c r="AG43" i="204"/>
  <c r="W17" i="199"/>
  <c r="AH41" i="209"/>
  <c r="AK40" i="212"/>
  <c r="AD39" i="208"/>
  <c r="W31" i="208"/>
  <c r="AG44" i="202"/>
  <c r="AI40" i="200"/>
  <c r="AC40" i="193"/>
  <c r="AE41" i="202"/>
  <c r="AG38" i="196"/>
  <c r="AE42" i="210"/>
  <c r="AC39" i="198"/>
  <c r="AF41" i="205"/>
  <c r="AD42" i="208"/>
  <c r="W4" i="193"/>
  <c r="W37" i="202"/>
  <c r="W41" i="197"/>
  <c r="AB41" i="197"/>
  <c r="AM41" i="197" s="1"/>
  <c r="W41" i="200"/>
  <c r="AB41" i="200"/>
  <c r="AM41" i="200" s="1"/>
  <c r="AJ44" i="202"/>
  <c r="AD45" i="210"/>
  <c r="W38" i="199"/>
  <c r="AB38" i="199"/>
  <c r="AM38" i="199" s="1"/>
  <c r="AE42" i="202"/>
  <c r="AI44" i="204"/>
  <c r="AK46" i="202"/>
  <c r="W33" i="202"/>
  <c r="W43" i="204"/>
  <c r="AB43" i="204"/>
  <c r="AM43" i="204" s="1"/>
  <c r="AJ46" i="196"/>
  <c r="AD44" i="200"/>
  <c r="AH43" i="193"/>
  <c r="W18" i="202"/>
  <c r="AI40" i="203"/>
  <c r="W37" i="195"/>
  <c r="W18" i="198"/>
  <c r="W16" i="201"/>
  <c r="AJ42" i="201"/>
  <c r="W38" i="192"/>
  <c r="AB38" i="192"/>
  <c r="AM38" i="192" s="1"/>
  <c r="AD46" i="201"/>
  <c r="AF43" i="204"/>
  <c r="AJ42" i="196"/>
  <c r="W45" i="209"/>
  <c r="AB45" i="209"/>
  <c r="AM45" i="209" s="1"/>
  <c r="AJ40" i="198"/>
  <c r="AK44" i="192"/>
  <c r="W42" i="205"/>
  <c r="AB42" i="205"/>
  <c r="AM42" i="205" s="1"/>
  <c r="AK40" i="211"/>
  <c r="W32" i="198"/>
  <c r="W23" i="197"/>
  <c r="AH39" i="209"/>
  <c r="W29" i="199"/>
  <c r="AK38" i="199"/>
  <c r="AK42" i="201"/>
  <c r="AE45" i="202"/>
  <c r="AD45" i="193"/>
  <c r="AK38" i="205"/>
  <c r="AI43" i="211"/>
  <c r="AC40" i="200"/>
  <c r="W33" i="207"/>
  <c r="AC45" i="207"/>
  <c r="AJ43" i="196"/>
  <c r="W46" i="199"/>
  <c r="AB46" i="199"/>
  <c r="AM46" i="199" s="1"/>
  <c r="AD39" i="207"/>
  <c r="W28" i="201"/>
  <c r="W21" i="205"/>
  <c r="W8" i="195"/>
  <c r="W7" i="207"/>
  <c r="AC45" i="197"/>
  <c r="AH44" i="198"/>
  <c r="W25" i="196"/>
  <c r="AI39" i="194"/>
  <c r="AC41" i="197"/>
  <c r="W14" i="205"/>
  <c r="AI42" i="196"/>
  <c r="AH39" i="196"/>
  <c r="W31" i="204"/>
  <c r="AJ41" i="199"/>
  <c r="W16" i="203"/>
  <c r="AC41" i="195"/>
  <c r="AF41" i="201"/>
  <c r="W15" i="208"/>
  <c r="AH44" i="191"/>
  <c r="W39" i="195"/>
  <c r="AB39" i="195"/>
  <c r="AM39" i="195" s="1"/>
  <c r="AI38" i="206"/>
  <c r="W16" i="193"/>
  <c r="W27" i="202"/>
  <c r="AE44" i="207"/>
  <c r="AI43" i="205"/>
  <c r="AJ40" i="195"/>
  <c r="AC42" i="204"/>
  <c r="W26" i="198"/>
  <c r="AC41" i="206"/>
  <c r="AH46" i="194"/>
  <c r="W12" i="203"/>
  <c r="W22" i="194"/>
  <c r="W41" i="206"/>
  <c r="AB41" i="206"/>
  <c r="AM41" i="206" s="1"/>
  <c r="AJ40" i="206"/>
  <c r="AK39" i="212"/>
  <c r="AJ39" i="198"/>
  <c r="AF42" i="200"/>
  <c r="AC41" i="191"/>
  <c r="W44" i="196"/>
  <c r="AB44" i="196"/>
  <c r="AM44" i="196" s="1"/>
  <c r="W5" i="197"/>
  <c r="W26" i="199"/>
  <c r="W8" i="192"/>
  <c r="AG40" i="191"/>
  <c r="AJ42" i="198"/>
  <c r="W16" i="194"/>
  <c r="AE41" i="198"/>
  <c r="W33" i="206"/>
  <c r="AD41" i="197"/>
  <c r="W7" i="202"/>
  <c r="W45" i="205"/>
  <c r="AB45" i="205"/>
  <c r="AM45" i="205" s="1"/>
  <c r="AK44" i="204"/>
  <c r="W29" i="196"/>
  <c r="AC44" i="201"/>
  <c r="W2" i="204"/>
  <c r="AC46" i="214"/>
  <c r="W24" i="205"/>
  <c r="AG41" i="201"/>
  <c r="AG44" i="205"/>
  <c r="AK44" i="201"/>
  <c r="AE38" i="195"/>
  <c r="AI44" i="191"/>
  <c r="AH42" i="206"/>
  <c r="W45" i="201"/>
  <c r="AB45" i="201"/>
  <c r="AM45" i="201" s="1"/>
  <c r="AD39" i="204"/>
  <c r="W44" i="198"/>
  <c r="AB44" i="198"/>
  <c r="AM44" i="198" s="1"/>
  <c r="AD41" i="193"/>
  <c r="W35" i="199"/>
  <c r="AH44" i="204"/>
  <c r="AG46" i="199"/>
  <c r="W9" i="201"/>
  <c r="AC45" i="195"/>
  <c r="AG40" i="205"/>
  <c r="AE40" i="202"/>
  <c r="AC42" i="207"/>
  <c r="AC46" i="201"/>
  <c r="AJ42" i="200"/>
  <c r="AH39" i="199"/>
  <c r="AD38" i="206"/>
  <c r="AG42" i="192"/>
  <c r="AI38" i="192"/>
  <c r="AD42" i="201"/>
  <c r="AH46" i="195"/>
  <c r="AI38" i="197"/>
  <c r="W40" i="206"/>
  <c r="AB40" i="206"/>
  <c r="AM40" i="206" s="1"/>
  <c r="AF40" i="203"/>
  <c r="AE42" i="206"/>
  <c r="AK46" i="198"/>
  <c r="AG43" i="199"/>
  <c r="AG44" i="206"/>
  <c r="AF40" i="194"/>
  <c r="W28" i="196"/>
  <c r="W22" i="207"/>
  <c r="W43" i="202"/>
  <c r="AB43" i="202"/>
  <c r="AM43" i="202" s="1"/>
  <c r="AE46" i="193"/>
  <c r="W24" i="212"/>
  <c r="W46" i="204"/>
  <c r="AB46" i="204"/>
  <c r="AM46" i="204" s="1"/>
  <c r="AE41" i="195"/>
  <c r="AK44" i="194"/>
  <c r="AH38" i="208"/>
  <c r="W28" i="199"/>
  <c r="AC43" i="208"/>
  <c r="AE45" i="199"/>
  <c r="AD38" i="193"/>
  <c r="W27" i="208"/>
  <c r="W34" i="200"/>
  <c r="W10" i="204"/>
  <c r="W42" i="207"/>
  <c r="AB42" i="207"/>
  <c r="AM42" i="207" s="1"/>
  <c r="W13" i="205"/>
  <c r="AF39" i="196"/>
  <c r="AJ38" i="202"/>
  <c r="W16" i="204"/>
  <c r="AF41" i="208"/>
  <c r="AH42" i="204"/>
  <c r="AH44" i="199"/>
  <c r="AI46" i="193"/>
  <c r="W13" i="207"/>
  <c r="AF44" i="206"/>
  <c r="AE40" i="206"/>
  <c r="W32" i="199"/>
  <c r="AH44" i="201"/>
  <c r="W39" i="198"/>
  <c r="AB39" i="198"/>
  <c r="AM39" i="198" s="1"/>
  <c r="AK42" i="198"/>
  <c r="AC42" i="195"/>
  <c r="AE41" i="193"/>
  <c r="AG40" i="204"/>
  <c r="W41" i="212"/>
  <c r="AB41" i="212"/>
  <c r="AM41" i="212" s="1"/>
  <c r="AJ38" i="204"/>
  <c r="W5" i="205"/>
  <c r="AH41" i="198"/>
  <c r="AD43" i="210"/>
  <c r="W4" i="198"/>
  <c r="AH45" i="197"/>
  <c r="W21" i="195"/>
  <c r="AE44" i="198"/>
  <c r="W43" i="197"/>
  <c r="AB43" i="197"/>
  <c r="AM43" i="197" s="1"/>
  <c r="W2" i="200"/>
  <c r="AD45" i="198"/>
  <c r="AJ44" i="192"/>
  <c r="AE44" i="191"/>
  <c r="AH46" i="200"/>
  <c r="W14" i="193"/>
  <c r="W10" i="197"/>
  <c r="W45" i="199"/>
  <c r="AB45" i="199"/>
  <c r="AM45" i="199" s="1"/>
  <c r="AI46" i="201"/>
  <c r="W23" i="207"/>
  <c r="AC42" i="196"/>
  <c r="AI42" i="193"/>
  <c r="AF45" i="200"/>
  <c r="AC45" i="193"/>
  <c r="AH45" i="196"/>
  <c r="AF41" i="195"/>
  <c r="AC45" i="206"/>
  <c r="AG41" i="199"/>
  <c r="AF46" i="205"/>
  <c r="W40" i="205"/>
  <c r="AB40" i="205"/>
  <c r="AM40" i="205" s="1"/>
  <c r="W6" i="205"/>
  <c r="W32" i="204"/>
  <c r="AG39" i="191"/>
  <c r="AE39" i="204"/>
  <c r="AI41" i="195"/>
  <c r="W10" i="198"/>
  <c r="AJ41" i="197"/>
  <c r="AG44" i="208"/>
  <c r="AD41" i="203"/>
  <c r="AD39" i="195"/>
  <c r="AC40" i="195"/>
  <c r="AH45" i="205"/>
  <c r="AH40" i="196"/>
  <c r="AF45" i="201"/>
  <c r="AD38" i="200"/>
  <c r="AC45" i="200"/>
  <c r="AG38" i="192"/>
  <c r="AF42" i="202"/>
  <c r="AD46" i="211"/>
  <c r="W43" i="198"/>
  <c r="AB43" i="198"/>
  <c r="AM43" i="198" s="1"/>
  <c r="W9" i="196"/>
  <c r="AH42" i="200"/>
  <c r="AF43" i="196"/>
  <c r="AE40" i="200"/>
  <c r="W45" i="193"/>
  <c r="AB45" i="193"/>
  <c r="AM45" i="193" s="1"/>
  <c r="AJ39" i="205"/>
  <c r="AF41" i="193"/>
  <c r="W4" i="197"/>
  <c r="AE39" i="192"/>
  <c r="W17" i="192"/>
  <c r="W36" i="202"/>
  <c r="AG38" i="207"/>
  <c r="AF43" i="208"/>
  <c r="AC44" i="204"/>
  <c r="AE39" i="201"/>
  <c r="AE38" i="200"/>
  <c r="AG43" i="201"/>
  <c r="AJ45" i="201"/>
  <c r="W8" i="193"/>
  <c r="W41" i="209"/>
  <c r="AB41" i="209"/>
  <c r="AM41" i="209" s="1"/>
  <c r="W34" i="204"/>
  <c r="AH42" i="196"/>
  <c r="AD40" i="194"/>
  <c r="AD40" i="203"/>
  <c r="AI45" i="193"/>
  <c r="W13" i="194"/>
  <c r="AK42" i="204"/>
  <c r="AF43" i="206"/>
  <c r="W26" i="205"/>
  <c r="W7" i="210"/>
  <c r="AD40" i="192"/>
  <c r="AK39" i="204"/>
  <c r="W26" i="204"/>
  <c r="W11" i="202"/>
  <c r="W16" i="198"/>
  <c r="W27" i="201"/>
  <c r="W6" i="206"/>
  <c r="AJ45" i="191"/>
  <c r="W22" i="206"/>
  <c r="AG45" i="209"/>
  <c r="W10" i="191"/>
  <c r="AJ41" i="198"/>
  <c r="W2" i="198"/>
  <c r="AE46" i="203"/>
  <c r="W7" i="192"/>
  <c r="W44" i="208"/>
  <c r="AB44" i="208"/>
  <c r="AM44" i="208" s="1"/>
  <c r="AI40" i="204"/>
  <c r="W9" i="204"/>
  <c r="AC39" i="193"/>
  <c r="AG42" i="193"/>
  <c r="W21" i="208"/>
  <c r="AE46" i="204"/>
  <c r="W40" i="200"/>
  <c r="AB40" i="200"/>
  <c r="AM40" i="200" s="1"/>
  <c r="AI39" i="207"/>
  <c r="AD46" i="209"/>
  <c r="AJ44" i="205"/>
  <c r="W28" i="202"/>
  <c r="AG45" i="204"/>
  <c r="W37" i="193"/>
  <c r="AD44" i="198"/>
  <c r="W10" i="200"/>
  <c r="W43" i="195"/>
  <c r="AB43" i="195"/>
  <c r="AM43" i="195" s="1"/>
  <c r="AF38" i="198"/>
  <c r="AK44" i="196"/>
  <c r="AC46" i="204"/>
  <c r="W30" i="211"/>
  <c r="W40" i="207"/>
  <c r="AB40" i="207"/>
  <c r="AM40" i="207" s="1"/>
  <c r="AE39" i="200"/>
  <c r="AF40" i="206"/>
  <c r="W40" i="198"/>
  <c r="AB40" i="198"/>
  <c r="AM40" i="198" s="1"/>
  <c r="W17" i="201"/>
  <c r="W17" i="207"/>
  <c r="W31" i="211"/>
  <c r="AI43" i="197"/>
  <c r="AF38" i="206"/>
  <c r="AH44" i="195"/>
  <c r="AE38" i="204"/>
  <c r="AI45" i="201"/>
  <c r="AK38" i="201"/>
  <c r="AC40" i="191"/>
  <c r="W3" i="208"/>
  <c r="W46" i="207"/>
  <c r="AB46" i="207"/>
  <c r="AM46" i="207" s="1"/>
  <c r="W36" i="205"/>
  <c r="W16" i="214"/>
  <c r="AD45" i="195"/>
  <c r="AH46" i="206"/>
  <c r="W28" i="205"/>
  <c r="AH40" i="201"/>
  <c r="W21" i="193"/>
  <c r="AI46" i="206"/>
  <c r="AD46" i="207"/>
  <c r="AC42" i="191"/>
  <c r="W32" i="203"/>
  <c r="AI41" i="211"/>
  <c r="W11" i="197"/>
  <c r="AK38" i="200"/>
  <c r="W18" i="206"/>
  <c r="W30" i="208"/>
  <c r="W38" i="205"/>
  <c r="AB38" i="205"/>
  <c r="AM38" i="205" s="1"/>
  <c r="AH41" i="205"/>
  <c r="AD45" i="206"/>
  <c r="AJ45" i="198"/>
  <c r="AH41" i="202"/>
  <c r="AH46" i="202"/>
  <c r="AD46" i="192"/>
  <c r="W26" i="202"/>
  <c r="AK46" i="203"/>
  <c r="W3" i="194"/>
  <c r="AJ43" i="203"/>
  <c r="AE43" i="195"/>
  <c r="W5" i="201"/>
  <c r="AK43" i="198"/>
  <c r="AD43" i="205"/>
  <c r="AC46" i="200"/>
  <c r="AI41" i="198"/>
  <c r="AI43" i="195"/>
  <c r="AC42" i="197"/>
  <c r="AF40" i="197"/>
  <c r="W21" i="197"/>
  <c r="AJ43" i="210"/>
  <c r="AD40" i="196"/>
  <c r="AC42" i="198"/>
  <c r="W10" i="201"/>
  <c r="AD43" i="207"/>
  <c r="AE42" i="207"/>
  <c r="AE44" i="201"/>
  <c r="AF46" i="206"/>
  <c r="AK45" i="195"/>
  <c r="AK38" i="210"/>
  <c r="W20" i="195"/>
  <c r="AG39" i="205"/>
  <c r="AE44" i="206"/>
  <c r="W36" i="210"/>
  <c r="W6" i="212"/>
  <c r="AD38" i="196"/>
  <c r="AD46" i="203"/>
  <c r="AC41" i="203"/>
  <c r="AJ42" i="206"/>
  <c r="AI44" i="209"/>
  <c r="AE40" i="207"/>
  <c r="W25" i="204"/>
  <c r="W30" i="207"/>
  <c r="W30" i="210"/>
  <c r="W29" i="209"/>
  <c r="W24" i="201"/>
  <c r="AG45" i="205"/>
  <c r="AI41" i="205"/>
  <c r="AK40" i="204"/>
  <c r="W46" i="208"/>
  <c r="AB46" i="208"/>
  <c r="AM46" i="208" s="1"/>
  <c r="AI38" i="203"/>
  <c r="W7" i="212"/>
  <c r="AD40" i="205"/>
  <c r="AI43" i="207"/>
  <c r="W2" i="208"/>
  <c r="W15" i="206"/>
  <c r="AF38" i="203"/>
  <c r="W27" i="209"/>
  <c r="W27" i="200"/>
  <c r="AJ45" i="199"/>
  <c r="AF39" i="208"/>
  <c r="AE41" i="207"/>
  <c r="AG41" i="198"/>
  <c r="AC46" i="205"/>
  <c r="W44" i="195"/>
  <c r="AB44" i="195"/>
  <c r="AM44" i="195" s="1"/>
  <c r="AJ42" i="213"/>
  <c r="AD45" i="211"/>
  <c r="W8" i="202"/>
  <c r="AG44" i="203"/>
  <c r="AE42" i="197"/>
  <c r="AI46" i="197"/>
  <c r="W11" i="206"/>
  <c r="AG42" i="213"/>
  <c r="AJ38" i="193"/>
  <c r="W19" i="203"/>
  <c r="AF44" i="203"/>
  <c r="AF43" i="197"/>
  <c r="AC45" i="203"/>
  <c r="W23" i="194"/>
  <c r="AF38" i="192"/>
  <c r="AJ44" i="200"/>
  <c r="AF41" i="198"/>
  <c r="AD43" i="191"/>
  <c r="W20" i="209"/>
  <c r="AK42" i="206"/>
  <c r="AG45" i="201"/>
  <c r="W23" i="199"/>
  <c r="W19" i="206"/>
  <c r="AH39" i="207"/>
  <c r="AE38" i="205"/>
  <c r="W41" i="201"/>
  <c r="AB41" i="201"/>
  <c r="AM41" i="201" s="1"/>
  <c r="AJ38" i="198"/>
  <c r="W13" i="204"/>
  <c r="AD41" i="192"/>
  <c r="AF38" i="195"/>
  <c r="W15" i="209"/>
  <c r="W6" i="204"/>
  <c r="W45" i="194"/>
  <c r="AB45" i="194"/>
  <c r="AM45" i="194" s="1"/>
  <c r="AH38" i="207"/>
  <c r="AJ42" i="202"/>
  <c r="AK39" i="209"/>
  <c r="W40" i="202"/>
  <c r="AB40" i="202"/>
  <c r="AM40" i="202" s="1"/>
  <c r="AJ39" i="196"/>
  <c r="W19" i="207"/>
  <c r="W38" i="204"/>
  <c r="AB38" i="204"/>
  <c r="AM38" i="204" s="1"/>
  <c r="W10" i="205"/>
  <c r="AC41" i="204"/>
  <c r="AG43" i="195"/>
  <c r="AC40" i="202"/>
  <c r="AK43" i="204"/>
  <c r="W4" i="209"/>
  <c r="W44" i="204"/>
  <c r="AB44" i="204"/>
  <c r="AM44" i="204" s="1"/>
  <c r="W39" i="209"/>
  <c r="AB39" i="209"/>
  <c r="AM39" i="209" s="1"/>
  <c r="AF46" i="208"/>
  <c r="W28" i="197"/>
  <c r="AK43" i="199"/>
  <c r="W16" i="205"/>
  <c r="AD42" i="209"/>
  <c r="AC44" i="203"/>
  <c r="W7" i="206"/>
  <c r="W5" i="199"/>
  <c r="AC43" i="203"/>
  <c r="W16" i="197"/>
  <c r="AG44" i="195"/>
  <c r="AG46" i="198"/>
  <c r="W12" i="202"/>
  <c r="AF43" i="202"/>
  <c r="AD39" i="213"/>
  <c r="AC45" i="202"/>
  <c r="AC45" i="205"/>
  <c r="AK46" i="207"/>
  <c r="AI45" i="207"/>
  <c r="W5" i="198"/>
  <c r="W3" i="205"/>
  <c r="AI45" i="202"/>
  <c r="AG40" i="207"/>
  <c r="W20" i="207"/>
  <c r="AJ38" i="197"/>
  <c r="AE43" i="202"/>
  <c r="AI38" i="209"/>
  <c r="AC45" i="212"/>
  <c r="AG44" i="209"/>
  <c r="AH40" i="203"/>
  <c r="AF38" i="196"/>
  <c r="AG42" i="203"/>
  <c r="AJ41" i="195"/>
  <c r="W32" i="207"/>
  <c r="AH38" i="212"/>
  <c r="AH45" i="202"/>
  <c r="W38" i="198"/>
  <c r="AB38" i="198"/>
  <c r="AM38" i="198" s="1"/>
  <c r="AE43" i="205"/>
  <c r="AG39" i="193"/>
  <c r="AE40" i="204"/>
  <c r="AH40" i="207"/>
  <c r="AD44" i="206"/>
  <c r="AG44" i="194"/>
  <c r="AI38" i="205"/>
  <c r="W39" i="207"/>
  <c r="AB39" i="207"/>
  <c r="AM39" i="207" s="1"/>
  <c r="AD42" i="205"/>
  <c r="AH40" i="199"/>
  <c r="W21" i="210"/>
  <c r="AD42" i="198"/>
  <c r="W32" i="194"/>
  <c r="AD39" i="194"/>
  <c r="AF39" i="203"/>
  <c r="AG38" i="195"/>
  <c r="W28" i="194"/>
  <c r="W38" i="195"/>
  <c r="AB38" i="195"/>
  <c r="AM38" i="195" s="1"/>
  <c r="AC39" i="208"/>
  <c r="AG41" i="203"/>
  <c r="AI40" i="199"/>
  <c r="W11" i="205"/>
  <c r="W32" i="212"/>
  <c r="AG46" i="209"/>
  <c r="W18" i="199"/>
  <c r="AF42" i="207"/>
  <c r="AJ43" i="192"/>
  <c r="AD42" i="192"/>
  <c r="AD39" i="201"/>
  <c r="AH45" i="201"/>
  <c r="AI39" i="197"/>
  <c r="W21" i="211"/>
  <c r="W17" i="196"/>
  <c r="W44" i="194"/>
  <c r="AB44" i="194"/>
  <c r="AM44" i="194" s="1"/>
  <c r="W46" i="196"/>
  <c r="AB46" i="196"/>
  <c r="AM46" i="196" s="1"/>
  <c r="W11" i="212"/>
  <c r="W12" i="193"/>
  <c r="W24" i="196"/>
  <c r="AJ41" i="191"/>
  <c r="AI38" i="200"/>
  <c r="AH39" i="191"/>
  <c r="W27" i="196"/>
  <c r="AC39" i="207"/>
  <c r="AG44" i="200"/>
  <c r="AH38" i="197"/>
  <c r="W33" i="192"/>
  <c r="AD42" i="200"/>
  <c r="W41" i="194"/>
  <c r="AB41" i="194"/>
  <c r="AM41" i="194" s="1"/>
  <c r="AG42" i="197"/>
  <c r="W17" i="200"/>
  <c r="AK44" i="198"/>
  <c r="AE44" i="203"/>
  <c r="AE42" i="212"/>
  <c r="AK43" i="206"/>
  <c r="AG45" i="202"/>
  <c r="W2" i="203"/>
  <c r="AC43" i="214"/>
  <c r="W10" i="207"/>
  <c r="AK38" i="211"/>
  <c r="W9" i="193"/>
  <c r="AI42" i="195"/>
  <c r="AH44" i="213"/>
  <c r="AC44" i="206"/>
  <c r="AC40" i="203"/>
  <c r="W27" i="204"/>
  <c r="AC39" i="205"/>
  <c r="AK44" i="208"/>
  <c r="AK40" i="202"/>
  <c r="AH43" i="202"/>
  <c r="W35" i="208"/>
  <c r="AG39" i="208"/>
  <c r="W21" i="199"/>
  <c r="AK39" i="199"/>
  <c r="W31" i="206"/>
  <c r="W29" i="207"/>
  <c r="AG46" i="207"/>
  <c r="AE44" i="213"/>
  <c r="AB42" i="196"/>
  <c r="AM42" i="196" s="1"/>
  <c r="W42" i="196"/>
  <c r="AI42" i="202"/>
  <c r="AJ40" i="201"/>
  <c r="AJ39" i="206"/>
  <c r="AJ43" i="204"/>
  <c r="AG45" i="203"/>
  <c r="AG45" i="198"/>
  <c r="W24" i="208"/>
  <c r="W30" i="197"/>
  <c r="W45" i="200"/>
  <c r="AB45" i="200"/>
  <c r="AM45" i="200" s="1"/>
  <c r="AF38" i="202"/>
  <c r="AC44" i="210"/>
  <c r="AE45" i="205"/>
  <c r="W12" i="210"/>
  <c r="AD38" i="202"/>
  <c r="W42" i="209"/>
  <c r="AB42" i="209"/>
  <c r="AM42" i="209" s="1"/>
  <c r="W21" i="194"/>
  <c r="AK41" i="212"/>
  <c r="AF45" i="202"/>
  <c r="W22" i="200"/>
  <c r="W15" i="200"/>
  <c r="W27" i="203"/>
  <c r="AI46" i="205"/>
  <c r="AJ43" i="207"/>
  <c r="AH40" i="205"/>
  <c r="W33" i="204"/>
  <c r="W5" i="208"/>
  <c r="W6" i="198"/>
  <c r="W25" i="201"/>
  <c r="W24" i="199"/>
  <c r="W25" i="208"/>
  <c r="W15" i="198"/>
  <c r="W12" i="199"/>
  <c r="W36" i="204"/>
  <c r="AD38" i="210"/>
  <c r="AG38" i="197"/>
  <c r="AD42" i="210"/>
  <c r="W35" i="195"/>
  <c r="AK43" i="202"/>
  <c r="W7" i="194"/>
  <c r="AC38" i="208"/>
  <c r="AF38" i="209"/>
  <c r="AG38" i="209"/>
  <c r="AI44" i="207"/>
  <c r="AH42" i="203"/>
  <c r="W27" i="193"/>
  <c r="AK45" i="198"/>
  <c r="W3" i="202"/>
  <c r="AI43" i="193"/>
  <c r="W34" i="205"/>
  <c r="AC42" i="200"/>
  <c r="AC41" i="207"/>
  <c r="AD45" i="204"/>
  <c r="W32" i="205"/>
  <c r="W5" i="206"/>
  <c r="W26" i="195"/>
  <c r="W17" i="191"/>
  <c r="W25" i="197"/>
  <c r="AJ39" i="197"/>
  <c r="W39" i="199"/>
  <c r="AB39" i="199"/>
  <c r="AM39" i="199" s="1"/>
  <c r="W45" i="203"/>
  <c r="AB45" i="203"/>
  <c r="AM45" i="203" s="1"/>
  <c r="W3" i="210"/>
  <c r="W15" i="204"/>
  <c r="AG45" i="200"/>
  <c r="AC42" i="209"/>
  <c r="W45" i="204"/>
  <c r="AB45" i="204"/>
  <c r="AM45" i="204" s="1"/>
  <c r="AH44" i="192"/>
  <c r="AH40" i="193"/>
  <c r="AE39" i="197"/>
  <c r="W45" i="207"/>
  <c r="AB45" i="207"/>
  <c r="AM45" i="207" s="1"/>
  <c r="AI40" i="201"/>
  <c r="W23" i="210"/>
  <c r="AI40" i="195"/>
  <c r="W17" i="208"/>
  <c r="W19" i="198"/>
  <c r="AI40" i="210"/>
  <c r="AC43" i="202"/>
  <c r="AD40" i="208"/>
  <c r="W36" i="206"/>
  <c r="AE41" i="214"/>
  <c r="AI39" i="206"/>
  <c r="W44" i="212"/>
  <c r="AB44" i="212"/>
  <c r="AM44" i="212" s="1"/>
  <c r="AI43" i="204"/>
  <c r="W34" i="202"/>
  <c r="W35" i="203"/>
  <c r="W8" i="209"/>
  <c r="W43" i="200"/>
  <c r="AB43" i="200"/>
  <c r="AM43" i="200" s="1"/>
  <c r="AJ45" i="204"/>
  <c r="AK45" i="210"/>
  <c r="AG39" i="207"/>
  <c r="AK41" i="198"/>
  <c r="AE42" i="200"/>
  <c r="W11" i="208"/>
  <c r="W25" i="206"/>
  <c r="W31" i="207"/>
  <c r="W7" i="209"/>
  <c r="AF45" i="199"/>
  <c r="AD38" i="204"/>
  <c r="AI42" i="203"/>
  <c r="AE44" i="205"/>
  <c r="AC39" i="199"/>
  <c r="W7" i="214"/>
  <c r="AC46" i="211"/>
  <c r="W3" i="207"/>
  <c r="AF41" i="204"/>
  <c r="AH45" i="208"/>
  <c r="AG41" i="197"/>
  <c r="AJ38" i="206"/>
  <c r="W39" i="193"/>
  <c r="AB39" i="193"/>
  <c r="AM39" i="193" s="1"/>
  <c r="AJ46" i="204"/>
  <c r="AI39" i="212"/>
  <c r="W46" i="203"/>
  <c r="AB46" i="203"/>
  <c r="AM46" i="203" s="1"/>
  <c r="AI43" i="210"/>
  <c r="AI41" i="208"/>
  <c r="AI46" i="204"/>
  <c r="AG40" i="200"/>
  <c r="AH43" i="208"/>
  <c r="AJ38" i="203"/>
  <c r="AD46" i="200"/>
  <c r="W14" i="206"/>
  <c r="AC44" i="202"/>
  <c r="W31" i="213"/>
  <c r="W14" i="202"/>
  <c r="AK46" i="199"/>
  <c r="W30" i="200"/>
  <c r="AI40" i="202"/>
  <c r="W2" i="197"/>
  <c r="AI45" i="209"/>
  <c r="AK44" i="205"/>
  <c r="AK41" i="204"/>
  <c r="AJ44" i="201"/>
  <c r="W41" i="210"/>
  <c r="AB41" i="210"/>
  <c r="AM41" i="210" s="1"/>
  <c r="AJ39" i="213"/>
  <c r="W27" i="206"/>
  <c r="W34" i="212"/>
  <c r="AI41" i="200"/>
  <c r="W8" i="208"/>
  <c r="AB44" i="205"/>
  <c r="AM44" i="205" s="1"/>
  <c r="W44" i="205"/>
  <c r="W33" i="198"/>
  <c r="W25" i="198"/>
  <c r="AK44" i="211"/>
  <c r="AE40" i="212"/>
  <c r="W28" i="204"/>
  <c r="W18" i="208"/>
  <c r="AD46" i="208"/>
  <c r="AI43" i="208"/>
  <c r="W20" i="206"/>
  <c r="AD38" i="199"/>
  <c r="AE46" i="213"/>
  <c r="AE43" i="207"/>
  <c r="AJ45" i="197"/>
  <c r="W45" i="206"/>
  <c r="AB45" i="206"/>
  <c r="AM45" i="206" s="1"/>
  <c r="W45" i="202"/>
  <c r="AB45" i="202"/>
  <c r="AM45" i="202" s="1"/>
  <c r="W18" i="210"/>
  <c r="AK42" i="205"/>
  <c r="AK43" i="210"/>
  <c r="W23" i="205"/>
  <c r="AH44" i="209"/>
  <c r="AD42" i="206"/>
  <c r="AJ46" i="205"/>
  <c r="AI43" i="206"/>
  <c r="AK42" i="211"/>
  <c r="AD45" i="205"/>
  <c r="W28" i="203"/>
  <c r="AH40" i="204"/>
  <c r="AE39" i="203"/>
  <c r="AH45" i="199"/>
  <c r="AF40" i="207"/>
  <c r="W22" i="202"/>
  <c r="W44" i="213"/>
  <c r="AB44" i="213"/>
  <c r="AM44" i="213" s="1"/>
  <c r="W24" i="198"/>
  <c r="AE41" i="204"/>
  <c r="AJ46" i="210"/>
  <c r="AG42" i="214"/>
  <c r="AG41" i="202"/>
  <c r="W14" i="212"/>
  <c r="W12" i="201"/>
  <c r="AF46" i="207"/>
  <c r="AF38" i="205"/>
  <c r="W4" i="207"/>
  <c r="W34" i="198"/>
  <c r="W8" i="201"/>
  <c r="AK46" i="211"/>
  <c r="AF42" i="201"/>
  <c r="AE45" i="201"/>
  <c r="W22" i="210"/>
  <c r="AI41" i="207"/>
  <c r="W31" i="212"/>
  <c r="AI41" i="202"/>
  <c r="AF40" i="212"/>
  <c r="W44" i="207"/>
  <c r="AB44" i="207"/>
  <c r="AM44" i="207" s="1"/>
  <c r="W4" i="200"/>
  <c r="AD38" i="211"/>
  <c r="W26" i="211"/>
  <c r="W5" i="204"/>
  <c r="W36" i="199"/>
  <c r="W18" i="212"/>
  <c r="W37" i="210"/>
  <c r="AJ41" i="204"/>
  <c r="AJ45" i="205"/>
  <c r="W28" i="209"/>
  <c r="W44" i="200"/>
  <c r="AB44" i="200"/>
  <c r="AM44" i="200" s="1"/>
  <c r="AF46" i="201"/>
  <c r="W24" i="206"/>
  <c r="AF43" i="198"/>
  <c r="AK43" i="212"/>
  <c r="AH40" i="209"/>
  <c r="W35" i="207"/>
  <c r="AI46" i="198"/>
  <c r="AF45" i="207"/>
  <c r="W6" i="209"/>
  <c r="AK39" i="211"/>
  <c r="AH38" i="196"/>
  <c r="AJ42" i="204"/>
  <c r="W18" i="211"/>
  <c r="AH39" i="205"/>
  <c r="AF46" i="210"/>
  <c r="AK45" i="212"/>
  <c r="AD40" i="191"/>
  <c r="W46" i="209"/>
  <c r="AB46" i="209"/>
  <c r="AM46" i="209" s="1"/>
  <c r="AD38" i="208"/>
  <c r="AG41" i="212"/>
  <c r="AH41" i="200"/>
  <c r="AJ43" i="201"/>
  <c r="AG40" i="203"/>
  <c r="W40" i="208"/>
  <c r="AB40" i="208"/>
  <c r="AM40" i="208" s="1"/>
  <c r="AH45" i="203"/>
  <c r="AE43" i="204"/>
  <c r="AC39" i="201"/>
  <c r="W44" i="203"/>
  <c r="AB44" i="203"/>
  <c r="AM44" i="203" s="1"/>
  <c r="AE44" i="210"/>
  <c r="AG38" i="202"/>
  <c r="W12" i="208"/>
  <c r="W21" i="203"/>
  <c r="W15" i="210"/>
  <c r="AJ43" i="205"/>
  <c r="AD46" i="212"/>
  <c r="W31" i="205"/>
  <c r="W29" i="202"/>
  <c r="W5" i="202"/>
  <c r="AK45" i="205"/>
  <c r="W33" i="209"/>
  <c r="AC42" i="214"/>
  <c r="AF38" i="201"/>
  <c r="AH40" i="202"/>
  <c r="AE42" i="209"/>
  <c r="AH42" i="197"/>
  <c r="W28" i="208"/>
  <c r="W28" i="207"/>
  <c r="AD39" i="209"/>
  <c r="AC45" i="208"/>
  <c r="AG43" i="202"/>
  <c r="W3" i="195"/>
  <c r="AF38" i="214"/>
  <c r="AI44" i="203"/>
  <c r="W27" i="205"/>
  <c r="AF41" i="203"/>
  <c r="W40" i="195"/>
  <c r="AB40" i="195"/>
  <c r="AM40" i="195" s="1"/>
  <c r="AE39" i="202"/>
  <c r="W34" i="206"/>
  <c r="W12" i="204"/>
  <c r="AE41" i="200"/>
  <c r="W41" i="208"/>
  <c r="AB41" i="208"/>
  <c r="AM41" i="208" s="1"/>
  <c r="AG46" i="214"/>
  <c r="AE41" i="205"/>
  <c r="AD45" i="207"/>
  <c r="AF42" i="203"/>
  <c r="AC46" i="207"/>
  <c r="AK45" i="204"/>
  <c r="W20" i="202"/>
  <c r="W18" i="204"/>
  <c r="AJ41" i="207"/>
  <c r="W16" i="210"/>
  <c r="AK40" i="205"/>
  <c r="AB42" i="200"/>
  <c r="AM42" i="200" s="1"/>
  <c r="W42" i="200"/>
  <c r="AC41" i="212"/>
  <c r="W13" i="206"/>
  <c r="AI43" i="201"/>
  <c r="AJ41" i="205"/>
  <c r="AD41" i="205"/>
  <c r="AH46" i="210"/>
  <c r="AK42" i="208"/>
  <c r="AJ39" i="207"/>
  <c r="W9" i="200"/>
  <c r="AK41" i="207"/>
  <c r="W36" i="203"/>
  <c r="W32" i="201"/>
  <c r="AJ38" i="209"/>
  <c r="W3" i="213"/>
  <c r="AF44" i="211"/>
  <c r="W44" i="206"/>
  <c r="AB44" i="206"/>
  <c r="AM44" i="206" s="1"/>
  <c r="AH41" i="210"/>
  <c r="AC41" i="192"/>
  <c r="AE41" i="203"/>
  <c r="AI39" i="211"/>
  <c r="W16" i="208"/>
  <c r="AD40" i="206"/>
  <c r="AC45" i="209"/>
  <c r="AF45" i="209"/>
  <c r="AB43" i="208"/>
  <c r="AM43" i="208" s="1"/>
  <c r="W43" i="208"/>
  <c r="AJ40" i="208"/>
  <c r="W9" i="206"/>
  <c r="W41" i="204"/>
  <c r="AB41" i="204"/>
  <c r="AM41" i="204" s="1"/>
  <c r="AK38" i="212"/>
  <c r="W12" i="206"/>
  <c r="AC46" i="199"/>
  <c r="AD43" i="212"/>
  <c r="W14" i="209"/>
  <c r="W4" i="206"/>
  <c r="AG38" i="205"/>
  <c r="W23" i="204"/>
  <c r="AI43" i="198"/>
  <c r="AG43" i="209"/>
  <c r="AI41" i="204"/>
  <c r="AC38" i="207"/>
  <c r="AK42" i="209"/>
  <c r="W46" i="194"/>
  <c r="AB46" i="194"/>
  <c r="AM46" i="194" s="1"/>
  <c r="W9" i="207"/>
  <c r="AI42" i="209"/>
  <c r="AG45" i="210"/>
  <c r="W29" i="193"/>
  <c r="W37" i="204"/>
  <c r="AJ44" i="208"/>
  <c r="AG40" i="209"/>
  <c r="AK45" i="202"/>
  <c r="AJ44" i="211"/>
  <c r="AK39" i="208"/>
  <c r="W11" i="210"/>
  <c r="AG40" i="211"/>
  <c r="AE41" i="206"/>
  <c r="W12" i="207"/>
  <c r="AI45" i="205"/>
  <c r="W46" i="205"/>
  <c r="AB46" i="205"/>
  <c r="AM46" i="205" s="1"/>
  <c r="AJ45" i="209"/>
  <c r="W8" i="205"/>
  <c r="AJ43" i="202"/>
  <c r="AG41" i="206"/>
  <c r="AJ46" i="201"/>
  <c r="AC45" i="204"/>
  <c r="AK43" i="207"/>
  <c r="AJ46" i="203"/>
  <c r="W21" i="207"/>
  <c r="AF45" i="211"/>
  <c r="AJ43" i="200"/>
  <c r="AD44" i="201"/>
  <c r="AH42" i="208"/>
  <c r="AH44" i="207"/>
  <c r="AG40" i="214"/>
  <c r="AC38" i="198"/>
  <c r="AG45" i="192"/>
  <c r="AJ45" i="203"/>
  <c r="W9" i="208"/>
  <c r="AC41" i="210"/>
  <c r="W17" i="209"/>
  <c r="AJ46" i="207"/>
  <c r="AJ40" i="204"/>
  <c r="W17" i="206"/>
  <c r="AF39" i="207"/>
  <c r="AF40" i="204"/>
  <c r="AE42" i="203"/>
  <c r="AK46" i="200"/>
  <c r="W21" i="206"/>
  <c r="W3" i="214"/>
  <c r="AH41" i="207"/>
  <c r="AE43" i="206"/>
  <c r="AF43" i="207"/>
  <c r="AH39" i="198"/>
  <c r="AF38" i="208"/>
  <c r="AB42" i="208"/>
  <c r="AM42" i="208" s="1"/>
  <c r="W42" i="208"/>
  <c r="AJ40" i="211"/>
  <c r="AC45" i="199"/>
  <c r="W6" i="202"/>
  <c r="AI46" i="208"/>
  <c r="AD40" i="195"/>
  <c r="W32" i="210"/>
  <c r="W7" i="205"/>
  <c r="AC39" i="211"/>
  <c r="W25" i="212"/>
  <c r="AI38" i="204"/>
  <c r="AF45" i="213"/>
  <c r="AI39" i="205"/>
  <c r="AD46" i="205"/>
  <c r="W2" i="206"/>
  <c r="AE44" i="208"/>
  <c r="AC44" i="207"/>
  <c r="W32" i="202"/>
  <c r="AJ42" i="209"/>
  <c r="AH46" i="204"/>
  <c r="AH39" i="194"/>
  <c r="AG43" i="191"/>
  <c r="AD44" i="207"/>
  <c r="AG39" i="204"/>
  <c r="AC43" i="197"/>
  <c r="AF40" i="209"/>
  <c r="AK40" i="207"/>
  <c r="AG39" i="209"/>
  <c r="AE46" i="206"/>
  <c r="W23" i="202"/>
  <c r="AC43" i="207"/>
  <c r="W41" i="211"/>
  <c r="AB41" i="211"/>
  <c r="AM41" i="211" s="1"/>
  <c r="W45" i="212"/>
  <c r="AB45" i="212"/>
  <c r="AM45" i="212" s="1"/>
  <c r="AD40" i="211"/>
  <c r="AK43" i="209"/>
  <c r="W19" i="201"/>
  <c r="AH43" i="204"/>
  <c r="W6" i="214"/>
  <c r="W45" i="214"/>
  <c r="AB45" i="214"/>
  <c r="AM45" i="214" s="1"/>
  <c r="AG38" i="208"/>
  <c r="AB46" i="211"/>
  <c r="AM46" i="211" s="1"/>
  <c r="W46" i="211"/>
  <c r="W12" i="209"/>
  <c r="W26" i="209"/>
  <c r="AH41" i="192"/>
  <c r="AI45" i="199"/>
  <c r="W6" i="210"/>
  <c r="AF42" i="208"/>
  <c r="AG44" i="201"/>
  <c r="W41" i="205"/>
  <c r="AB41" i="205"/>
  <c r="AM41" i="205" s="1"/>
  <c r="AH45" i="206"/>
  <c r="AG46" i="208"/>
  <c r="W10" i="206"/>
  <c r="W33" i="193"/>
  <c r="AD44" i="211"/>
  <c r="AH38" i="205"/>
  <c r="AJ39" i="199"/>
  <c r="AC40" i="210"/>
  <c r="AD39" i="210"/>
  <c r="AJ39" i="212"/>
  <c r="AG43" i="210"/>
  <c r="AI38" i="213"/>
  <c r="W31" i="197"/>
  <c r="W30" i="213"/>
  <c r="W28" i="213"/>
  <c r="AI38" i="207"/>
  <c r="AE45" i="210"/>
  <c r="W10" i="212"/>
  <c r="AD38" i="212"/>
  <c r="AC38" i="211"/>
  <c r="AE38" i="214"/>
  <c r="W8" i="211"/>
  <c r="W16" i="209"/>
  <c r="AC43" i="206"/>
  <c r="AG46" i="210"/>
  <c r="AK46" i="205"/>
  <c r="AH46" i="211"/>
  <c r="W39" i="203"/>
  <c r="AB39" i="203"/>
  <c r="AM39" i="203" s="1"/>
  <c r="AJ42" i="210"/>
  <c r="AJ42" i="207"/>
  <c r="W22" i="204"/>
  <c r="AE38" i="207"/>
  <c r="AF38" i="204"/>
  <c r="AB40" i="211"/>
  <c r="AM40" i="211" s="1"/>
  <c r="W40" i="211"/>
  <c r="AI46" i="207"/>
  <c r="AD39" i="205"/>
  <c r="AJ40" i="213"/>
  <c r="W24" i="209"/>
  <c r="AD44" i="212"/>
  <c r="W24" i="211"/>
  <c r="AG44" i="211"/>
  <c r="AH39" i="210"/>
  <c r="AK46" i="206"/>
  <c r="AD44" i="209"/>
  <c r="AI41" i="212"/>
  <c r="W10" i="213"/>
  <c r="W42" i="210"/>
  <c r="AB42" i="210"/>
  <c r="AM42" i="210" s="1"/>
  <c r="AE41" i="201"/>
  <c r="W14" i="207"/>
  <c r="AJ45" i="213"/>
  <c r="AF42" i="214"/>
  <c r="AG42" i="208"/>
  <c r="AG40" i="213"/>
  <c r="AK38" i="204"/>
  <c r="AI44" i="199"/>
  <c r="AD43" i="206"/>
  <c r="W4" i="214"/>
  <c r="AC44" i="212"/>
  <c r="AF41" i="206"/>
  <c r="AG41" i="207"/>
  <c r="W15" i="207"/>
  <c r="W29" i="212"/>
  <c r="AE46" i="205"/>
  <c r="AD46" i="210"/>
  <c r="AB44" i="211"/>
  <c r="AM44" i="211" s="1"/>
  <c r="W44" i="211"/>
  <c r="AI45" i="213"/>
  <c r="AJ45" i="206"/>
  <c r="AI46" i="209"/>
  <c r="AD42" i="207"/>
  <c r="W3" i="212"/>
  <c r="AD42" i="211"/>
  <c r="AI45" i="206"/>
  <c r="W31" i="210"/>
  <c r="AJ40" i="207"/>
  <c r="AC38" i="209"/>
  <c r="AD43" i="214"/>
  <c r="AE38" i="209"/>
  <c r="AG43" i="212"/>
  <c r="AJ46" i="212"/>
  <c r="W5" i="214"/>
  <c r="AD40" i="204"/>
  <c r="AH41" i="214"/>
  <c r="AI38" i="208"/>
  <c r="W22" i="198"/>
  <c r="AE40" i="208"/>
  <c r="W33" i="212"/>
  <c r="AH45" i="211"/>
  <c r="AC44" i="214"/>
  <c r="AC46" i="212"/>
  <c r="AC43" i="211"/>
  <c r="AC39" i="213"/>
  <c r="W44" i="209"/>
  <c r="AB44" i="209"/>
  <c r="AM44" i="209" s="1"/>
  <c r="AI44" i="206"/>
  <c r="AG42" i="204"/>
  <c r="AB41" i="213"/>
  <c r="AM41" i="213" s="1"/>
  <c r="W41" i="213"/>
  <c r="AE40" i="205"/>
  <c r="W21" i="212"/>
  <c r="AK45" i="209"/>
  <c r="AI46" i="210"/>
  <c r="W28" i="212"/>
  <c r="AJ46" i="211"/>
  <c r="AG45" i="207"/>
  <c r="W19" i="195"/>
  <c r="AI45" i="208"/>
  <c r="W4" i="208"/>
  <c r="AE45" i="214"/>
  <c r="AK38" i="208"/>
  <c r="AK39" i="214"/>
  <c r="AJ44" i="210"/>
  <c r="AH42" i="213"/>
  <c r="AD45" i="199"/>
  <c r="AC43" i="209"/>
  <c r="AF39" i="205"/>
  <c r="AC43" i="205"/>
  <c r="W9" i="210"/>
  <c r="AD38" i="214"/>
  <c r="AI44" i="211"/>
  <c r="AJ43" i="212"/>
  <c r="W22" i="214"/>
  <c r="W37" i="200"/>
  <c r="AG42" i="206"/>
  <c r="AI46" i="212"/>
  <c r="AI42" i="207"/>
  <c r="W28" i="214"/>
  <c r="W13" i="212"/>
  <c r="AK46" i="212"/>
  <c r="W43" i="211"/>
  <c r="AB43" i="211"/>
  <c r="AM43" i="211" s="1"/>
  <c r="AC42" i="205"/>
  <c r="AC44" i="199"/>
  <c r="AK44" i="206"/>
  <c r="AC46" i="209"/>
  <c r="AK46" i="209"/>
  <c r="W12" i="205"/>
  <c r="W17" i="213"/>
  <c r="W6" i="208"/>
  <c r="W43" i="210"/>
  <c r="AB43" i="210"/>
  <c r="AM43" i="210" s="1"/>
  <c r="W26" i="206"/>
  <c r="W9" i="214"/>
  <c r="AJ41" i="211"/>
  <c r="AJ43" i="209"/>
  <c r="AD41" i="209"/>
  <c r="AE39" i="208"/>
  <c r="AC44" i="198"/>
  <c r="AJ43" i="206"/>
  <c r="AI39" i="209"/>
  <c r="AC42" i="206"/>
  <c r="W25" i="213"/>
  <c r="AI40" i="206"/>
  <c r="AF41" i="212"/>
  <c r="W4" i="212"/>
  <c r="AF46" i="197"/>
  <c r="W11" i="209"/>
  <c r="AE42" i="211"/>
  <c r="AK43" i="213"/>
  <c r="W22" i="208"/>
  <c r="AF44" i="207"/>
  <c r="AG41" i="209"/>
  <c r="AE39" i="209"/>
  <c r="W33" i="213"/>
  <c r="W13" i="210"/>
  <c r="W35" i="211"/>
  <c r="W30" i="209"/>
  <c r="W23" i="211"/>
  <c r="AD44" i="208"/>
  <c r="AE43" i="208"/>
  <c r="AH46" i="203"/>
  <c r="W33" i="211"/>
  <c r="W13" i="209"/>
  <c r="AI45" i="211"/>
  <c r="W9" i="203"/>
  <c r="W7" i="211"/>
  <c r="AJ41" i="213"/>
  <c r="AJ43" i="198"/>
  <c r="AK41" i="211"/>
  <c r="W21" i="209"/>
  <c r="W28" i="210"/>
  <c r="AF39" i="202"/>
  <c r="AC40" i="207"/>
  <c r="AH41" i="213"/>
  <c r="W9" i="213"/>
  <c r="W43" i="213"/>
  <c r="AB43" i="213"/>
  <c r="AM43" i="213" s="1"/>
  <c r="AJ40" i="212"/>
  <c r="W35" i="206"/>
  <c r="AD41" i="204"/>
  <c r="W18" i="207"/>
  <c r="AG41" i="208"/>
  <c r="W4" i="199"/>
  <c r="AD45" i="209"/>
  <c r="W35" i="200"/>
  <c r="W27" i="211"/>
  <c r="W34" i="214"/>
  <c r="AK46" i="204"/>
  <c r="AI40" i="205"/>
  <c r="AF42" i="205"/>
  <c r="AK45" i="207"/>
  <c r="AG40" i="206"/>
  <c r="AG43" i="198"/>
  <c r="AF42" i="209"/>
  <c r="AC41" i="209"/>
  <c r="AJ45" i="210"/>
  <c r="AG42" i="205"/>
  <c r="W8" i="214"/>
  <c r="W34" i="199"/>
  <c r="AJ38" i="212"/>
  <c r="W16" i="213"/>
  <c r="AD40" i="210"/>
  <c r="W19" i="213"/>
  <c r="AE42" i="205"/>
  <c r="AK40" i="206"/>
  <c r="AF40" i="205"/>
  <c r="AD44" i="205"/>
  <c r="AD42" i="212"/>
  <c r="W46" i="202"/>
  <c r="AB46" i="202"/>
  <c r="AM46" i="202" s="1"/>
  <c r="AE43" i="203"/>
  <c r="AD40" i="207"/>
  <c r="AK38" i="206"/>
  <c r="AH43" i="209"/>
  <c r="AH41" i="206"/>
  <c r="AH46" i="208"/>
  <c r="W4" i="201"/>
  <c r="AG40" i="210"/>
  <c r="W9" i="209"/>
  <c r="AG45" i="206"/>
  <c r="W22" i="209"/>
  <c r="AC44" i="208"/>
  <c r="W16" i="211"/>
  <c r="W46" i="210"/>
  <c r="AB46" i="210"/>
  <c r="AM46" i="210" s="1"/>
  <c r="AJ39" i="201"/>
  <c r="AH45" i="210"/>
  <c r="W29" i="210"/>
  <c r="AI45" i="210"/>
  <c r="AK44" i="209"/>
  <c r="AK45" i="208"/>
  <c r="AC42" i="212"/>
  <c r="AK39" i="207"/>
  <c r="AI46" i="213"/>
  <c r="AG38" i="206"/>
  <c r="AK42" i="212"/>
  <c r="AF40" i="208"/>
  <c r="AF40" i="211"/>
  <c r="AF46" i="211"/>
  <c r="W37" i="209"/>
  <c r="AF45" i="208"/>
  <c r="W38" i="212"/>
  <c r="AB38" i="212"/>
  <c r="AM38" i="212" s="1"/>
  <c r="W14" i="211"/>
  <c r="AF43" i="205"/>
  <c r="AJ39" i="211"/>
  <c r="AF42" i="213"/>
  <c r="AJ39" i="202"/>
  <c r="AG43" i="205"/>
  <c r="AC41" i="205"/>
  <c r="AJ40" i="209"/>
  <c r="W36" i="211"/>
  <c r="AE44" i="211"/>
  <c r="AK40" i="210"/>
  <c r="AJ41" i="214"/>
  <c r="AI38" i="212"/>
  <c r="AF43" i="209"/>
  <c r="AC41" i="208"/>
  <c r="AH45" i="214"/>
  <c r="AK44" i="210"/>
  <c r="W40" i="210"/>
  <c r="AB40" i="210"/>
  <c r="AM40" i="210" s="1"/>
  <c r="AI44" i="214"/>
  <c r="W19" i="212"/>
  <c r="W2" i="209"/>
  <c r="W29" i="206"/>
  <c r="AC39" i="206"/>
  <c r="AC40" i="206"/>
  <c r="AF38" i="211"/>
  <c r="AH42" i="212"/>
  <c r="W2" i="212"/>
  <c r="AK38" i="207"/>
  <c r="AE41" i="211"/>
  <c r="AG38" i="212"/>
  <c r="W20" i="208"/>
  <c r="AJ42" i="208"/>
  <c r="W23" i="213"/>
  <c r="AJ45" i="211"/>
  <c r="AG44" i="212"/>
  <c r="AF40" i="210"/>
  <c r="AH43" i="212"/>
  <c r="AD41" i="206"/>
  <c r="W37" i="203"/>
  <c r="W18" i="209"/>
  <c r="AK42" i="207"/>
  <c r="AI46" i="211"/>
  <c r="AG44" i="207"/>
  <c r="AC42" i="202"/>
  <c r="AF42" i="211"/>
  <c r="W8" i="206"/>
  <c r="AC44" i="205"/>
  <c r="AE38" i="208"/>
  <c r="AF39" i="209"/>
  <c r="AI40" i="208"/>
  <c r="W44" i="210"/>
  <c r="AB44" i="210"/>
  <c r="AM44" i="210" s="1"/>
  <c r="AE40" i="203"/>
  <c r="AH44" i="212"/>
  <c r="AH45" i="207"/>
  <c r="W22" i="211"/>
  <c r="AJ38" i="213"/>
  <c r="AK43" i="211"/>
  <c r="W10" i="211"/>
  <c r="AJ39" i="210"/>
  <c r="AF38" i="207"/>
  <c r="W18" i="213"/>
  <c r="AH45" i="213"/>
  <c r="AI40" i="209"/>
  <c r="AC45" i="214"/>
  <c r="W36" i="198"/>
  <c r="W40" i="209"/>
  <c r="AB40" i="209"/>
  <c r="AM40" i="209" s="1"/>
  <c r="AH41" i="208"/>
  <c r="W37" i="213"/>
  <c r="AH43" i="211"/>
  <c r="AK42" i="214"/>
  <c r="AK38" i="213"/>
  <c r="AK44" i="213"/>
  <c r="AC38" i="212"/>
  <c r="W45" i="211"/>
  <c r="AB45" i="211"/>
  <c r="AM45" i="211" s="1"/>
  <c r="AC46" i="210"/>
  <c r="W12" i="213"/>
  <c r="W17" i="205"/>
  <c r="AD41" i="211"/>
  <c r="AJ43" i="213"/>
  <c r="AJ45" i="207"/>
  <c r="W19" i="208"/>
  <c r="AC46" i="213"/>
  <c r="AE38" i="213"/>
  <c r="W26" i="210"/>
  <c r="AG43" i="213"/>
  <c r="W26" i="214"/>
  <c r="AJ45" i="208"/>
  <c r="AE46" i="201"/>
  <c r="AK45" i="206"/>
  <c r="W34" i="210"/>
  <c r="AJ38" i="208"/>
  <c r="AJ45" i="214"/>
  <c r="W36" i="212"/>
  <c r="W30" i="203"/>
  <c r="W17" i="214"/>
  <c r="W20" i="213"/>
  <c r="AJ39" i="209"/>
  <c r="W6" i="207"/>
  <c r="AK41" i="214"/>
  <c r="W39" i="202"/>
  <c r="AB39" i="202"/>
  <c r="AM39" i="202" s="1"/>
  <c r="AD39" i="211"/>
  <c r="W34" i="208"/>
  <c r="AD41" i="210"/>
  <c r="AD38" i="207"/>
  <c r="W19" i="199"/>
  <c r="AD39" i="212"/>
  <c r="AE42" i="208"/>
  <c r="AK44" i="207"/>
  <c r="W14" i="204"/>
  <c r="W13" i="208"/>
  <c r="W23" i="208"/>
  <c r="W42" i="206"/>
  <c r="AB42" i="206"/>
  <c r="AM42" i="206" s="1"/>
  <c r="W2" i="211"/>
  <c r="W5" i="212"/>
  <c r="W9" i="211"/>
  <c r="W12" i="211"/>
  <c r="W35" i="212"/>
  <c r="W17" i="212"/>
  <c r="W41" i="202"/>
  <c r="AB41" i="202"/>
  <c r="AM41" i="202" s="1"/>
  <c r="AD43" i="209"/>
  <c r="AB38" i="207"/>
  <c r="AM38" i="207" s="1"/>
  <c r="W38" i="207"/>
  <c r="AH39" i="212"/>
  <c r="AJ43" i="214"/>
  <c r="AK38" i="209"/>
  <c r="AE45" i="213"/>
  <c r="AD46" i="213"/>
  <c r="AD44" i="210"/>
  <c r="W28" i="211"/>
  <c r="AG38" i="211"/>
  <c r="W24" i="210"/>
  <c r="W13" i="213"/>
  <c r="AC39" i="204"/>
  <c r="AE46" i="209"/>
  <c r="AK39" i="206"/>
  <c r="AF44" i="212"/>
  <c r="AD41" i="207"/>
  <c r="AH38" i="213"/>
  <c r="AC40" i="214"/>
  <c r="W37" i="207"/>
  <c r="AD45" i="213"/>
  <c r="AE43" i="212"/>
  <c r="AI44" i="208"/>
  <c r="AF39" i="210"/>
  <c r="AK40" i="209"/>
  <c r="AE40" i="213"/>
  <c r="AI42" i="214"/>
  <c r="W38" i="209"/>
  <c r="AB38" i="209"/>
  <c r="AM38" i="209" s="1"/>
  <c r="AC42" i="201"/>
  <c r="W21" i="213"/>
  <c r="AF41" i="213"/>
  <c r="AC46" i="208"/>
  <c r="AG39" i="212"/>
  <c r="AE39" i="211"/>
  <c r="AI39" i="214"/>
  <c r="AH38" i="206"/>
  <c r="AJ40" i="210"/>
  <c r="AF46" i="214"/>
  <c r="AF46" i="209"/>
  <c r="AF44" i="210"/>
  <c r="AJ38" i="211"/>
  <c r="W12" i="214"/>
  <c r="AK41" i="213"/>
  <c r="AC39" i="202"/>
  <c r="AJ42" i="212"/>
  <c r="W31" i="214"/>
  <c r="W11" i="211"/>
  <c r="AI43" i="212"/>
  <c r="W30" i="214"/>
  <c r="AD45" i="212"/>
  <c r="AG44" i="213"/>
  <c r="AI41" i="214"/>
  <c r="AI39" i="210"/>
  <c r="W39" i="205"/>
  <c r="AB39" i="205"/>
  <c r="AM39" i="205" s="1"/>
  <c r="W29" i="211"/>
  <c r="W14" i="213"/>
  <c r="AJ45" i="212"/>
  <c r="AG42" i="211"/>
  <c r="AJ41" i="209"/>
  <c r="AJ38" i="214"/>
  <c r="AG43" i="207"/>
  <c r="AE44" i="209"/>
  <c r="AD39" i="206"/>
  <c r="AC39" i="209"/>
  <c r="W37" i="211"/>
  <c r="W12" i="212"/>
  <c r="AD41" i="212"/>
  <c r="AF44" i="209"/>
  <c r="AJ44" i="212"/>
  <c r="AK44" i="214"/>
  <c r="AH38" i="214"/>
  <c r="AE45" i="209"/>
  <c r="W10" i="210"/>
  <c r="W6" i="213"/>
  <c r="AH40" i="214"/>
  <c r="W44" i="214"/>
  <c r="AB44" i="214"/>
  <c r="AM44" i="214" s="1"/>
  <c r="AK40" i="214"/>
  <c r="AH40" i="213"/>
  <c r="AH40" i="206"/>
  <c r="AH38" i="204"/>
  <c r="AK38" i="214"/>
  <c r="AI42" i="212"/>
  <c r="AI40" i="212"/>
  <c r="AD43" i="211"/>
  <c r="AD46" i="206"/>
  <c r="AJ42" i="211"/>
  <c r="W19" i="211"/>
  <c r="AJ41" i="208"/>
  <c r="AF43" i="214"/>
  <c r="AE39" i="213"/>
  <c r="W5" i="207"/>
  <c r="W39" i="214"/>
  <c r="AB39" i="214"/>
  <c r="AM39" i="214" s="1"/>
  <c r="AD41" i="213"/>
  <c r="AG39" i="210"/>
  <c r="W20" i="214"/>
  <c r="W26" i="213"/>
  <c r="AI41" i="209"/>
  <c r="AF43" i="210"/>
  <c r="AF45" i="212"/>
  <c r="W27" i="212"/>
  <c r="AF45" i="210"/>
  <c r="W8" i="213"/>
  <c r="AI44" i="212"/>
  <c r="AD40" i="213"/>
  <c r="W46" i="214"/>
  <c r="AB46" i="214"/>
  <c r="AM46" i="214" s="1"/>
  <c r="AG45" i="211"/>
  <c r="AK43" i="214"/>
  <c r="W41" i="214"/>
  <c r="AB41" i="214"/>
  <c r="AM41" i="214" s="1"/>
  <c r="AG43" i="211"/>
  <c r="AJ42" i="214"/>
  <c r="AC39" i="212"/>
  <c r="AC44" i="213"/>
  <c r="W46" i="212"/>
  <c r="AB46" i="212"/>
  <c r="AM46" i="212" s="1"/>
  <c r="AK39" i="213"/>
  <c r="AK40" i="213"/>
  <c r="AF39" i="211"/>
  <c r="W5" i="210"/>
  <c r="W32" i="211"/>
  <c r="W38" i="202"/>
  <c r="AB38" i="202"/>
  <c r="AM38" i="202" s="1"/>
  <c r="W20" i="212"/>
  <c r="AJ46" i="213"/>
  <c r="AF39" i="213"/>
  <c r="AI41" i="210"/>
  <c r="AC43" i="213"/>
  <c r="AD43" i="213"/>
  <c r="AH39" i="213"/>
  <c r="AH38" i="210"/>
  <c r="AE46" i="210"/>
  <c r="AC40" i="213"/>
  <c r="W37" i="208"/>
  <c r="W11" i="213"/>
  <c r="AI44" i="210"/>
  <c r="W2" i="213"/>
  <c r="AG40" i="208"/>
  <c r="W4" i="204"/>
  <c r="AG45" i="208"/>
  <c r="AK46" i="208"/>
  <c r="AE43" i="210"/>
  <c r="AI42" i="211"/>
  <c r="AE40" i="214"/>
  <c r="AD46" i="214"/>
  <c r="W36" i="214"/>
  <c r="AH40" i="212"/>
  <c r="W42" i="212"/>
  <c r="AB42" i="212"/>
  <c r="AM42" i="212" s="1"/>
  <c r="AF38" i="210"/>
  <c r="W19" i="210"/>
  <c r="AE38" i="212"/>
  <c r="W43" i="214"/>
  <c r="AB43" i="214"/>
  <c r="AM43" i="214" s="1"/>
  <c r="W25" i="214"/>
  <c r="AE43" i="213"/>
  <c r="AH39" i="214"/>
  <c r="AJ38" i="210"/>
  <c r="W35" i="214"/>
  <c r="AE41" i="213"/>
  <c r="AC38" i="210"/>
  <c r="AH46" i="214"/>
  <c r="AH42" i="214"/>
  <c r="AE39" i="214"/>
  <c r="AK42" i="213"/>
  <c r="W8" i="212"/>
  <c r="AH45" i="212"/>
  <c r="W15" i="213"/>
  <c r="AJ41" i="212"/>
  <c r="AF41" i="209"/>
  <c r="AH46" i="213"/>
  <c r="W16" i="212"/>
  <c r="AK45" i="211"/>
  <c r="AD38" i="213"/>
  <c r="AG38" i="210"/>
  <c r="AB43" i="209"/>
  <c r="AM43" i="209" s="1"/>
  <c r="W43" i="209"/>
  <c r="W2" i="214"/>
  <c r="W25" i="210"/>
  <c r="AC40" i="208"/>
  <c r="W29" i="214"/>
  <c r="AK41" i="209"/>
  <c r="AD45" i="214"/>
  <c r="AG46" i="213"/>
  <c r="AG46" i="211"/>
  <c r="AI43" i="214"/>
  <c r="AC38" i="213"/>
  <c r="AC38" i="205"/>
  <c r="AE43" i="214"/>
  <c r="AI42" i="210"/>
  <c r="AH42" i="210"/>
  <c r="AF44" i="208"/>
  <c r="AK42" i="210"/>
  <c r="AI45" i="214"/>
  <c r="W38" i="210"/>
  <c r="AB38" i="210"/>
  <c r="AM38" i="210" s="1"/>
  <c r="AC44" i="211"/>
  <c r="AE39" i="212"/>
  <c r="AH42" i="209"/>
  <c r="AD43" i="208"/>
  <c r="AF41" i="207"/>
  <c r="AH38" i="209"/>
  <c r="AI42" i="208"/>
  <c r="AI43" i="213"/>
  <c r="AJ39" i="214"/>
  <c r="AC39" i="210"/>
  <c r="AD44" i="213"/>
  <c r="AJ44" i="214"/>
  <c r="AE46" i="212"/>
  <c r="W37" i="214"/>
  <c r="AK45" i="214"/>
  <c r="AI46" i="214"/>
  <c r="AI44" i="213"/>
  <c r="AC42" i="213"/>
  <c r="W9" i="212"/>
  <c r="AC43" i="210"/>
  <c r="AC43" i="212"/>
  <c r="AE40" i="210"/>
  <c r="AI39" i="213"/>
  <c r="W20" i="211"/>
  <c r="AF39" i="214"/>
  <c r="W36" i="213"/>
  <c r="W22" i="213"/>
  <c r="AE41" i="209"/>
  <c r="AG44" i="214"/>
  <c r="W19" i="214"/>
  <c r="AD40" i="212"/>
  <c r="AH44" i="210"/>
  <c r="AF46" i="213"/>
  <c r="W5" i="211"/>
  <c r="AE42" i="213"/>
  <c r="W45" i="208"/>
  <c r="AB45" i="208"/>
  <c r="AM45" i="208" s="1"/>
  <c r="W45" i="213"/>
  <c r="AB45" i="213"/>
  <c r="AM45" i="213" s="1"/>
  <c r="AH44" i="211"/>
  <c r="AC44" i="209"/>
  <c r="AI40" i="214"/>
  <c r="AC45" i="210"/>
  <c r="AI40" i="213"/>
  <c r="AD41" i="214"/>
  <c r="AF42" i="210"/>
  <c r="AG42" i="210"/>
  <c r="W38" i="211"/>
  <c r="AB38" i="211"/>
  <c r="AM38" i="211" s="1"/>
  <c r="AE43" i="211"/>
  <c r="W4" i="211"/>
  <c r="AG39" i="211"/>
  <c r="AF39" i="212"/>
  <c r="AE41" i="210"/>
  <c r="W13" i="214"/>
  <c r="AK45" i="201"/>
  <c r="W40" i="213"/>
  <c r="AB40" i="213"/>
  <c r="AM40" i="213" s="1"/>
  <c r="W32" i="214"/>
  <c r="AC40" i="212"/>
  <c r="AE45" i="212"/>
  <c r="W15" i="214"/>
  <c r="AG39" i="214"/>
  <c r="AK39" i="210"/>
  <c r="AF38" i="212"/>
  <c r="AI40" i="211"/>
  <c r="AF44" i="213"/>
  <c r="W13" i="211"/>
  <c r="AC41" i="214"/>
  <c r="AJ46" i="209"/>
  <c r="AD44" i="214"/>
  <c r="W24" i="214"/>
  <c r="W39" i="212"/>
  <c r="AB39" i="212"/>
  <c r="AM39" i="212" s="1"/>
  <c r="AC40" i="209"/>
  <c r="AC38" i="214"/>
  <c r="W33" i="210"/>
  <c r="AF45" i="214"/>
  <c r="AE44" i="212"/>
  <c r="AD42" i="214"/>
  <c r="AH41" i="211"/>
  <c r="W6" i="211"/>
  <c r="W40" i="212"/>
  <c r="AB40" i="212"/>
  <c r="AM40" i="212" s="1"/>
  <c r="W38" i="213"/>
  <c r="AB38" i="213"/>
  <c r="AM38" i="213" s="1"/>
  <c r="AF41" i="214"/>
  <c r="AI38" i="214"/>
  <c r="AE38" i="211"/>
  <c r="AH40" i="211"/>
  <c r="W35" i="210"/>
  <c r="AH41" i="212"/>
  <c r="AE46" i="211"/>
  <c r="AI45" i="212"/>
  <c r="W24" i="213"/>
  <c r="W33" i="214"/>
  <c r="AH39" i="208"/>
  <c r="AD42" i="213"/>
  <c r="W23" i="212"/>
  <c r="W26" i="212"/>
  <c r="W10" i="214"/>
  <c r="AJ43" i="211"/>
  <c r="AG40" i="212"/>
  <c r="AF42" i="212"/>
  <c r="AK45" i="213"/>
  <c r="W4" i="213"/>
  <c r="AG41" i="211"/>
  <c r="AF46" i="212"/>
  <c r="AG44" i="210"/>
  <c r="AH45" i="209"/>
  <c r="AG45" i="214"/>
  <c r="W15" i="212"/>
  <c r="AC39" i="214"/>
  <c r="AC40" i="211"/>
  <c r="AG38" i="214"/>
  <c r="W46" i="213"/>
  <c r="AB46" i="213"/>
  <c r="AM46" i="213" s="1"/>
  <c r="AG41" i="210"/>
  <c r="AG46" i="212"/>
  <c r="W14" i="214"/>
  <c r="AK41" i="210"/>
  <c r="W29" i="213"/>
  <c r="AE41" i="212"/>
  <c r="AC45" i="211"/>
  <c r="AG45" i="213"/>
  <c r="W27" i="210"/>
  <c r="AJ44" i="213"/>
  <c r="AF38" i="213"/>
  <c r="W34" i="213"/>
  <c r="AJ44" i="207"/>
  <c r="AG41" i="213"/>
  <c r="W7" i="213"/>
  <c r="W17" i="211"/>
  <c r="W4" i="210"/>
  <c r="AG42" i="212"/>
  <c r="AH44" i="214"/>
  <c r="AG39" i="213"/>
  <c r="AJ40" i="214"/>
  <c r="AG38" i="213"/>
  <c r="AK46" i="210"/>
  <c r="W40" i="214"/>
  <c r="AB40" i="214"/>
  <c r="AM40" i="214" s="1"/>
  <c r="AJ46" i="214"/>
  <c r="AI42" i="213"/>
  <c r="W27" i="214"/>
  <c r="AE38" i="210"/>
  <c r="AF44" i="214"/>
  <c r="W18" i="214"/>
  <c r="AC42" i="210"/>
  <c r="AB42" i="214"/>
  <c r="AM42" i="214" s="1"/>
  <c r="W42" i="214"/>
  <c r="AI38" i="211"/>
  <c r="W4" i="205"/>
  <c r="W2" i="210"/>
  <c r="AB42" i="213"/>
  <c r="AM42" i="213" s="1"/>
  <c r="W42" i="213"/>
  <c r="W32" i="213"/>
  <c r="AF40" i="213"/>
  <c r="W42" i="211"/>
  <c r="AB42" i="211"/>
  <c r="AM42" i="211" s="1"/>
  <c r="AF41" i="211"/>
  <c r="AF43" i="212"/>
  <c r="AC42" i="211"/>
  <c r="AK46" i="213"/>
  <c r="AC45" i="213"/>
  <c r="AF43" i="213"/>
  <c r="AH43" i="214"/>
  <c r="AE42" i="214"/>
  <c r="AI41" i="213"/>
  <c r="AD38" i="209"/>
  <c r="AH46" i="212"/>
  <c r="AF40" i="214"/>
  <c r="AK41" i="206"/>
  <c r="W43" i="212"/>
  <c r="AB43" i="212"/>
  <c r="AM43" i="212" s="1"/>
  <c r="AH38" i="211"/>
  <c r="AG45" i="212"/>
  <c r="W21" i="214"/>
  <c r="W5" i="213"/>
  <c r="AE44" i="214"/>
  <c r="AH39" i="211"/>
  <c r="AE46" i="214"/>
  <c r="AG41" i="214"/>
  <c r="AD39" i="214"/>
  <c r="AH42" i="211"/>
  <c r="AD40" i="214"/>
  <c r="AE46" i="208"/>
  <c r="W23" i="214"/>
  <c r="W15" i="211"/>
  <c r="W22" i="212"/>
  <c r="W38" i="214"/>
  <c r="AB38" i="214"/>
  <c r="AM38" i="214" s="1"/>
  <c r="W34" i="211"/>
  <c r="AC41" i="213"/>
  <c r="Y24" i="214" l="1"/>
  <c r="Y24" i="197"/>
  <c r="Y24" i="204"/>
  <c r="Y24" i="202"/>
  <c r="Y24" i="200"/>
  <c r="Y24" i="211"/>
  <c r="Y24" i="213"/>
  <c r="Y24" i="203"/>
  <c r="Y24" i="206"/>
  <c r="Y24" i="195"/>
  <c r="Y24" i="201"/>
  <c r="Y24" i="191"/>
  <c r="Y24" i="192"/>
  <c r="Y24" i="209"/>
  <c r="Y24" i="210"/>
  <c r="Y24" i="205"/>
  <c r="Y24" i="199"/>
  <c r="Y24" i="196"/>
  <c r="Y24" i="193"/>
  <c r="Y24" i="208"/>
  <c r="Y24" i="37"/>
  <c r="Y24" i="207"/>
  <c r="Y24" i="194"/>
  <c r="Y24" i="198"/>
  <c r="Y24" i="212"/>
  <c r="Y2" i="214"/>
  <c r="Y2" i="192"/>
  <c r="Y2" i="207"/>
  <c r="Y2" i="198"/>
  <c r="Y2" i="204"/>
  <c r="Y2" i="197"/>
  <c r="Y2" i="213"/>
  <c r="Y2" i="202"/>
  <c r="Y2" i="210"/>
  <c r="Y2" i="37"/>
  <c r="Y2" i="206"/>
  <c r="Y2" i="193"/>
  <c r="Y2" i="200"/>
  <c r="Y2" i="203"/>
  <c r="Y2" i="209"/>
  <c r="Y2" i="201"/>
  <c r="Y2" i="205"/>
  <c r="Y2" i="212"/>
  <c r="Y2" i="211"/>
  <c r="Y2" i="208"/>
  <c r="Y2" i="199"/>
  <c r="Y2" i="196"/>
  <c r="Y2" i="194"/>
  <c r="Y2" i="195"/>
  <c r="Y2" i="191"/>
  <c r="Y35" i="198"/>
  <c r="Y35" i="202"/>
  <c r="Y35" i="193"/>
  <c r="Y35" i="195"/>
  <c r="Y35" i="211"/>
  <c r="Y35" i="201"/>
  <c r="Y35" i="210"/>
  <c r="Y35" i="199"/>
  <c r="Y35" i="207"/>
  <c r="Y35" i="196"/>
  <c r="Y35" i="213"/>
  <c r="Y35" i="191"/>
  <c r="Y35" i="208"/>
  <c r="Y35" i="212"/>
  <c r="Y35" i="197"/>
  <c r="Y35" i="209"/>
  <c r="Y35" i="192"/>
  <c r="Y35" i="205"/>
  <c r="Y35" i="37"/>
  <c r="Y35" i="204"/>
  <c r="Y35" i="214"/>
  <c r="Y35" i="200"/>
  <c r="Y35" i="206"/>
  <c r="Y35" i="194"/>
  <c r="Y35" i="203"/>
  <c r="Y25" i="201"/>
  <c r="Y25" i="206"/>
  <c r="Y25" i="198"/>
  <c r="Y25" i="205"/>
  <c r="Y25" i="37"/>
  <c r="Y25" i="210"/>
  <c r="Y25" i="203"/>
  <c r="Y25" i="212"/>
  <c r="Y25" i="213"/>
  <c r="Y25" i="199"/>
  <c r="Y25" i="195"/>
  <c r="Y25" i="197"/>
  <c r="Y25" i="211"/>
  <c r="Y25" i="196"/>
  <c r="Y25" i="208"/>
  <c r="Y25" i="193"/>
  <c r="Y25" i="209"/>
  <c r="Y25" i="200"/>
  <c r="Y25" i="204"/>
  <c r="Y25" i="207"/>
  <c r="Y25" i="194"/>
  <c r="Y25" i="202"/>
  <c r="Y25" i="192"/>
  <c r="Y25" i="214"/>
  <c r="Y25" i="191"/>
  <c r="Y10" i="207"/>
  <c r="Y10" i="193"/>
  <c r="Y10" i="208"/>
  <c r="Y10" i="194"/>
  <c r="Y10" i="209"/>
  <c r="Y10" i="201"/>
  <c r="Y10" i="200"/>
  <c r="Y10" i="205"/>
  <c r="Y10" i="213"/>
  <c r="Y10" i="192"/>
  <c r="Y10" i="214"/>
  <c r="Y10" i="191"/>
  <c r="Y10" i="206"/>
  <c r="Y10" i="199"/>
  <c r="Y10" i="198"/>
  <c r="Y10" i="210"/>
  <c r="Y10" i="202"/>
  <c r="Y10" i="204"/>
  <c r="Y10" i="211"/>
  <c r="Y10" i="196"/>
  <c r="Y10" i="212"/>
  <c r="Y10" i="203"/>
  <c r="Y10" i="197"/>
  <c r="Y10" i="195"/>
  <c r="Y10" i="37"/>
  <c r="Y34" i="37"/>
  <c r="Y34" i="199"/>
  <c r="Y34" i="206"/>
  <c r="Y34" i="192"/>
  <c r="Y34" i="198"/>
  <c r="Y34" i="209"/>
  <c r="Y34" i="208"/>
  <c r="Y34" i="213"/>
  <c r="Y34" i="195"/>
  <c r="Y34" i="204"/>
  <c r="Y34" i="210"/>
  <c r="Y34" i="191"/>
  <c r="Y34" i="194"/>
  <c r="Y34" i="205"/>
  <c r="Y34" i="201"/>
  <c r="Y34" i="203"/>
  <c r="Y34" i="212"/>
  <c r="Y34" i="202"/>
  <c r="Y34" i="193"/>
  <c r="Y34" i="211"/>
  <c r="Y34" i="214"/>
  <c r="Y34" i="196"/>
  <c r="Y34" i="200"/>
  <c r="Y34" i="207"/>
  <c r="Y34" i="197"/>
  <c r="Y31" i="208"/>
  <c r="Y31" i="211"/>
  <c r="Y31" i="204"/>
  <c r="Y31" i="201"/>
  <c r="Y31" i="200"/>
  <c r="Y31" i="37"/>
  <c r="Y31" i="191"/>
  <c r="Y31" i="199"/>
  <c r="Y31" i="205"/>
  <c r="Y31" i="195"/>
  <c r="Y31" i="203"/>
  <c r="Y31" i="210"/>
  <c r="Y31" i="192"/>
  <c r="Y31" i="202"/>
  <c r="Y31" i="196"/>
  <c r="Y31" i="214"/>
  <c r="Y31" i="194"/>
  <c r="Y31" i="209"/>
  <c r="Y31" i="207"/>
  <c r="Y31" i="198"/>
  <c r="Y31" i="213"/>
  <c r="Y31" i="197"/>
  <c r="Y31" i="206"/>
  <c r="Y31" i="193"/>
  <c r="Y31" i="212"/>
  <c r="Y33" i="208"/>
  <c r="Y33" i="198"/>
  <c r="Y33" i="204"/>
  <c r="Y33" i="191"/>
  <c r="Y33" i="200"/>
  <c r="Y33" i="37"/>
  <c r="Y33" i="197"/>
  <c r="Y33" i="212"/>
  <c r="Y33" i="194"/>
  <c r="Y33" i="206"/>
  <c r="Y33" i="192"/>
  <c r="Y33" i="211"/>
  <c r="Y33" i="209"/>
  <c r="Y33" i="213"/>
  <c r="Y33" i="205"/>
  <c r="Y33" i="207"/>
  <c r="Y33" i="214"/>
  <c r="Y33" i="203"/>
  <c r="Y33" i="202"/>
  <c r="Y33" i="201"/>
  <c r="Y33" i="195"/>
  <c r="Y33" i="196"/>
  <c r="Y33" i="199"/>
  <c r="Y33" i="193"/>
  <c r="Y33" i="210"/>
  <c r="Y16" i="212"/>
  <c r="Y16" i="196"/>
  <c r="Y16" i="206"/>
  <c r="Y16" i="191"/>
  <c r="Y16" i="213"/>
  <c r="Y16" i="214"/>
  <c r="Y16" i="205"/>
  <c r="Y16" i="199"/>
  <c r="Y16" i="198"/>
  <c r="Y16" i="193"/>
  <c r="Y16" i="197"/>
  <c r="Y16" i="211"/>
  <c r="Y16" i="37"/>
  <c r="Y16" i="208"/>
  <c r="Y16" i="202"/>
  <c r="Y16" i="204"/>
  <c r="Y16" i="207"/>
  <c r="Y16" i="209"/>
  <c r="Y16" i="192"/>
  <c r="Y16" i="203"/>
  <c r="Y16" i="210"/>
  <c r="Y16" i="194"/>
  <c r="Y16" i="201"/>
  <c r="Y16" i="195"/>
  <c r="Y16" i="200"/>
  <c r="Y32" i="37"/>
  <c r="Y32" i="194"/>
  <c r="Y32" i="203"/>
  <c r="Y32" i="201"/>
  <c r="Y32" i="191"/>
  <c r="Y32" i="198"/>
  <c r="Y32" i="197"/>
  <c r="Y32" i="210"/>
  <c r="Y32" i="202"/>
  <c r="Y32" i="211"/>
  <c r="Y32" i="212"/>
  <c r="Y32" i="208"/>
  <c r="Y32" i="205"/>
  <c r="Y32" i="200"/>
  <c r="Y32" i="192"/>
  <c r="Y32" i="207"/>
  <c r="Y32" i="199"/>
  <c r="Y32" i="213"/>
  <c r="Y32" i="193"/>
  <c r="Y32" i="204"/>
  <c r="Y32" i="209"/>
  <c r="Y32" i="196"/>
  <c r="Y32" i="214"/>
  <c r="Y32" i="195"/>
  <c r="Y32" i="206"/>
  <c r="Y30" i="198"/>
  <c r="Y30" i="209"/>
  <c r="Y30" i="203"/>
  <c r="Y30" i="195"/>
  <c r="Y30" i="214"/>
  <c r="Y30" i="193"/>
  <c r="Y30" i="210"/>
  <c r="Y30" i="207"/>
  <c r="Y30" i="196"/>
  <c r="Y30" i="192"/>
  <c r="Y30" i="204"/>
  <c r="Y30" i="213"/>
  <c r="Y30" i="191"/>
  <c r="Y30" i="201"/>
  <c r="Y30" i="202"/>
  <c r="Y30" i="208"/>
  <c r="Y30" i="206"/>
  <c r="Y30" i="194"/>
  <c r="Y30" i="37"/>
  <c r="Y30" i="212"/>
  <c r="Y30" i="211"/>
  <c r="Y30" i="197"/>
  <c r="Y30" i="205"/>
  <c r="Y30" i="199"/>
  <c r="Y30" i="200"/>
  <c r="Y23" i="207"/>
  <c r="Y23" i="209"/>
  <c r="Y23" i="199"/>
  <c r="Y23" i="214"/>
  <c r="Y23" i="192"/>
  <c r="Y23" i="193"/>
  <c r="Y23" i="201"/>
  <c r="Y23" i="202"/>
  <c r="Y23" i="37"/>
  <c r="Y23" i="206"/>
  <c r="Y23" i="194"/>
  <c r="Y23" i="204"/>
  <c r="Y23" i="191"/>
  <c r="Y23" i="208"/>
  <c r="Y23" i="197"/>
  <c r="Y23" i="196"/>
  <c r="Y23" i="210"/>
  <c r="Y23" i="195"/>
  <c r="Y23" i="211"/>
  <c r="Y23" i="200"/>
  <c r="Y23" i="213"/>
  <c r="Y23" i="198"/>
  <c r="Y23" i="212"/>
  <c r="Y23" i="205"/>
  <c r="Y23" i="203"/>
  <c r="Y26" i="202"/>
  <c r="Y26" i="209"/>
  <c r="Y26" i="193"/>
  <c r="Y26" i="205"/>
  <c r="Y26" i="37"/>
  <c r="Y26" i="206"/>
  <c r="Y26" i="212"/>
  <c r="Y26" i="201"/>
  <c r="Y26" i="207"/>
  <c r="Y26" i="204"/>
  <c r="Y26" i="203"/>
  <c r="Y26" i="198"/>
  <c r="Y26" i="192"/>
  <c r="Y26" i="208"/>
  <c r="Y26" i="210"/>
  <c r="Y26" i="195"/>
  <c r="Y26" i="211"/>
  <c r="Y26" i="191"/>
  <c r="Y26" i="199"/>
  <c r="Y26" i="196"/>
  <c r="Y26" i="214"/>
  <c r="Y26" i="197"/>
  <c r="Y26" i="213"/>
  <c r="Y26" i="194"/>
  <c r="Y26" i="200"/>
  <c r="Y28" i="205"/>
  <c r="Y28" i="201"/>
  <c r="Y28" i="192"/>
  <c r="Y28" i="207"/>
  <c r="Y28" i="193"/>
  <c r="Y28" i="191"/>
  <c r="Y28" i="211"/>
  <c r="Y28" i="213"/>
  <c r="Y28" i="204"/>
  <c r="Y28" i="196"/>
  <c r="Y28" i="200"/>
  <c r="Y28" i="197"/>
  <c r="Y28" i="195"/>
  <c r="Y28" i="203"/>
  <c r="Y28" i="206"/>
  <c r="Y28" i="198"/>
  <c r="Y28" i="210"/>
  <c r="Y28" i="194"/>
  <c r="Y28" i="208"/>
  <c r="Y28" i="37"/>
  <c r="Y28" i="202"/>
  <c r="Y28" i="214"/>
  <c r="Y28" i="199"/>
  <c r="Y28" i="212"/>
  <c r="Y28" i="209"/>
  <c r="Y11" i="214"/>
  <c r="Y11" i="199"/>
  <c r="Y11" i="206"/>
  <c r="Y11" i="198"/>
  <c r="Y11" i="208"/>
  <c r="Y11" i="191"/>
  <c r="Y11" i="211"/>
  <c r="Y11" i="207"/>
  <c r="Y11" i="204"/>
  <c r="Y11" i="210"/>
  <c r="Y11" i="195"/>
  <c r="Y11" i="205"/>
  <c r="Y11" i="192"/>
  <c r="Y11" i="196"/>
  <c r="Y11" i="200"/>
  <c r="Y11" i="212"/>
  <c r="Y11" i="194"/>
  <c r="Y11" i="37"/>
  <c r="Y11" i="203"/>
  <c r="Y11" i="202"/>
  <c r="Y11" i="213"/>
  <c r="Y11" i="193"/>
  <c r="Y11" i="209"/>
  <c r="Y11" i="197"/>
  <c r="Y11" i="201"/>
  <c r="Y29" i="203"/>
  <c r="Y29" i="201"/>
  <c r="Y29" i="208"/>
  <c r="Y29" i="204"/>
  <c r="Y29" i="211"/>
  <c r="Y29" i="193"/>
  <c r="Y29" i="198"/>
  <c r="Y29" i="206"/>
  <c r="Y29" i="196"/>
  <c r="Y29" i="200"/>
  <c r="Y29" i="194"/>
  <c r="Y29" i="202"/>
  <c r="Y29" i="199"/>
  <c r="Y29" i="192"/>
  <c r="Y29" i="197"/>
  <c r="Y29" i="214"/>
  <c r="Y29" i="37"/>
  <c r="Y29" i="205"/>
  <c r="Y29" i="212"/>
  <c r="Y29" i="207"/>
  <c r="Y29" i="213"/>
  <c r="Y29" i="195"/>
  <c r="Y29" i="209"/>
  <c r="Y29" i="191"/>
  <c r="Y29" i="210"/>
  <c r="Y18" i="209"/>
  <c r="Y18" i="37"/>
  <c r="Y18" i="206"/>
  <c r="Y18" i="192"/>
  <c r="Y18" i="204"/>
  <c r="Y18" i="203"/>
  <c r="Y18" i="214"/>
  <c r="Y18" i="195"/>
  <c r="Y18" i="205"/>
  <c r="Y18" i="196"/>
  <c r="Y18" i="213"/>
  <c r="Y18" i="198"/>
  <c r="Y18" i="194"/>
  <c r="Y18" i="211"/>
  <c r="Y18" i="210"/>
  <c r="Y18" i="202"/>
  <c r="Y18" i="208"/>
  <c r="Y18" i="201"/>
  <c r="Y18" i="212"/>
  <c r="Y18" i="193"/>
  <c r="Y18" i="199"/>
  <c r="Y18" i="191"/>
  <c r="Y18" i="200"/>
  <c r="Y18" i="207"/>
  <c r="Y18" i="197"/>
  <c r="Y21" i="204"/>
  <c r="Y21" i="193"/>
  <c r="Y21" i="203"/>
  <c r="Y21" i="212"/>
  <c r="Y21" i="197"/>
  <c r="Y21" i="192"/>
  <c r="Y21" i="207"/>
  <c r="Y21" i="210"/>
  <c r="Y21" i="202"/>
  <c r="Y21" i="199"/>
  <c r="Y21" i="205"/>
  <c r="Y21" i="37"/>
  <c r="Y21" i="214"/>
  <c r="Y21" i="206"/>
  <c r="Y21" i="208"/>
  <c r="Y21" i="198"/>
  <c r="Y21" i="195"/>
  <c r="Y21" i="211"/>
  <c r="Y21" i="194"/>
  <c r="Y21" i="213"/>
  <c r="Y21" i="201"/>
  <c r="Y21" i="200"/>
  <c r="Y21" i="209"/>
  <c r="Y21" i="196"/>
  <c r="Y21" i="191"/>
  <c r="Y27" i="210"/>
  <c r="Y27" i="194"/>
  <c r="Y27" i="208"/>
  <c r="Y27" i="197"/>
  <c r="Y27" i="212"/>
  <c r="Y27" i="201"/>
  <c r="Y27" i="192"/>
  <c r="Y27" i="207"/>
  <c r="Y27" i="191"/>
  <c r="Y27" i="202"/>
  <c r="Y27" i="209"/>
  <c r="Y27" i="200"/>
  <c r="Y27" i="213"/>
  <c r="Y27" i="211"/>
  <c r="Y27" i="214"/>
  <c r="Y27" i="205"/>
  <c r="Y27" i="198"/>
  <c r="Y27" i="199"/>
  <c r="Y27" i="204"/>
  <c r="Y27" i="195"/>
  <c r="Y27" i="196"/>
  <c r="Y27" i="37"/>
  <c r="Y27" i="203"/>
  <c r="Y27" i="193"/>
  <c r="Y27" i="206"/>
  <c r="Y12" i="200"/>
  <c r="Y12" i="193"/>
  <c r="Y12" i="198"/>
  <c r="Y12" i="212"/>
  <c r="Y12" i="197"/>
  <c r="Y12" i="199"/>
  <c r="Y12" i="211"/>
  <c r="Y12" i="192"/>
  <c r="Y12" i="209"/>
  <c r="Y12" i="37"/>
  <c r="Y12" i="205"/>
  <c r="Y12" i="203"/>
  <c r="Y12" i="204"/>
  <c r="Y12" i="210"/>
  <c r="Y12" i="208"/>
  <c r="Y12" i="207"/>
  <c r="Y12" i="202"/>
  <c r="Y12" i="201"/>
  <c r="Y12" i="195"/>
  <c r="Y12" i="194"/>
  <c r="Y12" i="206"/>
  <c r="Y12" i="191"/>
  <c r="Y12" i="196"/>
  <c r="Y12" i="213"/>
  <c r="Y12" i="214"/>
  <c r="Y36" i="194"/>
  <c r="Y36" i="196"/>
  <c r="Y36" i="203"/>
  <c r="Y36" i="210"/>
  <c r="Y36" i="199"/>
  <c r="Y36" i="209"/>
  <c r="Y36" i="208"/>
  <c r="Y36" i="214"/>
  <c r="Y36" i="202"/>
  <c r="Y36" i="212"/>
  <c r="Y36" i="197"/>
  <c r="Y36" i="200"/>
  <c r="Y36" i="213"/>
  <c r="Y36" i="191"/>
  <c r="Y36" i="206"/>
  <c r="Y36" i="201"/>
  <c r="Y36" i="204"/>
  <c r="Y36" i="192"/>
  <c r="Y36" i="193"/>
  <c r="Y36" i="205"/>
  <c r="Y36" i="37"/>
  <c r="Y36" i="211"/>
  <c r="Y36" i="195"/>
  <c r="Y36" i="198"/>
  <c r="Y36" i="207"/>
  <c r="Y15" i="210"/>
  <c r="Y15" i="203"/>
  <c r="Y15" i="200"/>
  <c r="Y15" i="208"/>
  <c r="Y15" i="196"/>
  <c r="Y15" i="202"/>
  <c r="Y15" i="213"/>
  <c r="Y15" i="211"/>
  <c r="Y15" i="199"/>
  <c r="Y15" i="206"/>
  <c r="Y15" i="192"/>
  <c r="Y15" i="195"/>
  <c r="Y15" i="37"/>
  <c r="Y15" i="207"/>
  <c r="Y15" i="197"/>
  <c r="Y15" i="198"/>
  <c r="Y15" i="209"/>
  <c r="Y15" i="193"/>
  <c r="Y15" i="205"/>
  <c r="Y15" i="204"/>
  <c r="Y15" i="201"/>
  <c r="Y15" i="212"/>
  <c r="Y15" i="194"/>
  <c r="Y15" i="214"/>
  <c r="Y15" i="191"/>
  <c r="Y20" i="214"/>
  <c r="Y20" i="196"/>
  <c r="Y20" i="210"/>
  <c r="Y20" i="203"/>
  <c r="Y20" i="209"/>
  <c r="Y20" i="198"/>
  <c r="Y20" i="199"/>
  <c r="Y20" i="195"/>
  <c r="Y20" i="194"/>
  <c r="Y20" i="207"/>
  <c r="Y20" i="191"/>
  <c r="Y20" i="192"/>
  <c r="Y20" i="206"/>
  <c r="Y20" i="213"/>
  <c r="Y20" i="201"/>
  <c r="Y20" i="197"/>
  <c r="Y20" i="193"/>
  <c r="Y20" i="202"/>
  <c r="Y20" i="212"/>
  <c r="Y20" i="205"/>
  <c r="Y20" i="208"/>
  <c r="Y20" i="200"/>
  <c r="Y20" i="211"/>
  <c r="Y20" i="37"/>
  <c r="Y20" i="204"/>
  <c r="Y3" i="202"/>
  <c r="Y3" i="193"/>
  <c r="Y3" i="196"/>
  <c r="Y3" i="192"/>
  <c r="Y3" i="195"/>
  <c r="Y3" i="191"/>
  <c r="Y3" i="204"/>
  <c r="Y3" i="212"/>
  <c r="Y3" i="211"/>
  <c r="Y3" i="197"/>
  <c r="Y3" i="209"/>
  <c r="Y3" i="194"/>
  <c r="Y3" i="207"/>
  <c r="Y3" i="208"/>
  <c r="Y3" i="37"/>
  <c r="Y3" i="200"/>
  <c r="Y3" i="206"/>
  <c r="Y3" i="214"/>
  <c r="Y3" i="201"/>
  <c r="Y3" i="199"/>
  <c r="Y3" i="210"/>
  <c r="Y3" i="203"/>
  <c r="Y3" i="198"/>
  <c r="Y3" i="213"/>
  <c r="Y3" i="205"/>
  <c r="Y37" i="195"/>
  <c r="Y37" i="196"/>
  <c r="Y37" i="194"/>
  <c r="Y37" i="211"/>
  <c r="Y37" i="37"/>
  <c r="Y37" i="203"/>
  <c r="Y37" i="197"/>
  <c r="Y37" i="210"/>
  <c r="Y37" i="209"/>
  <c r="Y37" i="207"/>
  <c r="Y37" i="199"/>
  <c r="Y37" i="208"/>
  <c r="Y37" i="214"/>
  <c r="Y37" i="202"/>
  <c r="Y37" i="205"/>
  <c r="Y37" i="206"/>
  <c r="Y37" i="201"/>
  <c r="Y37" i="192"/>
  <c r="Y37" i="193"/>
  <c r="Y37" i="212"/>
  <c r="Y37" i="191"/>
  <c r="Y37" i="204"/>
  <c r="Y37" i="198"/>
  <c r="Y37" i="200"/>
  <c r="Y37" i="213"/>
  <c r="Y13" i="199"/>
  <c r="Y13" i="214"/>
  <c r="Y13" i="191"/>
  <c r="Y13" i="206"/>
  <c r="Y13" i="211"/>
  <c r="Y13" i="196"/>
  <c r="Y13" i="203"/>
  <c r="Y13" i="205"/>
  <c r="Y13" i="195"/>
  <c r="Y13" i="194"/>
  <c r="Y13" i="192"/>
  <c r="Y13" i="200"/>
  <c r="Y13" i="210"/>
  <c r="Y13" i="193"/>
  <c r="Y13" i="207"/>
  <c r="Y13" i="198"/>
  <c r="Y13" i="213"/>
  <c r="Y13" i="197"/>
  <c r="Y13" i="201"/>
  <c r="Y13" i="212"/>
  <c r="Y13" i="202"/>
  <c r="Y13" i="208"/>
  <c r="Y13" i="37"/>
  <c r="Y13" i="204"/>
  <c r="Y13" i="209"/>
  <c r="Y7" i="213"/>
  <c r="Y7" i="197"/>
  <c r="Y7" i="214"/>
  <c r="Y7" i="199"/>
  <c r="Y7" i="210"/>
  <c r="Y7" i="196"/>
  <c r="Y7" i="209"/>
  <c r="Y7" i="205"/>
  <c r="Y7" i="211"/>
  <c r="Y7" i="206"/>
  <c r="Y7" i="195"/>
  <c r="Y7" i="212"/>
  <c r="Y7" i="192"/>
  <c r="Y7" i="37"/>
  <c r="Y7" i="194"/>
  <c r="Y7" i="204"/>
  <c r="Y7" i="201"/>
  <c r="Y7" i="200"/>
  <c r="Y7" i="207"/>
  <c r="Y7" i="193"/>
  <c r="Y7" i="202"/>
  <c r="Y7" i="208"/>
  <c r="Y7" i="198"/>
  <c r="Y7" i="203"/>
  <c r="Y7" i="191"/>
  <c r="Y14" i="209"/>
  <c r="Y14" i="214"/>
  <c r="Y14" i="199"/>
  <c r="Y14" i="201"/>
  <c r="Y14" i="195"/>
  <c r="Y14" i="192"/>
  <c r="Y14" i="213"/>
  <c r="Y14" i="206"/>
  <c r="Y14" i="207"/>
  <c r="Y14" i="204"/>
  <c r="Y14" i="210"/>
  <c r="Y14" i="194"/>
  <c r="Y14" i="211"/>
  <c r="Y14" i="203"/>
  <c r="Y14" i="37"/>
  <c r="Y14" i="196"/>
  <c r="Y14" i="200"/>
  <c r="Y14" i="212"/>
  <c r="Y14" i="193"/>
  <c r="Y14" i="198"/>
  <c r="Y14" i="202"/>
  <c r="Y14" i="197"/>
  <c r="Y14" i="208"/>
  <c r="Y14" i="191"/>
  <c r="Y14" i="205"/>
  <c r="Y8" i="199"/>
  <c r="Y8" i="212"/>
  <c r="Y8" i="193"/>
  <c r="Y8" i="204"/>
  <c r="Y8" i="196"/>
  <c r="Y8" i="213"/>
  <c r="Y8" i="203"/>
  <c r="Y8" i="206"/>
  <c r="Y8" i="208"/>
  <c r="Y8" i="209"/>
  <c r="Y8" i="201"/>
  <c r="Y8" i="202"/>
  <c r="Y8" i="211"/>
  <c r="Y8" i="195"/>
  <c r="Y8" i="210"/>
  <c r="Y8" i="197"/>
  <c r="Y8" i="191"/>
  <c r="Y8" i="200"/>
  <c r="Y8" i="37"/>
  <c r="Y8" i="214"/>
  <c r="Y8" i="198"/>
  <c r="Y8" i="194"/>
  <c r="Y8" i="207"/>
  <c r="Y8" i="192"/>
  <c r="Y8" i="205"/>
  <c r="Y22" i="213"/>
  <c r="Y22" i="192"/>
  <c r="Y22" i="206"/>
  <c r="Y22" i="37"/>
  <c r="Y22" i="208"/>
  <c r="Y22" i="214"/>
  <c r="Y22" i="193"/>
  <c r="Y22" i="205"/>
  <c r="Y22" i="200"/>
  <c r="Y22" i="211"/>
  <c r="Y22" i="207"/>
  <c r="Y22" i="196"/>
  <c r="Y22" i="195"/>
  <c r="Y22" i="203"/>
  <c r="Y22" i="198"/>
  <c r="Y22" i="199"/>
  <c r="Y22" i="194"/>
  <c r="Y22" i="197"/>
  <c r="Y22" i="204"/>
  <c r="Y22" i="191"/>
  <c r="Y22" i="210"/>
  <c r="Y22" i="202"/>
  <c r="Y22" i="212"/>
  <c r="Y22" i="201"/>
  <c r="Y22" i="209"/>
  <c r="Y4" i="199"/>
  <c r="Y4" i="214"/>
  <c r="Y4" i="203"/>
  <c r="Y4" i="193"/>
  <c r="Y4" i="211"/>
  <c r="Y4" i="192"/>
  <c r="Y4" i="204"/>
  <c r="Y4" i="206"/>
  <c r="Y4" i="37"/>
  <c r="Y4" i="197"/>
  <c r="Y4" i="207"/>
  <c r="Y4" i="209"/>
  <c r="Y4" i="208"/>
  <c r="Y4" i="202"/>
  <c r="Y4" i="196"/>
  <c r="Y4" i="210"/>
  <c r="Y4" i="198"/>
  <c r="Y4" i="201"/>
  <c r="Y4" i="194"/>
  <c r="Y4" i="213"/>
  <c r="Y4" i="195"/>
  <c r="Y4" i="200"/>
  <c r="Y4" i="212"/>
  <c r="Y4" i="205"/>
  <c r="Y4" i="191"/>
  <c r="Y9" i="211"/>
  <c r="Y9" i="196"/>
  <c r="Y9" i="193"/>
  <c r="Y9" i="203"/>
  <c r="Y9" i="198"/>
  <c r="Y9" i="194"/>
  <c r="Y9" i="202"/>
  <c r="Y9" i="210"/>
  <c r="Y9" i="197"/>
  <c r="Y9" i="209"/>
  <c r="Y9" i="191"/>
  <c r="Y9" i="205"/>
  <c r="Y9" i="201"/>
  <c r="Y9" i="204"/>
  <c r="Y9" i="37"/>
  <c r="Y9" i="208"/>
  <c r="Y9" i="192"/>
  <c r="Y9" i="213"/>
  <c r="Y9" i="206"/>
  <c r="Y9" i="207"/>
  <c r="Y9" i="214"/>
  <c r="Y9" i="200"/>
  <c r="Y9" i="195"/>
  <c r="Y9" i="199"/>
  <c r="Y9" i="212"/>
  <c r="Y17" i="207"/>
  <c r="Y17" i="200"/>
  <c r="Y17" i="202"/>
  <c r="Y17" i="206"/>
  <c r="Y17" i="208"/>
  <c r="Y17" i="193"/>
  <c r="Y17" i="194"/>
  <c r="Y17" i="210"/>
  <c r="Y17" i="214"/>
  <c r="Y17" i="199"/>
  <c r="Y17" i="196"/>
  <c r="Y17" i="204"/>
  <c r="Y17" i="197"/>
  <c r="Y17" i="209"/>
  <c r="Y17" i="212"/>
  <c r="Y17" i="192"/>
  <c r="Y17" i="198"/>
  <c r="Y17" i="213"/>
  <c r="Y17" i="37"/>
  <c r="Y17" i="201"/>
  <c r="Y17" i="203"/>
  <c r="Y17" i="205"/>
  <c r="Y17" i="191"/>
  <c r="Y17" i="211"/>
  <c r="Y17" i="195"/>
  <c r="Y5" i="37"/>
  <c r="Y5" i="211"/>
  <c r="Y5" i="205"/>
  <c r="Y5" i="197"/>
  <c r="Y5" i="207"/>
  <c r="Y5" i="209"/>
  <c r="Y5" i="208"/>
  <c r="Y5" i="214"/>
  <c r="Y5" i="196"/>
  <c r="Y5" i="212"/>
  <c r="Y5" i="204"/>
  <c r="Y5" i="203"/>
  <c r="Y5" i="194"/>
  <c r="Y5" i="201"/>
  <c r="Y5" i="195"/>
  <c r="Y5" i="200"/>
  <c r="Y5" i="206"/>
  <c r="Y5" i="198"/>
  <c r="Y5" i="191"/>
  <c r="Y5" i="199"/>
  <c r="Y5" i="202"/>
  <c r="Y5" i="210"/>
  <c r="Y5" i="193"/>
  <c r="Y5" i="213"/>
  <c r="Y5" i="192"/>
  <c r="Y6" i="201"/>
  <c r="Y6" i="211"/>
  <c r="Y6" i="199"/>
  <c r="Y6" i="210"/>
  <c r="Y6" i="195"/>
  <c r="Y6" i="204"/>
  <c r="Y6" i="203"/>
  <c r="Y6" i="196"/>
  <c r="Y6" i="194"/>
  <c r="Y6" i="197"/>
  <c r="Y6" i="37"/>
  <c r="Y6" i="200"/>
  <c r="Y6" i="209"/>
  <c r="Y6" i="193"/>
  <c r="Y6" i="205"/>
  <c r="Y6" i="191"/>
  <c r="Y6" i="214"/>
  <c r="Y6" i="198"/>
  <c r="Y6" i="212"/>
  <c r="Y6" i="208"/>
  <c r="Y6" i="192"/>
  <c r="Y6" i="213"/>
  <c r="Y6" i="202"/>
  <c r="Y6" i="206"/>
  <c r="Y6" i="207"/>
  <c r="Y19" i="204"/>
  <c r="Y19" i="192"/>
  <c r="Y19" i="200"/>
  <c r="Y19" i="210"/>
  <c r="Y19" i="37"/>
  <c r="Y19" i="199"/>
  <c r="Y19" i="208"/>
  <c r="Y19" i="206"/>
  <c r="Y19" i="214"/>
  <c r="Y19" i="195"/>
  <c r="Y19" i="201"/>
  <c r="Y19" i="203"/>
  <c r="Y19" i="202"/>
  <c r="Y19" i="213"/>
  <c r="Y19" i="198"/>
  <c r="Y19" i="205"/>
  <c r="Y19" i="194"/>
  <c r="Y19" i="191"/>
  <c r="Y19" i="209"/>
  <c r="Y19" i="196"/>
  <c r="Y19" i="211"/>
  <c r="Y19" i="193"/>
  <c r="Y19" i="207"/>
  <c r="Y19" i="197"/>
  <c r="Y19" i="212"/>
  <c r="AH19" i="193" l="1"/>
  <c r="AB19" i="193"/>
  <c r="AF19" i="193"/>
  <c r="AE19" i="193"/>
  <c r="AI19" i="193"/>
  <c r="AD19" i="193"/>
  <c r="AJ19" i="193"/>
  <c r="AK19" i="193"/>
  <c r="AC19" i="193"/>
  <c r="AG19" i="193"/>
  <c r="AK19" i="192"/>
  <c r="AE19" i="192"/>
  <c r="AF19" i="192"/>
  <c r="AC19" i="192"/>
  <c r="AD19" i="192"/>
  <c r="AJ19" i="192"/>
  <c r="AB19" i="192"/>
  <c r="AH19" i="192"/>
  <c r="AI19" i="192"/>
  <c r="AG19" i="192"/>
  <c r="AK19" i="212"/>
  <c r="AD19" i="212"/>
  <c r="AG19" i="212"/>
  <c r="AH19" i="212"/>
  <c r="AI19" i="212"/>
  <c r="AB19" i="212"/>
  <c r="AJ19" i="212"/>
  <c r="AC19" i="212"/>
  <c r="AF19" i="212"/>
  <c r="AE19" i="212"/>
  <c r="AK19" i="211"/>
  <c r="AH19" i="211"/>
  <c r="AD19" i="211"/>
  <c r="AG19" i="211"/>
  <c r="AE19" i="211"/>
  <c r="AJ19" i="211"/>
  <c r="AC19" i="211"/>
  <c r="AF19" i="211"/>
  <c r="AI19" i="211"/>
  <c r="AB19" i="211"/>
  <c r="AB19" i="194"/>
  <c r="AD19" i="194"/>
  <c r="AF19" i="194"/>
  <c r="AG19" i="194"/>
  <c r="AC19" i="194"/>
  <c r="AK19" i="194"/>
  <c r="AI19" i="194"/>
  <c r="AH19" i="194"/>
  <c r="AJ19" i="194"/>
  <c r="AE19" i="194"/>
  <c r="AF19" i="202"/>
  <c r="AD19" i="202"/>
  <c r="AB19" i="202"/>
  <c r="AH19" i="202"/>
  <c r="AE19" i="202"/>
  <c r="AC19" i="202"/>
  <c r="AK19" i="202"/>
  <c r="AI19" i="202"/>
  <c r="AJ19" i="202"/>
  <c r="AG19" i="202"/>
  <c r="AI19" i="214"/>
  <c r="AG19" i="214"/>
  <c r="AE19" i="214"/>
  <c r="AJ19" i="214"/>
  <c r="AK19" i="214"/>
  <c r="AH19" i="214"/>
  <c r="AC19" i="214"/>
  <c r="AB19" i="214"/>
  <c r="AF19" i="214"/>
  <c r="AD19" i="214"/>
  <c r="AB19" i="37"/>
  <c r="AI19" i="37"/>
  <c r="AH19" i="37"/>
  <c r="AC19" i="37"/>
  <c r="AG19" i="37"/>
  <c r="AK19" i="37"/>
  <c r="AD19" i="37"/>
  <c r="AF19" i="37"/>
  <c r="AE19" i="37"/>
  <c r="AJ19" i="37"/>
  <c r="AF19" i="204"/>
  <c r="AD19" i="204"/>
  <c r="AG19" i="204"/>
  <c r="AB19" i="204"/>
  <c r="AC19" i="204"/>
  <c r="AJ19" i="204"/>
  <c r="AE19" i="204"/>
  <c r="AK19" i="204"/>
  <c r="AH19" i="204"/>
  <c r="AI19" i="204"/>
  <c r="AG6" i="213"/>
  <c r="AI6" i="213"/>
  <c r="AB6" i="213"/>
  <c r="AC6" i="213"/>
  <c r="AK6" i="213"/>
  <c r="AJ6" i="213"/>
  <c r="AF6" i="213"/>
  <c r="AE6" i="213"/>
  <c r="AD6" i="213"/>
  <c r="AH6" i="213"/>
  <c r="AG6" i="198"/>
  <c r="AK6" i="198"/>
  <c r="AH6" i="198"/>
  <c r="AE6" i="198"/>
  <c r="AI6" i="198"/>
  <c r="AB6" i="198"/>
  <c r="AC6" i="198"/>
  <c r="AD6" i="198"/>
  <c r="AF6" i="198"/>
  <c r="AJ6" i="198"/>
  <c r="AG6" i="193"/>
  <c r="AH6" i="193"/>
  <c r="AJ6" i="193"/>
  <c r="AD6" i="193"/>
  <c r="AF6" i="193"/>
  <c r="AI6" i="193"/>
  <c r="AK6" i="193"/>
  <c r="AB6" i="193"/>
  <c r="AC6" i="193"/>
  <c r="AE6" i="193"/>
  <c r="AH6" i="197"/>
  <c r="AC6" i="197"/>
  <c r="AJ6" i="197"/>
  <c r="AF6" i="197"/>
  <c r="AK6" i="197"/>
  <c r="AG6" i="197"/>
  <c r="AI6" i="197"/>
  <c r="AB6" i="197"/>
  <c r="AD6" i="197"/>
  <c r="AE6" i="197"/>
  <c r="AK6" i="204"/>
  <c r="AD6" i="204"/>
  <c r="AJ6" i="204"/>
  <c r="AH6" i="204"/>
  <c r="AB6" i="204"/>
  <c r="AE6" i="204"/>
  <c r="AC6" i="204"/>
  <c r="AG6" i="204"/>
  <c r="AI6" i="204"/>
  <c r="AF6" i="204"/>
  <c r="AC6" i="211"/>
  <c r="AF6" i="211"/>
  <c r="AH6" i="211"/>
  <c r="AD6" i="211"/>
  <c r="AB6" i="211"/>
  <c r="AG6" i="211"/>
  <c r="AK6" i="211"/>
  <c r="AE6" i="211"/>
  <c r="AJ6" i="211"/>
  <c r="AI6" i="211"/>
  <c r="AD5" i="193"/>
  <c r="AJ5" i="193"/>
  <c r="AB5" i="193"/>
  <c r="AH5" i="193"/>
  <c r="AI5" i="193"/>
  <c r="AC5" i="193"/>
  <c r="AG5" i="193"/>
  <c r="AF5" i="193"/>
  <c r="AE5" i="193"/>
  <c r="AK5" i="193"/>
  <c r="AE5" i="191"/>
  <c r="AI5" i="191"/>
  <c r="AH5" i="191"/>
  <c r="AB5" i="191"/>
  <c r="AG5" i="191"/>
  <c r="AJ5" i="191"/>
  <c r="AK5" i="191"/>
  <c r="AD5" i="191"/>
  <c r="AC5" i="191"/>
  <c r="AF5" i="191"/>
  <c r="AD5" i="195"/>
  <c r="AC5" i="195"/>
  <c r="AI5" i="195"/>
  <c r="AE5" i="195"/>
  <c r="AH5" i="195"/>
  <c r="AB5" i="195"/>
  <c r="AJ5" i="195"/>
  <c r="AG5" i="195"/>
  <c r="AK5" i="195"/>
  <c r="AF5" i="195"/>
  <c r="AE5" i="204"/>
  <c r="AK5" i="204"/>
  <c r="AD5" i="204"/>
  <c r="AJ5" i="204"/>
  <c r="AI5" i="204"/>
  <c r="AC5" i="204"/>
  <c r="AB5" i="204"/>
  <c r="AF5" i="204"/>
  <c r="AH5" i="204"/>
  <c r="AG5" i="204"/>
  <c r="AG5" i="208"/>
  <c r="AF5" i="208"/>
  <c r="AD5" i="208"/>
  <c r="AK5" i="208"/>
  <c r="AE5" i="208"/>
  <c r="AB5" i="208"/>
  <c r="AH5" i="208"/>
  <c r="AJ5" i="208"/>
  <c r="AI5" i="208"/>
  <c r="AC5" i="208"/>
  <c r="AE5" i="205"/>
  <c r="AB5" i="205"/>
  <c r="AK5" i="205"/>
  <c r="AC5" i="205"/>
  <c r="AG5" i="205"/>
  <c r="AF5" i="205"/>
  <c r="AJ5" i="205"/>
  <c r="AH5" i="205"/>
  <c r="AI5" i="205"/>
  <c r="AD5" i="205"/>
  <c r="AI17" i="211"/>
  <c r="AC17" i="211"/>
  <c r="AG17" i="211"/>
  <c r="AF17" i="211"/>
  <c r="AH17" i="211"/>
  <c r="AB17" i="211"/>
  <c r="AJ17" i="211"/>
  <c r="AE17" i="211"/>
  <c r="AD17" i="211"/>
  <c r="AK17" i="211"/>
  <c r="AH17" i="201"/>
  <c r="AE17" i="201"/>
  <c r="AB17" i="201"/>
  <c r="AD17" i="201"/>
  <c r="AC17" i="201"/>
  <c r="AG17" i="201"/>
  <c r="AI17" i="201"/>
  <c r="AJ17" i="201"/>
  <c r="AF17" i="201"/>
  <c r="AK17" i="201"/>
  <c r="AK17" i="192"/>
  <c r="AJ17" i="192"/>
  <c r="AH17" i="192"/>
  <c r="AD17" i="192"/>
  <c r="AE17" i="192"/>
  <c r="AG17" i="192"/>
  <c r="AC17" i="192"/>
  <c r="AI17" i="192"/>
  <c r="AF17" i="192"/>
  <c r="AB17" i="192"/>
  <c r="AK17" i="204"/>
  <c r="AB17" i="204"/>
  <c r="AG17" i="204"/>
  <c r="AC17" i="204"/>
  <c r="AJ17" i="204"/>
  <c r="AH17" i="204"/>
  <c r="AD17" i="204"/>
  <c r="AE17" i="204"/>
  <c r="AF17" i="204"/>
  <c r="AI17" i="204"/>
  <c r="AB17" i="210"/>
  <c r="AK17" i="210"/>
  <c r="AE17" i="210"/>
  <c r="AH17" i="210"/>
  <c r="AG17" i="210"/>
  <c r="AD17" i="210"/>
  <c r="AI17" i="210"/>
  <c r="AJ17" i="210"/>
  <c r="AF17" i="210"/>
  <c r="AC17" i="210"/>
  <c r="AG17" i="206"/>
  <c r="AC17" i="206"/>
  <c r="AE17" i="206"/>
  <c r="AJ17" i="206"/>
  <c r="AK17" i="206"/>
  <c r="AD17" i="206"/>
  <c r="AI17" i="206"/>
  <c r="AH17" i="206"/>
  <c r="AB17" i="206"/>
  <c r="AF17" i="206"/>
  <c r="AD9" i="212"/>
  <c r="AK9" i="212"/>
  <c r="AH9" i="212"/>
  <c r="AE9" i="212"/>
  <c r="AJ9" i="212"/>
  <c r="AF9" i="212"/>
  <c r="AB9" i="212"/>
  <c r="AC9" i="212"/>
  <c r="AG9" i="212"/>
  <c r="AI9" i="212"/>
  <c r="AK9" i="214"/>
  <c r="AI9" i="214"/>
  <c r="AF9" i="214"/>
  <c r="AC9" i="214"/>
  <c r="AE9" i="214"/>
  <c r="AD9" i="214"/>
  <c r="AG9" i="214"/>
  <c r="AH9" i="214"/>
  <c r="AB9" i="214"/>
  <c r="AJ9" i="214"/>
  <c r="AF9" i="192"/>
  <c r="AI9" i="192"/>
  <c r="AG9" i="192"/>
  <c r="AD9" i="192"/>
  <c r="AH9" i="192"/>
  <c r="AB9" i="192"/>
  <c r="AC9" i="192"/>
  <c r="AE9" i="192"/>
  <c r="AK9" i="192"/>
  <c r="AJ9" i="192"/>
  <c r="AG9" i="201"/>
  <c r="AH9" i="201"/>
  <c r="AF9" i="201"/>
  <c r="AI9" i="201"/>
  <c r="AK9" i="201"/>
  <c r="AE9" i="201"/>
  <c r="AB9" i="201"/>
  <c r="AC9" i="201"/>
  <c r="AJ9" i="201"/>
  <c r="AD9" i="201"/>
  <c r="AI9" i="197"/>
  <c r="AB9" i="197"/>
  <c r="AF9" i="197"/>
  <c r="AD9" i="197"/>
  <c r="AG9" i="197"/>
  <c r="AJ9" i="197"/>
  <c r="AC9" i="197"/>
  <c r="AH9" i="197"/>
  <c r="AK9" i="197"/>
  <c r="AE9" i="197"/>
  <c r="AB9" i="198"/>
  <c r="AE9" i="198"/>
  <c r="AF9" i="198"/>
  <c r="AH9" i="198"/>
  <c r="AG9" i="198"/>
  <c r="AC9" i="198"/>
  <c r="AI9" i="198"/>
  <c r="AJ9" i="198"/>
  <c r="AD9" i="198"/>
  <c r="AK9" i="198"/>
  <c r="AJ9" i="211"/>
  <c r="AE9" i="211"/>
  <c r="AD9" i="211"/>
  <c r="AI9" i="211"/>
  <c r="AF9" i="211"/>
  <c r="AB9" i="211"/>
  <c r="AC9" i="211"/>
  <c r="AK9" i="211"/>
  <c r="AH9" i="211"/>
  <c r="AG9" i="211"/>
  <c r="AF4" i="200"/>
  <c r="AI4" i="200"/>
  <c r="AH4" i="200"/>
  <c r="AK4" i="200"/>
  <c r="AC4" i="200"/>
  <c r="AE4" i="200"/>
  <c r="AJ4" i="200"/>
  <c r="AG4" i="200"/>
  <c r="AD4" i="200"/>
  <c r="AB4" i="200"/>
  <c r="AC4" i="201"/>
  <c r="AI4" i="201"/>
  <c r="AE4" i="201"/>
  <c r="AK4" i="201"/>
  <c r="AD4" i="201"/>
  <c r="AG4" i="201"/>
  <c r="AB4" i="201"/>
  <c r="AF4" i="201"/>
  <c r="AJ4" i="201"/>
  <c r="AH4" i="201"/>
  <c r="AE4" i="202"/>
  <c r="AD4" i="202"/>
  <c r="AG4" i="202"/>
  <c r="AB4" i="202"/>
  <c r="AF4" i="202"/>
  <c r="AH4" i="202"/>
  <c r="AK4" i="202"/>
  <c r="AC4" i="202"/>
  <c r="AJ4" i="202"/>
  <c r="AI4" i="202"/>
  <c r="AI4" i="197"/>
  <c r="AC4" i="197"/>
  <c r="AF4" i="197"/>
  <c r="AH4" i="197"/>
  <c r="AB4" i="197"/>
  <c r="AG4" i="197"/>
  <c r="AK4" i="197"/>
  <c r="AE4" i="197"/>
  <c r="AJ4" i="197"/>
  <c r="AD4" i="197"/>
  <c r="AB4" i="192"/>
  <c r="AG4" i="192"/>
  <c r="AC4" i="192"/>
  <c r="AJ4" i="192"/>
  <c r="AK4" i="192"/>
  <c r="AH4" i="192"/>
  <c r="AF4" i="192"/>
  <c r="AI4" i="192"/>
  <c r="AE4" i="192"/>
  <c r="AD4" i="192"/>
  <c r="AB4" i="214"/>
  <c r="AC4" i="214"/>
  <c r="AF4" i="214"/>
  <c r="AK4" i="214"/>
  <c r="AJ4" i="214"/>
  <c r="AG4" i="214"/>
  <c r="AI4" i="214"/>
  <c r="AE4" i="214"/>
  <c r="AD4" i="214"/>
  <c r="AH4" i="214"/>
  <c r="AG22" i="212"/>
  <c r="AI22" i="212"/>
  <c r="AH22" i="212"/>
  <c r="AE22" i="212"/>
  <c r="AF22" i="212"/>
  <c r="AC22" i="212"/>
  <c r="AB22" i="212"/>
  <c r="AD22" i="212"/>
  <c r="AJ22" i="212"/>
  <c r="AK22" i="212"/>
  <c r="AK22" i="204"/>
  <c r="AC22" i="204"/>
  <c r="AD22" i="204"/>
  <c r="AG22" i="204"/>
  <c r="AB22" i="204"/>
  <c r="AI22" i="204"/>
  <c r="AH22" i="204"/>
  <c r="AE22" i="204"/>
  <c r="AF22" i="204"/>
  <c r="AJ22" i="204"/>
  <c r="AC22" i="198"/>
  <c r="AE22" i="198"/>
  <c r="AF22" i="198"/>
  <c r="AG22" i="198"/>
  <c r="AK22" i="198"/>
  <c r="AD22" i="198"/>
  <c r="AB22" i="198"/>
  <c r="AJ22" i="198"/>
  <c r="AI22" i="198"/>
  <c r="AH22" i="198"/>
  <c r="AD22" i="207"/>
  <c r="AC22" i="207"/>
  <c r="AI22" i="207"/>
  <c r="AE22" i="207"/>
  <c r="AF22" i="207"/>
  <c r="AK22" i="207"/>
  <c r="AG22" i="207"/>
  <c r="AJ22" i="207"/>
  <c r="AH22" i="207"/>
  <c r="AB22" i="207"/>
  <c r="AE22" i="193"/>
  <c r="AI22" i="193"/>
  <c r="AH22" i="193"/>
  <c r="AD22" i="193"/>
  <c r="AK22" i="193"/>
  <c r="AJ22" i="193"/>
  <c r="AG22" i="193"/>
  <c r="AF22" i="193"/>
  <c r="AB22" i="193"/>
  <c r="AC22" i="193"/>
  <c r="AB22" i="206"/>
  <c r="AD22" i="206"/>
  <c r="AF22" i="206"/>
  <c r="AI22" i="206"/>
  <c r="AJ22" i="206"/>
  <c r="AC22" i="206"/>
  <c r="AG22" i="206"/>
  <c r="AH22" i="206"/>
  <c r="AK22" i="206"/>
  <c r="AE22" i="206"/>
  <c r="AE8" i="192"/>
  <c r="AG8" i="192"/>
  <c r="AC8" i="192"/>
  <c r="AH8" i="192"/>
  <c r="AF8" i="192"/>
  <c r="AI8" i="192"/>
  <c r="AJ8" i="192"/>
  <c r="AK8" i="192"/>
  <c r="AB8" i="192"/>
  <c r="AD8" i="192"/>
  <c r="AH8" i="214"/>
  <c r="AC8" i="214"/>
  <c r="AD8" i="214"/>
  <c r="AI8" i="214"/>
  <c r="AF8" i="214"/>
  <c r="AB8" i="214"/>
  <c r="AG8" i="214"/>
  <c r="AK8" i="214"/>
  <c r="AE8" i="214"/>
  <c r="AJ8" i="214"/>
  <c r="AG8" i="197"/>
  <c r="AH8" i="197"/>
  <c r="AI8" i="197"/>
  <c r="AE8" i="197"/>
  <c r="AK8" i="197"/>
  <c r="AB8" i="197"/>
  <c r="AF8" i="197"/>
  <c r="AJ8" i="197"/>
  <c r="AC8" i="197"/>
  <c r="AD8" i="197"/>
  <c r="AE8" i="202"/>
  <c r="AH8" i="202"/>
  <c r="AC8" i="202"/>
  <c r="AI8" i="202"/>
  <c r="AK8" i="202"/>
  <c r="AG8" i="202"/>
  <c r="AB8" i="202"/>
  <c r="AF8" i="202"/>
  <c r="AJ8" i="202"/>
  <c r="AD8" i="202"/>
  <c r="AI8" i="206"/>
  <c r="AD8" i="206"/>
  <c r="AG8" i="206"/>
  <c r="AH8" i="206"/>
  <c r="AJ8" i="206"/>
  <c r="AB8" i="206"/>
  <c r="AE8" i="206"/>
  <c r="AK8" i="206"/>
  <c r="AF8" i="206"/>
  <c r="AC8" i="206"/>
  <c r="AG8" i="204"/>
  <c r="AI8" i="204"/>
  <c r="AH8" i="204"/>
  <c r="AJ8" i="204"/>
  <c r="AB8" i="204"/>
  <c r="AF8" i="204"/>
  <c r="AK8" i="204"/>
  <c r="AE8" i="204"/>
  <c r="AD8" i="204"/>
  <c r="AC8" i="204"/>
  <c r="AC14" i="205"/>
  <c r="AD14" i="205"/>
  <c r="AI14" i="205"/>
  <c r="AB14" i="205"/>
  <c r="AK14" i="205"/>
  <c r="AG14" i="205"/>
  <c r="AJ14" i="205"/>
  <c r="AF14" i="205"/>
  <c r="AE14" i="205"/>
  <c r="AH14" i="205"/>
  <c r="AK14" i="202"/>
  <c r="AC14" i="202"/>
  <c r="AH14" i="202"/>
  <c r="AF14" i="202"/>
  <c r="AI14" i="202"/>
  <c r="AG14" i="202"/>
  <c r="AD14" i="202"/>
  <c r="AJ14" i="202"/>
  <c r="AE14" i="202"/>
  <c r="AB14" i="202"/>
  <c r="AC14" i="200"/>
  <c r="AI14" i="200"/>
  <c r="AE14" i="200"/>
  <c r="AD14" i="200"/>
  <c r="AK14" i="200"/>
  <c r="AB14" i="200"/>
  <c r="AJ14" i="200"/>
  <c r="AF14" i="200"/>
  <c r="AG14" i="200"/>
  <c r="AH14" i="200"/>
  <c r="AK14" i="211"/>
  <c r="AE14" i="211"/>
  <c r="AJ14" i="211"/>
  <c r="AH14" i="211"/>
  <c r="AC14" i="211"/>
  <c r="AG14" i="211"/>
  <c r="AB14" i="211"/>
  <c r="AF14" i="211"/>
  <c r="AD14" i="211"/>
  <c r="AI14" i="211"/>
  <c r="AC14" i="207"/>
  <c r="AI14" i="207"/>
  <c r="AE14" i="207"/>
  <c r="AF14" i="207"/>
  <c r="AG14" i="207"/>
  <c r="AK14" i="207"/>
  <c r="AH14" i="207"/>
  <c r="AD14" i="207"/>
  <c r="AJ14" i="207"/>
  <c r="AB14" i="207"/>
  <c r="AK14" i="195"/>
  <c r="AB14" i="195"/>
  <c r="AG14" i="195"/>
  <c r="AI14" i="195"/>
  <c r="AF14" i="195"/>
  <c r="AH14" i="195"/>
  <c r="AD14" i="195"/>
  <c r="AE14" i="195"/>
  <c r="AJ14" i="195"/>
  <c r="AC14" i="195"/>
  <c r="AD14" i="209"/>
  <c r="AE14" i="209"/>
  <c r="AK14" i="209"/>
  <c r="AF14" i="209"/>
  <c r="AI14" i="209"/>
  <c r="AC14" i="209"/>
  <c r="AB14" i="209"/>
  <c r="AG14" i="209"/>
  <c r="AJ14" i="209"/>
  <c r="AH14" i="209"/>
  <c r="AE7" i="208"/>
  <c r="AF7" i="208"/>
  <c r="AH7" i="208"/>
  <c r="AD7" i="208"/>
  <c r="AB7" i="208"/>
  <c r="AG7" i="208"/>
  <c r="AC7" i="208"/>
  <c r="AK7" i="208"/>
  <c r="AJ7" i="208"/>
  <c r="AI7" i="208"/>
  <c r="AK7" i="200"/>
  <c r="AB7" i="200"/>
  <c r="AE7" i="200"/>
  <c r="AH7" i="200"/>
  <c r="AF7" i="200"/>
  <c r="AC7" i="200"/>
  <c r="AG7" i="200"/>
  <c r="AI7" i="200"/>
  <c r="AJ7" i="200"/>
  <c r="AD7" i="200"/>
  <c r="AC7" i="37"/>
  <c r="AD7" i="37"/>
  <c r="AH7" i="37"/>
  <c r="AB7" i="37"/>
  <c r="AF7" i="37"/>
  <c r="AG7" i="37"/>
  <c r="AE7" i="37"/>
  <c r="AK7" i="37"/>
  <c r="AI7" i="37"/>
  <c r="AJ7" i="37"/>
  <c r="AH7" i="206"/>
  <c r="AC7" i="206"/>
  <c r="AE7" i="206"/>
  <c r="AB7" i="206"/>
  <c r="AG7" i="206"/>
  <c r="AK7" i="206"/>
  <c r="AF7" i="206"/>
  <c r="AI7" i="206"/>
  <c r="AJ7" i="206"/>
  <c r="AD7" i="206"/>
  <c r="AE7" i="196"/>
  <c r="AB7" i="196"/>
  <c r="AF7" i="196"/>
  <c r="AI7" i="196"/>
  <c r="AC7" i="196"/>
  <c r="AH7" i="196"/>
  <c r="AK7" i="196"/>
  <c r="AG7" i="196"/>
  <c r="AJ7" i="196"/>
  <c r="AD7" i="196"/>
  <c r="AC7" i="197"/>
  <c r="AD7" i="197"/>
  <c r="AJ7" i="197"/>
  <c r="AK7" i="197"/>
  <c r="AE7" i="197"/>
  <c r="AB7" i="197"/>
  <c r="AF7" i="197"/>
  <c r="AI7" i="197"/>
  <c r="AG7" i="197"/>
  <c r="AH7" i="197"/>
  <c r="AI13" i="37"/>
  <c r="AG13" i="37"/>
  <c r="AD13" i="37"/>
  <c r="AE13" i="37"/>
  <c r="AJ13" i="37"/>
  <c r="AF13" i="37"/>
  <c r="AK13" i="37"/>
  <c r="AB13" i="37"/>
  <c r="AC13" i="37"/>
  <c r="AH13" i="37"/>
  <c r="AF13" i="201"/>
  <c r="AC13" i="201"/>
  <c r="AJ13" i="201"/>
  <c r="AH13" i="201"/>
  <c r="AB13" i="201"/>
  <c r="AG13" i="201"/>
  <c r="AI13" i="201"/>
  <c r="AK13" i="201"/>
  <c r="AE13" i="201"/>
  <c r="AD13" i="201"/>
  <c r="AF13" i="207"/>
  <c r="AI13" i="207"/>
  <c r="AC13" i="207"/>
  <c r="AB13" i="207"/>
  <c r="AE13" i="207"/>
  <c r="AK13" i="207"/>
  <c r="AD13" i="207"/>
  <c r="AJ13" i="207"/>
  <c r="AG13" i="207"/>
  <c r="AH13" i="207"/>
  <c r="AF13" i="192"/>
  <c r="AI13" i="192"/>
  <c r="AG13" i="192"/>
  <c r="AE13" i="192"/>
  <c r="AB13" i="192"/>
  <c r="AD13" i="192"/>
  <c r="AH13" i="192"/>
  <c r="AJ13" i="192"/>
  <c r="AC13" i="192"/>
  <c r="AK13" i="192"/>
  <c r="AB13" i="203"/>
  <c r="AD13" i="203"/>
  <c r="AI13" i="203"/>
  <c r="AJ13" i="203"/>
  <c r="AG13" i="203"/>
  <c r="AC13" i="203"/>
  <c r="AH13" i="203"/>
  <c r="AK13" i="203"/>
  <c r="AE13" i="203"/>
  <c r="AF13" i="203"/>
  <c r="AG13" i="191"/>
  <c r="AF13" i="191"/>
  <c r="AK13" i="191"/>
  <c r="AH13" i="191"/>
  <c r="AJ13" i="191"/>
  <c r="AD13" i="191"/>
  <c r="AC13" i="191"/>
  <c r="AE13" i="191"/>
  <c r="AB13" i="191"/>
  <c r="AI13" i="191"/>
  <c r="AD37" i="200"/>
  <c r="AK37" i="200"/>
  <c r="AH37" i="200"/>
  <c r="AC37" i="200"/>
  <c r="AJ37" i="200"/>
  <c r="AE37" i="200"/>
  <c r="AG37" i="200"/>
  <c r="AI37" i="200"/>
  <c r="AF37" i="200"/>
  <c r="AB37" i="200"/>
  <c r="AI37" i="212"/>
  <c r="AH37" i="212"/>
  <c r="AJ37" i="212"/>
  <c r="AF37" i="212"/>
  <c r="AB37" i="212"/>
  <c r="AK37" i="212"/>
  <c r="AE37" i="212"/>
  <c r="AC37" i="212"/>
  <c r="AD37" i="212"/>
  <c r="AG37" i="212"/>
  <c r="AH37" i="206"/>
  <c r="AB37" i="206"/>
  <c r="AI37" i="206"/>
  <c r="AJ37" i="206"/>
  <c r="AK37" i="206"/>
  <c r="AG37" i="206"/>
  <c r="AC37" i="206"/>
  <c r="AD37" i="206"/>
  <c r="AF37" i="206"/>
  <c r="AE37" i="206"/>
  <c r="AK37" i="208"/>
  <c r="AD37" i="208"/>
  <c r="AJ37" i="208"/>
  <c r="AG37" i="208"/>
  <c r="AB37" i="208"/>
  <c r="AC37" i="208"/>
  <c r="AI37" i="208"/>
  <c r="AE37" i="208"/>
  <c r="AF37" i="208"/>
  <c r="AH37" i="208"/>
  <c r="AJ37" i="210"/>
  <c r="AD37" i="210"/>
  <c r="AK37" i="210"/>
  <c r="AC37" i="210"/>
  <c r="AI37" i="210"/>
  <c r="AF37" i="210"/>
  <c r="AG37" i="210"/>
  <c r="AE37" i="210"/>
  <c r="AB37" i="210"/>
  <c r="AH37" i="210"/>
  <c r="AD37" i="211"/>
  <c r="AH37" i="211"/>
  <c r="AE37" i="211"/>
  <c r="AC37" i="211"/>
  <c r="AG37" i="211"/>
  <c r="AK37" i="211"/>
  <c r="AJ37" i="211"/>
  <c r="AF37" i="211"/>
  <c r="AB37" i="211"/>
  <c r="AI37" i="211"/>
  <c r="AH3" i="205"/>
  <c r="AK3" i="205"/>
  <c r="AD3" i="205"/>
  <c r="AC3" i="205"/>
  <c r="AB3" i="205"/>
  <c r="AJ3" i="205"/>
  <c r="AG3" i="205"/>
  <c r="AE3" i="205"/>
  <c r="AI3" i="205"/>
  <c r="AF3" i="205"/>
  <c r="AI3" i="210"/>
  <c r="AJ3" i="210"/>
  <c r="AB3" i="210"/>
  <c r="AD3" i="210"/>
  <c r="AG3" i="210"/>
  <c r="AC3" i="210"/>
  <c r="AF3" i="210"/>
  <c r="AE3" i="210"/>
  <c r="AH3" i="210"/>
  <c r="AK3" i="210"/>
  <c r="AJ3" i="206"/>
  <c r="AI3" i="206"/>
  <c r="AK3" i="206"/>
  <c r="AB3" i="206"/>
  <c r="AG3" i="206"/>
  <c r="AE3" i="206"/>
  <c r="AF3" i="206"/>
  <c r="AD3" i="206"/>
  <c r="AC3" i="206"/>
  <c r="AH3" i="206"/>
  <c r="AK3" i="207"/>
  <c r="AG3" i="207"/>
  <c r="AJ3" i="207"/>
  <c r="AD3" i="207"/>
  <c r="AE3" i="207"/>
  <c r="AB3" i="207"/>
  <c r="AC3" i="207"/>
  <c r="AI3" i="207"/>
  <c r="AF3" i="207"/>
  <c r="AH3" i="207"/>
  <c r="AE3" i="211"/>
  <c r="AC3" i="211"/>
  <c r="AD3" i="211"/>
  <c r="AK3" i="211"/>
  <c r="AI3" i="211"/>
  <c r="AH3" i="211"/>
  <c r="AJ3" i="211"/>
  <c r="AF3" i="211"/>
  <c r="AB3" i="211"/>
  <c r="AG3" i="211"/>
  <c r="AD3" i="195"/>
  <c r="AF3" i="195"/>
  <c r="AJ3" i="195"/>
  <c r="AC3" i="195"/>
  <c r="AH3" i="195"/>
  <c r="AI3" i="195"/>
  <c r="AG3" i="195"/>
  <c r="AE3" i="195"/>
  <c r="AK3" i="195"/>
  <c r="AB3" i="195"/>
  <c r="AC3" i="202"/>
  <c r="AI3" i="202"/>
  <c r="AE3" i="202"/>
  <c r="AG3" i="202"/>
  <c r="AK3" i="202"/>
  <c r="AD3" i="202"/>
  <c r="AF3" i="202"/>
  <c r="AJ3" i="202"/>
  <c r="AB3" i="202"/>
  <c r="AH3" i="202"/>
  <c r="AB20" i="200"/>
  <c r="AC20" i="200"/>
  <c r="AG20" i="200"/>
  <c r="AF20" i="200"/>
  <c r="AI20" i="200"/>
  <c r="AJ20" i="200"/>
  <c r="AH20" i="200"/>
  <c r="AK20" i="200"/>
  <c r="AD20" i="200"/>
  <c r="AE20" i="200"/>
  <c r="AK20" i="202"/>
  <c r="AF20" i="202"/>
  <c r="AG20" i="202"/>
  <c r="AJ20" i="202"/>
  <c r="AE20" i="202"/>
  <c r="AI20" i="202"/>
  <c r="AD20" i="202"/>
  <c r="AH20" i="202"/>
  <c r="AB20" i="202"/>
  <c r="AC20" i="202"/>
  <c r="AG20" i="213"/>
  <c r="AF20" i="213"/>
  <c r="AI20" i="213"/>
  <c r="AC20" i="213"/>
  <c r="AH20" i="213"/>
  <c r="AB20" i="213"/>
  <c r="AE20" i="213"/>
  <c r="AJ20" i="213"/>
  <c r="AD20" i="213"/>
  <c r="AK20" i="213"/>
  <c r="AK20" i="207"/>
  <c r="AC20" i="207"/>
  <c r="AJ20" i="207"/>
  <c r="AB20" i="207"/>
  <c r="AD20" i="207"/>
  <c r="AI20" i="207"/>
  <c r="AH20" i="207"/>
  <c r="AF20" i="207"/>
  <c r="AG20" i="207"/>
  <c r="AE20" i="207"/>
  <c r="AI20" i="198"/>
  <c r="AE20" i="198"/>
  <c r="AD20" i="198"/>
  <c r="AB20" i="198"/>
  <c r="AC20" i="198"/>
  <c r="AF20" i="198"/>
  <c r="AH20" i="198"/>
  <c r="AJ20" i="198"/>
  <c r="AG20" i="198"/>
  <c r="AK20" i="198"/>
  <c r="AE20" i="196"/>
  <c r="AJ20" i="196"/>
  <c r="AB20" i="196"/>
  <c r="AF20" i="196"/>
  <c r="AI20" i="196"/>
  <c r="AG20" i="196"/>
  <c r="AH20" i="196"/>
  <c r="AC20" i="196"/>
  <c r="AD20" i="196"/>
  <c r="AK20" i="196"/>
  <c r="AB15" i="194"/>
  <c r="AK15" i="194"/>
  <c r="AC15" i="194"/>
  <c r="AD15" i="194"/>
  <c r="AE15" i="194"/>
  <c r="AF15" i="194"/>
  <c r="AJ15" i="194"/>
  <c r="AG15" i="194"/>
  <c r="AH15" i="194"/>
  <c r="AI15" i="194"/>
  <c r="AI15" i="205"/>
  <c r="AF15" i="205"/>
  <c r="AB15" i="205"/>
  <c r="AC15" i="205"/>
  <c r="AG15" i="205"/>
  <c r="AH15" i="205"/>
  <c r="AE15" i="205"/>
  <c r="AD15" i="205"/>
  <c r="AJ15" i="205"/>
  <c r="AK15" i="205"/>
  <c r="AI15" i="197"/>
  <c r="AF15" i="197"/>
  <c r="AD15" i="197"/>
  <c r="AE15" i="197"/>
  <c r="AB15" i="197"/>
  <c r="AK15" i="197"/>
  <c r="AJ15" i="197"/>
  <c r="AC15" i="197"/>
  <c r="AH15" i="197"/>
  <c r="AG15" i="197"/>
  <c r="AK15" i="192"/>
  <c r="AF15" i="192"/>
  <c r="AC15" i="192"/>
  <c r="AG15" i="192"/>
  <c r="AB15" i="192"/>
  <c r="AI15" i="192"/>
  <c r="AE15" i="192"/>
  <c r="AH15" i="192"/>
  <c r="AJ15" i="192"/>
  <c r="AD15" i="192"/>
  <c r="AE15" i="213"/>
  <c r="AI15" i="213"/>
  <c r="AC15" i="213"/>
  <c r="AF15" i="213"/>
  <c r="AD15" i="213"/>
  <c r="AG15" i="213"/>
  <c r="AB15" i="213"/>
  <c r="AK15" i="213"/>
  <c r="AJ15" i="213"/>
  <c r="AH15" i="213"/>
  <c r="AF15" i="200"/>
  <c r="AG15" i="200"/>
  <c r="AE15" i="200"/>
  <c r="AD15" i="200"/>
  <c r="AK15" i="200"/>
  <c r="AH15" i="200"/>
  <c r="AC15" i="200"/>
  <c r="AB15" i="200"/>
  <c r="AJ15" i="200"/>
  <c r="AI15" i="200"/>
  <c r="AE36" i="198"/>
  <c r="AD36" i="198"/>
  <c r="AF36" i="198"/>
  <c r="AI36" i="198"/>
  <c r="AG36" i="198"/>
  <c r="AK36" i="198"/>
  <c r="AB36" i="198"/>
  <c r="AJ36" i="198"/>
  <c r="AC36" i="198"/>
  <c r="AH36" i="198"/>
  <c r="AB36" i="205"/>
  <c r="AC36" i="205"/>
  <c r="AJ36" i="205"/>
  <c r="AK36" i="205"/>
  <c r="AE36" i="205"/>
  <c r="AI36" i="205"/>
  <c r="AD36" i="205"/>
  <c r="AG36" i="205"/>
  <c r="AF36" i="205"/>
  <c r="AH36" i="205"/>
  <c r="AI36" i="201"/>
  <c r="AD36" i="201"/>
  <c r="AB36" i="201"/>
  <c r="AG36" i="201"/>
  <c r="AH36" i="201"/>
  <c r="AF36" i="201"/>
  <c r="AJ36" i="201"/>
  <c r="AK36" i="201"/>
  <c r="AE36" i="201"/>
  <c r="AC36" i="201"/>
  <c r="AB36" i="200"/>
  <c r="AJ36" i="200"/>
  <c r="AE36" i="200"/>
  <c r="AF36" i="200"/>
  <c r="AI36" i="200"/>
  <c r="AH36" i="200"/>
  <c r="AG36" i="200"/>
  <c r="AC36" i="200"/>
  <c r="AD36" i="200"/>
  <c r="AK36" i="200"/>
  <c r="AE36" i="214"/>
  <c r="AK36" i="214"/>
  <c r="AC36" i="214"/>
  <c r="AI36" i="214"/>
  <c r="AH36" i="214"/>
  <c r="AD36" i="214"/>
  <c r="AJ36" i="214"/>
  <c r="AG36" i="214"/>
  <c r="AF36" i="214"/>
  <c r="AB36" i="214"/>
  <c r="AD36" i="210"/>
  <c r="AH36" i="210"/>
  <c r="AE36" i="210"/>
  <c r="AI36" i="210"/>
  <c r="AJ36" i="210"/>
  <c r="AB36" i="210"/>
  <c r="AK36" i="210"/>
  <c r="AC36" i="210"/>
  <c r="AG36" i="210"/>
  <c r="AF36" i="210"/>
  <c r="AK12" i="214"/>
  <c r="AJ12" i="214"/>
  <c r="AF12" i="214"/>
  <c r="AH12" i="214"/>
  <c r="AD12" i="214"/>
  <c r="AI12" i="214"/>
  <c r="AC12" i="214"/>
  <c r="AB12" i="214"/>
  <c r="AE12" i="214"/>
  <c r="AG12" i="214"/>
  <c r="AH12" i="206"/>
  <c r="AK12" i="206"/>
  <c r="AD12" i="206"/>
  <c r="AC12" i="206"/>
  <c r="AJ12" i="206"/>
  <c r="AE12" i="206"/>
  <c r="AI12" i="206"/>
  <c r="AB12" i="206"/>
  <c r="AG12" i="206"/>
  <c r="AF12" i="206"/>
  <c r="AK12" i="202"/>
  <c r="AH12" i="202"/>
  <c r="AG12" i="202"/>
  <c r="AF12" i="202"/>
  <c r="AI12" i="202"/>
  <c r="AE12" i="202"/>
  <c r="AD12" i="202"/>
  <c r="AB12" i="202"/>
  <c r="AC12" i="202"/>
  <c r="AJ12" i="202"/>
  <c r="AK12" i="204"/>
  <c r="AF12" i="204"/>
  <c r="AE12" i="204"/>
  <c r="AD12" i="204"/>
  <c r="AG12" i="204"/>
  <c r="AH12" i="204"/>
  <c r="AB12" i="204"/>
  <c r="AC12" i="204"/>
  <c r="AI12" i="204"/>
  <c r="AJ12" i="204"/>
  <c r="AC12" i="209"/>
  <c r="AD12" i="209"/>
  <c r="AH12" i="209"/>
  <c r="AF12" i="209"/>
  <c r="AG12" i="209"/>
  <c r="AI12" i="209"/>
  <c r="AJ12" i="209"/>
  <c r="AB12" i="209"/>
  <c r="AE12" i="209"/>
  <c r="AK12" i="209"/>
  <c r="AJ12" i="197"/>
  <c r="AB12" i="197"/>
  <c r="AI12" i="197"/>
  <c r="AG12" i="197"/>
  <c r="AH12" i="197"/>
  <c r="AC12" i="197"/>
  <c r="AK12" i="197"/>
  <c r="AE12" i="197"/>
  <c r="AF12" i="197"/>
  <c r="AD12" i="197"/>
  <c r="AE12" i="200"/>
  <c r="AG12" i="200"/>
  <c r="AC12" i="200"/>
  <c r="AH12" i="200"/>
  <c r="AK12" i="200"/>
  <c r="AJ12" i="200"/>
  <c r="AB12" i="200"/>
  <c r="AD12" i="200"/>
  <c r="AI12" i="200"/>
  <c r="AF12" i="200"/>
  <c r="AC27" i="37"/>
  <c r="AD27" i="37"/>
  <c r="AH27" i="37"/>
  <c r="AF27" i="37"/>
  <c r="AJ27" i="37"/>
  <c r="AE27" i="37"/>
  <c r="AI27" i="37"/>
  <c r="AK27" i="37"/>
  <c r="AB27" i="37"/>
  <c r="AG27" i="37"/>
  <c r="AC27" i="199"/>
  <c r="AI27" i="199"/>
  <c r="AD27" i="199"/>
  <c r="AJ27" i="199"/>
  <c r="AK27" i="199"/>
  <c r="AB27" i="199"/>
  <c r="AF27" i="199"/>
  <c r="AH27" i="199"/>
  <c r="AG27" i="199"/>
  <c r="AE27" i="199"/>
  <c r="AG27" i="211"/>
  <c r="AK27" i="211"/>
  <c r="AD27" i="211"/>
  <c r="AI27" i="211"/>
  <c r="AF27" i="211"/>
  <c r="AE27" i="211"/>
  <c r="AC27" i="211"/>
  <c r="AB27" i="211"/>
  <c r="AH27" i="211"/>
  <c r="AJ27" i="211"/>
  <c r="AH27" i="202"/>
  <c r="AK27" i="202"/>
  <c r="AJ27" i="202"/>
  <c r="AE27" i="202"/>
  <c r="AG27" i="202"/>
  <c r="AI27" i="202"/>
  <c r="AD27" i="202"/>
  <c r="AB27" i="202"/>
  <c r="AF27" i="202"/>
  <c r="AC27" i="202"/>
  <c r="AK27" i="201"/>
  <c r="AJ27" i="201"/>
  <c r="AF27" i="201"/>
  <c r="AC27" i="201"/>
  <c r="AE27" i="201"/>
  <c r="AG27" i="201"/>
  <c r="AD27" i="201"/>
  <c r="AI27" i="201"/>
  <c r="AB27" i="201"/>
  <c r="AH27" i="201"/>
  <c r="AC27" i="194"/>
  <c r="AD27" i="194"/>
  <c r="AG27" i="194"/>
  <c r="AK27" i="194"/>
  <c r="AB27" i="194"/>
  <c r="AE27" i="194"/>
  <c r="AH27" i="194"/>
  <c r="AI27" i="194"/>
  <c r="AJ27" i="194"/>
  <c r="AF27" i="194"/>
  <c r="AC21" i="209"/>
  <c r="AJ21" i="209"/>
  <c r="AK21" i="209"/>
  <c r="AE21" i="209"/>
  <c r="AI21" i="209"/>
  <c r="AF21" i="209"/>
  <c r="AH21" i="209"/>
  <c r="AB21" i="209"/>
  <c r="AG21" i="209"/>
  <c r="AD21" i="209"/>
  <c r="AK21" i="194"/>
  <c r="AI21" i="194"/>
  <c r="AF21" i="194"/>
  <c r="AE21" i="194"/>
  <c r="AH21" i="194"/>
  <c r="AG21" i="194"/>
  <c r="AD21" i="194"/>
  <c r="AJ21" i="194"/>
  <c r="AB21" i="194"/>
  <c r="AC21" i="194"/>
  <c r="AB21" i="208"/>
  <c r="AG21" i="208"/>
  <c r="AK21" i="208"/>
  <c r="AJ21" i="208"/>
  <c r="AC21" i="208"/>
  <c r="AH21" i="208"/>
  <c r="AF21" i="208"/>
  <c r="AE21" i="208"/>
  <c r="AI21" i="208"/>
  <c r="AD21" i="208"/>
  <c r="AF21" i="205"/>
  <c r="AH21" i="205"/>
  <c r="AJ21" i="205"/>
  <c r="AE21" i="205"/>
  <c r="AD21" i="205"/>
  <c r="AC21" i="205"/>
  <c r="AK21" i="205"/>
  <c r="AG21" i="205"/>
  <c r="AB21" i="205"/>
  <c r="AI21" i="205"/>
  <c r="AF21" i="207"/>
  <c r="AK21" i="207"/>
  <c r="AC21" i="207"/>
  <c r="AG21" i="207"/>
  <c r="AD21" i="207"/>
  <c r="AJ21" i="207"/>
  <c r="AH21" i="207"/>
  <c r="AI21" i="207"/>
  <c r="AE21" i="207"/>
  <c r="AB21" i="207"/>
  <c r="AC21" i="203"/>
  <c r="AD21" i="203"/>
  <c r="AI21" i="203"/>
  <c r="AH21" i="203"/>
  <c r="AB21" i="203"/>
  <c r="AF21" i="203"/>
  <c r="AJ21" i="203"/>
  <c r="AG21" i="203"/>
  <c r="AE21" i="203"/>
  <c r="AK21" i="203"/>
  <c r="AE18" i="207"/>
  <c r="AJ18" i="207"/>
  <c r="AH18" i="207"/>
  <c r="AC18" i="207"/>
  <c r="AD18" i="207"/>
  <c r="AG18" i="207"/>
  <c r="AK18" i="207"/>
  <c r="AB18" i="207"/>
  <c r="AF18" i="207"/>
  <c r="AI18" i="207"/>
  <c r="AE18" i="193"/>
  <c r="AC18" i="193"/>
  <c r="AH18" i="193"/>
  <c r="AB18" i="193"/>
  <c r="AK18" i="193"/>
  <c r="AI18" i="193"/>
  <c r="AJ18" i="193"/>
  <c r="AD18" i="193"/>
  <c r="AF18" i="193"/>
  <c r="AG18" i="193"/>
  <c r="AI18" i="202"/>
  <c r="AB18" i="202"/>
  <c r="AE18" i="202"/>
  <c r="AD18" i="202"/>
  <c r="AG18" i="202"/>
  <c r="AH18" i="202"/>
  <c r="AK18" i="202"/>
  <c r="AJ18" i="202"/>
  <c r="AF18" i="202"/>
  <c r="AC18" i="202"/>
  <c r="AI18" i="198"/>
  <c r="AE18" i="198"/>
  <c r="AJ18" i="198"/>
  <c r="AD18" i="198"/>
  <c r="AK18" i="198"/>
  <c r="AF18" i="198"/>
  <c r="AH18" i="198"/>
  <c r="AG18" i="198"/>
  <c r="AB18" i="198"/>
  <c r="AC18" i="198"/>
  <c r="AK18" i="195"/>
  <c r="AH18" i="195"/>
  <c r="AF18" i="195"/>
  <c r="AJ18" i="195"/>
  <c r="AI18" i="195"/>
  <c r="AB18" i="195"/>
  <c r="AG18" i="195"/>
  <c r="AE18" i="195"/>
  <c r="AC18" i="195"/>
  <c r="AD18" i="195"/>
  <c r="AI18" i="192"/>
  <c r="AE18" i="192"/>
  <c r="AK18" i="192"/>
  <c r="AJ18" i="192"/>
  <c r="AB18" i="192"/>
  <c r="AG18" i="192"/>
  <c r="AF18" i="192"/>
  <c r="AC18" i="192"/>
  <c r="AH18" i="192"/>
  <c r="AD18" i="192"/>
  <c r="AF29" i="210"/>
  <c r="AG29" i="210"/>
  <c r="AI29" i="210"/>
  <c r="AJ29" i="210"/>
  <c r="AE29" i="210"/>
  <c r="AH29" i="210"/>
  <c r="AC29" i="210"/>
  <c r="AK29" i="210"/>
  <c r="AD29" i="210"/>
  <c r="AB29" i="210"/>
  <c r="AB29" i="213"/>
  <c r="AJ29" i="213"/>
  <c r="AH29" i="213"/>
  <c r="AF29" i="213"/>
  <c r="AI29" i="213"/>
  <c r="AD29" i="213"/>
  <c r="AE29" i="213"/>
  <c r="AK29" i="213"/>
  <c r="AG29" i="213"/>
  <c r="AC29" i="213"/>
  <c r="AK29" i="37"/>
  <c r="AE29" i="37"/>
  <c r="AJ29" i="37"/>
  <c r="AI29" i="37"/>
  <c r="AF29" i="37"/>
  <c r="AC29" i="37"/>
  <c r="AH29" i="37"/>
  <c r="AG29" i="37"/>
  <c r="AB29" i="37"/>
  <c r="AD29" i="37"/>
  <c r="AC29" i="199"/>
  <c r="AI29" i="199"/>
  <c r="AD29" i="199"/>
  <c r="AE29" i="199"/>
  <c r="AG29" i="199"/>
  <c r="AB29" i="199"/>
  <c r="AH29" i="199"/>
  <c r="AF29" i="199"/>
  <c r="AJ29" i="199"/>
  <c r="AK29" i="199"/>
  <c r="AD29" i="196"/>
  <c r="AB29" i="196"/>
  <c r="AI29" i="196"/>
  <c r="AH29" i="196"/>
  <c r="AG29" i="196"/>
  <c r="AJ29" i="196"/>
  <c r="AE29" i="196"/>
  <c r="AF29" i="196"/>
  <c r="AC29" i="196"/>
  <c r="AK29" i="196"/>
  <c r="AC29" i="211"/>
  <c r="AD29" i="211"/>
  <c r="AF29" i="211"/>
  <c r="AH29" i="211"/>
  <c r="AG29" i="211"/>
  <c r="AK29" i="211"/>
  <c r="AB29" i="211"/>
  <c r="AJ29" i="211"/>
  <c r="AE29" i="211"/>
  <c r="AI29" i="211"/>
  <c r="AK29" i="203"/>
  <c r="AG29" i="203"/>
  <c r="AB29" i="203"/>
  <c r="AD29" i="203"/>
  <c r="AI29" i="203"/>
  <c r="AC29" i="203"/>
  <c r="AJ29" i="203"/>
  <c r="AH29" i="203"/>
  <c r="AE29" i="203"/>
  <c r="AF29" i="203"/>
  <c r="AH11" i="193"/>
  <c r="AE11" i="193"/>
  <c r="AF11" i="193"/>
  <c r="AC11" i="193"/>
  <c r="AK11" i="193"/>
  <c r="AB11" i="193"/>
  <c r="AJ11" i="193"/>
  <c r="AI11" i="193"/>
  <c r="AG11" i="193"/>
  <c r="AD11" i="193"/>
  <c r="AK11" i="37"/>
  <c r="AB11" i="37"/>
  <c r="AJ11" i="37"/>
  <c r="AC11" i="37"/>
  <c r="AI11" i="37"/>
  <c r="AH11" i="37"/>
  <c r="AD11" i="37"/>
  <c r="AG11" i="37"/>
  <c r="AE11" i="37"/>
  <c r="AF11" i="37"/>
  <c r="AG11" i="196"/>
  <c r="AB11" i="196"/>
  <c r="AK11" i="196"/>
  <c r="AJ11" i="196"/>
  <c r="AD11" i="196"/>
  <c r="AE11" i="196"/>
  <c r="AC11" i="196"/>
  <c r="AI11" i="196"/>
  <c r="AH11" i="196"/>
  <c r="AF11" i="196"/>
  <c r="AJ11" i="210"/>
  <c r="AG11" i="210"/>
  <c r="AE11" i="210"/>
  <c r="AI11" i="210"/>
  <c r="AH11" i="210"/>
  <c r="AD11" i="210"/>
  <c r="AK11" i="210"/>
  <c r="AB11" i="210"/>
  <c r="AC11" i="210"/>
  <c r="AF11" i="210"/>
  <c r="AF11" i="191"/>
  <c r="AJ11" i="191"/>
  <c r="AI11" i="191"/>
  <c r="AC11" i="191"/>
  <c r="AH11" i="191"/>
  <c r="AB11" i="191"/>
  <c r="AD11" i="191"/>
  <c r="AK11" i="191"/>
  <c r="AG11" i="191"/>
  <c r="AE11" i="191"/>
  <c r="AF11" i="199"/>
  <c r="AI11" i="199"/>
  <c r="AJ11" i="199"/>
  <c r="AK11" i="199"/>
  <c r="AG11" i="199"/>
  <c r="AB11" i="199"/>
  <c r="AE11" i="199"/>
  <c r="AH11" i="199"/>
  <c r="AD11" i="199"/>
  <c r="AC11" i="199"/>
  <c r="AD28" i="199"/>
  <c r="AJ28" i="199"/>
  <c r="AI28" i="199"/>
  <c r="AC28" i="199"/>
  <c r="AF28" i="199"/>
  <c r="AK28" i="199"/>
  <c r="AE28" i="199"/>
  <c r="AH28" i="199"/>
  <c r="AG28" i="199"/>
  <c r="AB28" i="199"/>
  <c r="AC28" i="208"/>
  <c r="AK28" i="208"/>
  <c r="AF28" i="208"/>
  <c r="AD28" i="208"/>
  <c r="AI28" i="208"/>
  <c r="AJ28" i="208"/>
  <c r="AG28" i="208"/>
  <c r="AH28" i="208"/>
  <c r="AE28" i="208"/>
  <c r="AB28" i="208"/>
  <c r="AF28" i="206"/>
  <c r="AH28" i="206"/>
  <c r="AB28" i="206"/>
  <c r="AE28" i="206"/>
  <c r="AK28" i="206"/>
  <c r="AJ28" i="206"/>
  <c r="AI28" i="206"/>
  <c r="AC28" i="206"/>
  <c r="AD28" i="206"/>
  <c r="AG28" i="206"/>
  <c r="AJ28" i="200"/>
  <c r="AI28" i="200"/>
  <c r="AC28" i="200"/>
  <c r="AD28" i="200"/>
  <c r="AF28" i="200"/>
  <c r="AB28" i="200"/>
  <c r="AE28" i="200"/>
  <c r="AG28" i="200"/>
  <c r="AH28" i="200"/>
  <c r="AK28" i="200"/>
  <c r="AJ28" i="211"/>
  <c r="AK28" i="211"/>
  <c r="AD28" i="211"/>
  <c r="AH28" i="211"/>
  <c r="AF28" i="211"/>
  <c r="AI28" i="211"/>
  <c r="AC28" i="211"/>
  <c r="AE28" i="211"/>
  <c r="AG28" i="211"/>
  <c r="AB28" i="211"/>
  <c r="AE28" i="192"/>
  <c r="AI28" i="192"/>
  <c r="AF28" i="192"/>
  <c r="AB28" i="192"/>
  <c r="AD28" i="192"/>
  <c r="AG28" i="192"/>
  <c r="AC28" i="192"/>
  <c r="AK28" i="192"/>
  <c r="AH28" i="192"/>
  <c r="AJ28" i="192"/>
  <c r="AC26" i="194"/>
  <c r="AK26" i="194"/>
  <c r="AD26" i="194"/>
  <c r="AB26" i="194"/>
  <c r="AF26" i="194"/>
  <c r="AG26" i="194"/>
  <c r="AH26" i="194"/>
  <c r="AJ26" i="194"/>
  <c r="AI26" i="194"/>
  <c r="AE26" i="194"/>
  <c r="AE26" i="196"/>
  <c r="AJ26" i="196"/>
  <c r="AK26" i="196"/>
  <c r="AH26" i="196"/>
  <c r="AB26" i="196"/>
  <c r="AF26" i="196"/>
  <c r="AD26" i="196"/>
  <c r="AI26" i="196"/>
  <c r="AC26" i="196"/>
  <c r="AG26" i="196"/>
  <c r="AF26" i="195"/>
  <c r="AG26" i="195"/>
  <c r="AC26" i="195"/>
  <c r="AJ26" i="195"/>
  <c r="AE26" i="195"/>
  <c r="AD26" i="195"/>
  <c r="AB26" i="195"/>
  <c r="AI26" i="195"/>
  <c r="AK26" i="195"/>
  <c r="AH26" i="195"/>
  <c r="AE26" i="198"/>
  <c r="AC26" i="198"/>
  <c r="AG26" i="198"/>
  <c r="AK26" i="198"/>
  <c r="AH26" i="198"/>
  <c r="AB26" i="198"/>
  <c r="AF26" i="198"/>
  <c r="AJ26" i="198"/>
  <c r="AI26" i="198"/>
  <c r="AD26" i="198"/>
  <c r="AI26" i="201"/>
  <c r="AE26" i="201"/>
  <c r="AD26" i="201"/>
  <c r="AB26" i="201"/>
  <c r="AK26" i="201"/>
  <c r="AJ26" i="201"/>
  <c r="AF26" i="201"/>
  <c r="AG26" i="201"/>
  <c r="AC26" i="201"/>
  <c r="AH26" i="201"/>
  <c r="AF26" i="205"/>
  <c r="AJ26" i="205"/>
  <c r="AD26" i="205"/>
  <c r="AI26" i="205"/>
  <c r="AE26" i="205"/>
  <c r="AB26" i="205"/>
  <c r="AH26" i="205"/>
  <c r="AC26" i="205"/>
  <c r="AG26" i="205"/>
  <c r="AK26" i="205"/>
  <c r="AF23" i="203"/>
  <c r="AD23" i="203"/>
  <c r="AK23" i="203"/>
  <c r="AG23" i="203"/>
  <c r="AJ23" i="203"/>
  <c r="AB23" i="203"/>
  <c r="AE23" i="203"/>
  <c r="AH23" i="203"/>
  <c r="AC23" i="203"/>
  <c r="AI23" i="203"/>
  <c r="AK23" i="213"/>
  <c r="AB23" i="213"/>
  <c r="AC23" i="213"/>
  <c r="AJ23" i="213"/>
  <c r="AG23" i="213"/>
  <c r="AE23" i="213"/>
  <c r="AI23" i="213"/>
  <c r="AD23" i="213"/>
  <c r="AF23" i="213"/>
  <c r="AH23" i="213"/>
  <c r="AF23" i="210"/>
  <c r="AG23" i="210"/>
  <c r="AJ23" i="210"/>
  <c r="AD23" i="210"/>
  <c r="AE23" i="210"/>
  <c r="AC23" i="210"/>
  <c r="AH23" i="210"/>
  <c r="AK23" i="210"/>
  <c r="AB23" i="210"/>
  <c r="AI23" i="210"/>
  <c r="AG23" i="191"/>
  <c r="AB23" i="191"/>
  <c r="AD23" i="191"/>
  <c r="AE23" i="191"/>
  <c r="AC23" i="191"/>
  <c r="AJ23" i="191"/>
  <c r="AK23" i="191"/>
  <c r="AH23" i="191"/>
  <c r="AI23" i="191"/>
  <c r="AF23" i="191"/>
  <c r="AB23" i="37"/>
  <c r="AI23" i="37"/>
  <c r="AE23" i="37"/>
  <c r="AC23" i="37"/>
  <c r="AH23" i="37"/>
  <c r="AJ23" i="37"/>
  <c r="AG23" i="37"/>
  <c r="AD23" i="37"/>
  <c r="AF23" i="37"/>
  <c r="AK23" i="37"/>
  <c r="AF23" i="192"/>
  <c r="AE23" i="192"/>
  <c r="AH23" i="192"/>
  <c r="AK23" i="192"/>
  <c r="AI23" i="192"/>
  <c r="AJ23" i="192"/>
  <c r="AD23" i="192"/>
  <c r="AB23" i="192"/>
  <c r="AG23" i="192"/>
  <c r="AC23" i="192"/>
  <c r="AD23" i="207"/>
  <c r="AG23" i="207"/>
  <c r="AC23" i="207"/>
  <c r="AB23" i="207"/>
  <c r="AI23" i="207"/>
  <c r="AK23" i="207"/>
  <c r="AF23" i="207"/>
  <c r="AH23" i="207"/>
  <c r="AE23" i="207"/>
  <c r="AJ23" i="207"/>
  <c r="AI30" i="197"/>
  <c r="AC30" i="197"/>
  <c r="AK30" i="197"/>
  <c r="AF30" i="197"/>
  <c r="AG30" i="197"/>
  <c r="AD30" i="197"/>
  <c r="AJ30" i="197"/>
  <c r="AH30" i="197"/>
  <c r="AE30" i="197"/>
  <c r="AB30" i="197"/>
  <c r="AH30" i="194"/>
  <c r="AJ30" i="194"/>
  <c r="AE30" i="194"/>
  <c r="AC30" i="194"/>
  <c r="AD30" i="194"/>
  <c r="AG30" i="194"/>
  <c r="AF30" i="194"/>
  <c r="AI30" i="194"/>
  <c r="AK30" i="194"/>
  <c r="AB30" i="194"/>
  <c r="AB30" i="201"/>
  <c r="AE30" i="201"/>
  <c r="AH30" i="201"/>
  <c r="AI30" i="201"/>
  <c r="AC30" i="201"/>
  <c r="AJ30" i="201"/>
  <c r="AF30" i="201"/>
  <c r="AK30" i="201"/>
  <c r="AD30" i="201"/>
  <c r="AG30" i="201"/>
  <c r="AK30" i="192"/>
  <c r="AE30" i="192"/>
  <c r="AG30" i="192"/>
  <c r="AF30" i="192"/>
  <c r="AD30" i="192"/>
  <c r="AC30" i="192"/>
  <c r="AI30" i="192"/>
  <c r="AH30" i="192"/>
  <c r="AJ30" i="192"/>
  <c r="AB30" i="192"/>
  <c r="AJ30" i="193"/>
  <c r="AK30" i="193"/>
  <c r="AG30" i="193"/>
  <c r="AE30" i="193"/>
  <c r="AC30" i="193"/>
  <c r="AB30" i="193"/>
  <c r="AD30" i="193"/>
  <c r="AF30" i="193"/>
  <c r="AI30" i="193"/>
  <c r="AH30" i="193"/>
  <c r="AI30" i="209"/>
  <c r="AD30" i="209"/>
  <c r="AC30" i="209"/>
  <c r="AH30" i="209"/>
  <c r="AF30" i="209"/>
  <c r="AK30" i="209"/>
  <c r="AE30" i="209"/>
  <c r="AB30" i="209"/>
  <c r="AJ30" i="209"/>
  <c r="AG30" i="209"/>
  <c r="AD32" i="214"/>
  <c r="AC32" i="214"/>
  <c r="AE32" i="214"/>
  <c r="AG32" i="214"/>
  <c r="AB32" i="214"/>
  <c r="AK32" i="214"/>
  <c r="AJ32" i="214"/>
  <c r="AH32" i="214"/>
  <c r="AF32" i="214"/>
  <c r="AI32" i="214"/>
  <c r="AB32" i="193"/>
  <c r="AC32" i="193"/>
  <c r="AI32" i="193"/>
  <c r="AH32" i="193"/>
  <c r="AF32" i="193"/>
  <c r="AG32" i="193"/>
  <c r="AD32" i="193"/>
  <c r="AK32" i="193"/>
  <c r="AE32" i="193"/>
  <c r="AJ32" i="193"/>
  <c r="AB32" i="192"/>
  <c r="AJ32" i="192"/>
  <c r="AI32" i="192"/>
  <c r="AF32" i="192"/>
  <c r="AD32" i="192"/>
  <c r="AH32" i="192"/>
  <c r="AE32" i="192"/>
  <c r="AG32" i="192"/>
  <c r="AK32" i="192"/>
  <c r="AC32" i="192"/>
  <c r="AE32" i="212"/>
  <c r="AG32" i="212"/>
  <c r="AD32" i="212"/>
  <c r="AK32" i="212"/>
  <c r="AB32" i="212"/>
  <c r="AJ32" i="212"/>
  <c r="AC32" i="212"/>
  <c r="AF32" i="212"/>
  <c r="AI32" i="212"/>
  <c r="AH32" i="212"/>
  <c r="AF32" i="197"/>
  <c r="AI32" i="197"/>
  <c r="AG32" i="197"/>
  <c r="AH32" i="197"/>
  <c r="AK32" i="197"/>
  <c r="AC32" i="197"/>
  <c r="AB32" i="197"/>
  <c r="AJ32" i="197"/>
  <c r="AD32" i="197"/>
  <c r="AE32" i="197"/>
  <c r="AH32" i="203"/>
  <c r="AB32" i="203"/>
  <c r="AD32" i="203"/>
  <c r="AG32" i="203"/>
  <c r="AI32" i="203"/>
  <c r="AJ32" i="203"/>
  <c r="AE32" i="203"/>
  <c r="AF32" i="203"/>
  <c r="AK32" i="203"/>
  <c r="AC32" i="203"/>
  <c r="AD16" i="195"/>
  <c r="AF16" i="195"/>
  <c r="AC16" i="195"/>
  <c r="AK16" i="195"/>
  <c r="AE16" i="195"/>
  <c r="AJ16" i="195"/>
  <c r="AB16" i="195"/>
  <c r="AG16" i="195"/>
  <c r="AH16" i="195"/>
  <c r="AI16" i="195"/>
  <c r="AI16" i="203"/>
  <c r="AG16" i="203"/>
  <c r="AJ16" i="203"/>
  <c r="AF16" i="203"/>
  <c r="AH16" i="203"/>
  <c r="AE16" i="203"/>
  <c r="AC16" i="203"/>
  <c r="AK16" i="203"/>
  <c r="AB16" i="203"/>
  <c r="AD16" i="203"/>
  <c r="AC16" i="204"/>
  <c r="AJ16" i="204"/>
  <c r="AK16" i="204"/>
  <c r="AD16" i="204"/>
  <c r="AE16" i="204"/>
  <c r="AH16" i="204"/>
  <c r="AF16" i="204"/>
  <c r="AI16" i="204"/>
  <c r="AG16" i="204"/>
  <c r="AB16" i="204"/>
  <c r="AD16" i="211"/>
  <c r="AH16" i="211"/>
  <c r="AJ16" i="211"/>
  <c r="AG16" i="211"/>
  <c r="AB16" i="211"/>
  <c r="AE16" i="211"/>
  <c r="AI16" i="211"/>
  <c r="AF16" i="211"/>
  <c r="AC16" i="211"/>
  <c r="AK16" i="211"/>
  <c r="AK16" i="199"/>
  <c r="AC16" i="199"/>
  <c r="AH16" i="199"/>
  <c r="AB16" i="199"/>
  <c r="AG16" i="199"/>
  <c r="AF16" i="199"/>
  <c r="AE16" i="199"/>
  <c r="AJ16" i="199"/>
  <c r="AD16" i="199"/>
  <c r="AI16" i="199"/>
  <c r="AI16" i="191"/>
  <c r="AF16" i="191"/>
  <c r="AE16" i="191"/>
  <c r="AG16" i="191"/>
  <c r="AD16" i="191"/>
  <c r="AB16" i="191"/>
  <c r="AH16" i="191"/>
  <c r="AJ16" i="191"/>
  <c r="AC16" i="191"/>
  <c r="AK16" i="191"/>
  <c r="AI33" i="210"/>
  <c r="AE33" i="210"/>
  <c r="AG33" i="210"/>
  <c r="AD33" i="210"/>
  <c r="AH33" i="210"/>
  <c r="AJ33" i="210"/>
  <c r="AC33" i="210"/>
  <c r="AB33" i="210"/>
  <c r="AK33" i="210"/>
  <c r="AF33" i="210"/>
  <c r="AH33" i="195"/>
  <c r="AE33" i="195"/>
  <c r="AC33" i="195"/>
  <c r="AD33" i="195"/>
  <c r="AF33" i="195"/>
  <c r="AJ33" i="195"/>
  <c r="AB33" i="195"/>
  <c r="AG33" i="195"/>
  <c r="AI33" i="195"/>
  <c r="AK33" i="195"/>
  <c r="AC33" i="214"/>
  <c r="AF33" i="214"/>
  <c r="AG33" i="214"/>
  <c r="AH33" i="214"/>
  <c r="AI33" i="214"/>
  <c r="AD33" i="214"/>
  <c r="AE33" i="214"/>
  <c r="AB33" i="214"/>
  <c r="AJ33" i="214"/>
  <c r="AK33" i="214"/>
  <c r="AF33" i="209"/>
  <c r="AJ33" i="209"/>
  <c r="AG33" i="209"/>
  <c r="AH33" i="209"/>
  <c r="AC33" i="209"/>
  <c r="AE33" i="209"/>
  <c r="AK33" i="209"/>
  <c r="AD33" i="209"/>
  <c r="AI33" i="209"/>
  <c r="AB33" i="209"/>
  <c r="AD33" i="194"/>
  <c r="AB33" i="194"/>
  <c r="AG33" i="194"/>
  <c r="AK33" i="194"/>
  <c r="AF33" i="194"/>
  <c r="AE33" i="194"/>
  <c r="AJ33" i="194"/>
  <c r="AH33" i="194"/>
  <c r="AC33" i="194"/>
  <c r="AI33" i="194"/>
  <c r="AF33" i="200"/>
  <c r="AC33" i="200"/>
  <c r="AJ33" i="200"/>
  <c r="AK33" i="200"/>
  <c r="AB33" i="200"/>
  <c r="AE33" i="200"/>
  <c r="AI33" i="200"/>
  <c r="AG33" i="200"/>
  <c r="AD33" i="200"/>
  <c r="AH33" i="200"/>
  <c r="AG33" i="208"/>
  <c r="AI33" i="208"/>
  <c r="AB33" i="208"/>
  <c r="AH33" i="208"/>
  <c r="AF33" i="208"/>
  <c r="AJ33" i="208"/>
  <c r="AC33" i="208"/>
  <c r="AE33" i="208"/>
  <c r="AD33" i="208"/>
  <c r="AK33" i="208"/>
  <c r="AF31" i="197"/>
  <c r="AK31" i="197"/>
  <c r="AD31" i="197"/>
  <c r="AH31" i="197"/>
  <c r="AE31" i="197"/>
  <c r="AC31" i="197"/>
  <c r="AJ31" i="197"/>
  <c r="AB31" i="197"/>
  <c r="AI31" i="197"/>
  <c r="AG31" i="197"/>
  <c r="AK31" i="209"/>
  <c r="AC31" i="209"/>
  <c r="AG31" i="209"/>
  <c r="AE31" i="209"/>
  <c r="AH31" i="209"/>
  <c r="AF31" i="209"/>
  <c r="AI31" i="209"/>
  <c r="AB31" i="209"/>
  <c r="AD31" i="209"/>
  <c r="AJ31" i="209"/>
  <c r="AJ31" i="202"/>
  <c r="AE31" i="202"/>
  <c r="AG31" i="202"/>
  <c r="AB31" i="202"/>
  <c r="AH31" i="202"/>
  <c r="AI31" i="202"/>
  <c r="AD31" i="202"/>
  <c r="AF31" i="202"/>
  <c r="AC31" i="202"/>
  <c r="AK31" i="202"/>
  <c r="AF31" i="195"/>
  <c r="AB31" i="195"/>
  <c r="AJ31" i="195"/>
  <c r="AH31" i="195"/>
  <c r="AI31" i="195"/>
  <c r="AE31" i="195"/>
  <c r="AK31" i="195"/>
  <c r="AC31" i="195"/>
  <c r="AG31" i="195"/>
  <c r="AD31" i="195"/>
  <c r="AB31" i="37"/>
  <c r="AK31" i="37"/>
  <c r="AD31" i="37"/>
  <c r="AG31" i="37"/>
  <c r="AI31" i="37"/>
  <c r="AF31" i="37"/>
  <c r="AH31" i="37"/>
  <c r="AE31" i="37"/>
  <c r="AJ31" i="37"/>
  <c r="AC31" i="37"/>
  <c r="AB31" i="211"/>
  <c r="AJ31" i="211"/>
  <c r="AC31" i="211"/>
  <c r="AD31" i="211"/>
  <c r="AI31" i="211"/>
  <c r="AK31" i="211"/>
  <c r="AG31" i="211"/>
  <c r="AH31" i="211"/>
  <c r="AF31" i="211"/>
  <c r="AE31" i="211"/>
  <c r="AJ34" i="200"/>
  <c r="AH34" i="200"/>
  <c r="AG34" i="200"/>
  <c r="AB34" i="200"/>
  <c r="AD34" i="200"/>
  <c r="AI34" i="200"/>
  <c r="AF34" i="200"/>
  <c r="AE34" i="200"/>
  <c r="AC34" i="200"/>
  <c r="AK34" i="200"/>
  <c r="AG34" i="193"/>
  <c r="AE34" i="193"/>
  <c r="AK34" i="193"/>
  <c r="AB34" i="193"/>
  <c r="AF34" i="193"/>
  <c r="AI34" i="193"/>
  <c r="AH34" i="193"/>
  <c r="AD34" i="193"/>
  <c r="AJ34" i="193"/>
  <c r="AC34" i="193"/>
  <c r="AF34" i="201"/>
  <c r="AJ34" i="201"/>
  <c r="AE34" i="201"/>
  <c r="AB34" i="201"/>
  <c r="AK34" i="201"/>
  <c r="AD34" i="201"/>
  <c r="AC34" i="201"/>
  <c r="AG34" i="201"/>
  <c r="AI34" i="201"/>
  <c r="AH34" i="201"/>
  <c r="AK34" i="210"/>
  <c r="AD34" i="210"/>
  <c r="AI34" i="210"/>
  <c r="AF34" i="210"/>
  <c r="AE34" i="210"/>
  <c r="AB34" i="210"/>
  <c r="AC34" i="210"/>
  <c r="AH34" i="210"/>
  <c r="AJ34" i="210"/>
  <c r="AG34" i="210"/>
  <c r="AF34" i="208"/>
  <c r="AI34" i="208"/>
  <c r="AH34" i="208"/>
  <c r="AB34" i="208"/>
  <c r="AC34" i="208"/>
  <c r="AE34" i="208"/>
  <c r="AD34" i="208"/>
  <c r="AJ34" i="208"/>
  <c r="AK34" i="208"/>
  <c r="AG34" i="208"/>
  <c r="AF34" i="206"/>
  <c r="AK34" i="206"/>
  <c r="AE34" i="206"/>
  <c r="AG34" i="206"/>
  <c r="AD34" i="206"/>
  <c r="AJ34" i="206"/>
  <c r="AC34" i="206"/>
  <c r="AH34" i="206"/>
  <c r="AB34" i="206"/>
  <c r="AI34" i="206"/>
  <c r="AB10" i="195"/>
  <c r="AK10" i="195"/>
  <c r="AG10" i="195"/>
  <c r="AC10" i="195"/>
  <c r="AI10" i="195"/>
  <c r="AD10" i="195"/>
  <c r="AJ10" i="195"/>
  <c r="AH10" i="195"/>
  <c r="AE10" i="195"/>
  <c r="AF10" i="195"/>
  <c r="AF10" i="196"/>
  <c r="AK10" i="196"/>
  <c r="AD10" i="196"/>
  <c r="AC10" i="196"/>
  <c r="AE10" i="196"/>
  <c r="AH10" i="196"/>
  <c r="AI10" i="196"/>
  <c r="AJ10" i="196"/>
  <c r="AG10" i="196"/>
  <c r="AB10" i="196"/>
  <c r="AG10" i="210"/>
  <c r="AE10" i="210"/>
  <c r="AC10" i="210"/>
  <c r="AF10" i="210"/>
  <c r="AJ10" i="210"/>
  <c r="AK10" i="210"/>
  <c r="AD10" i="210"/>
  <c r="AH10" i="210"/>
  <c r="AB10" i="210"/>
  <c r="AI10" i="210"/>
  <c r="AI10" i="191"/>
  <c r="AH10" i="191"/>
  <c r="AE10" i="191"/>
  <c r="AC10" i="191"/>
  <c r="AJ10" i="191"/>
  <c r="AB10" i="191"/>
  <c r="AG10" i="191"/>
  <c r="AK10" i="191"/>
  <c r="AF10" i="191"/>
  <c r="AD10" i="191"/>
  <c r="AD10" i="205"/>
  <c r="AC10" i="205"/>
  <c r="AF10" i="205"/>
  <c r="AK10" i="205"/>
  <c r="AH10" i="205"/>
  <c r="AB10" i="205"/>
  <c r="AE10" i="205"/>
  <c r="AI10" i="205"/>
  <c r="AJ10" i="205"/>
  <c r="AG10" i="205"/>
  <c r="AD10" i="194"/>
  <c r="AK10" i="194"/>
  <c r="AJ10" i="194"/>
  <c r="AI10" i="194"/>
  <c r="AF10" i="194"/>
  <c r="AH10" i="194"/>
  <c r="AG10" i="194"/>
  <c r="AB10" i="194"/>
  <c r="AE10" i="194"/>
  <c r="AC10" i="194"/>
  <c r="AJ25" i="191"/>
  <c r="AC25" i="191"/>
  <c r="AE25" i="191"/>
  <c r="AB25" i="191"/>
  <c r="AG25" i="191"/>
  <c r="AH25" i="191"/>
  <c r="AK25" i="191"/>
  <c r="AD25" i="191"/>
  <c r="AI25" i="191"/>
  <c r="AF25" i="191"/>
  <c r="AJ25" i="194"/>
  <c r="AC25" i="194"/>
  <c r="AK25" i="194"/>
  <c r="AE25" i="194"/>
  <c r="AB25" i="194"/>
  <c r="AF25" i="194"/>
  <c r="AD25" i="194"/>
  <c r="AI25" i="194"/>
  <c r="AG25" i="194"/>
  <c r="AH25" i="194"/>
  <c r="AB25" i="209"/>
  <c r="AC25" i="209"/>
  <c r="AH25" i="209"/>
  <c r="AF25" i="209"/>
  <c r="AJ25" i="209"/>
  <c r="AD25" i="209"/>
  <c r="AI25" i="209"/>
  <c r="AE25" i="209"/>
  <c r="AG25" i="209"/>
  <c r="AK25" i="209"/>
  <c r="AB25" i="211"/>
  <c r="AF25" i="211"/>
  <c r="AJ25" i="211"/>
  <c r="AI25" i="211"/>
  <c r="AC25" i="211"/>
  <c r="AK25" i="211"/>
  <c r="AD25" i="211"/>
  <c r="AH25" i="211"/>
  <c r="AG25" i="211"/>
  <c r="AE25" i="211"/>
  <c r="AI25" i="213"/>
  <c r="AJ25" i="213"/>
  <c r="AB25" i="213"/>
  <c r="AG25" i="213"/>
  <c r="AE25" i="213"/>
  <c r="AH25" i="213"/>
  <c r="AD25" i="213"/>
  <c r="AC25" i="213"/>
  <c r="AF25" i="213"/>
  <c r="AK25" i="213"/>
  <c r="AD25" i="37"/>
  <c r="AC25" i="37"/>
  <c r="AJ25" i="37"/>
  <c r="AE25" i="37"/>
  <c r="AH25" i="37"/>
  <c r="AB25" i="37"/>
  <c r="AF25" i="37"/>
  <c r="AK25" i="37"/>
  <c r="AG25" i="37"/>
  <c r="AI25" i="37"/>
  <c r="AJ25" i="201"/>
  <c r="AI25" i="201"/>
  <c r="AG25" i="201"/>
  <c r="AK25" i="201"/>
  <c r="AF25" i="201"/>
  <c r="AD25" i="201"/>
  <c r="AE25" i="201"/>
  <c r="AC25" i="201"/>
  <c r="AB25" i="201"/>
  <c r="AH25" i="201"/>
  <c r="AC35" i="200"/>
  <c r="AH35" i="200"/>
  <c r="AD35" i="200"/>
  <c r="AI35" i="200"/>
  <c r="AE35" i="200"/>
  <c r="AG35" i="200"/>
  <c r="AJ35" i="200"/>
  <c r="AK35" i="200"/>
  <c r="AF35" i="200"/>
  <c r="AB35" i="200"/>
  <c r="AC35" i="205"/>
  <c r="AH35" i="205"/>
  <c r="AB35" i="205"/>
  <c r="AD35" i="205"/>
  <c r="AG35" i="205"/>
  <c r="AE35" i="205"/>
  <c r="AJ35" i="205"/>
  <c r="AK35" i="205"/>
  <c r="AI35" i="205"/>
  <c r="AF35" i="205"/>
  <c r="AF35" i="212"/>
  <c r="AI35" i="212"/>
  <c r="AE35" i="212"/>
  <c r="AK35" i="212"/>
  <c r="AG35" i="212"/>
  <c r="AJ35" i="212"/>
  <c r="AB35" i="212"/>
  <c r="AC35" i="212"/>
  <c r="AH35" i="212"/>
  <c r="AD35" i="212"/>
  <c r="AE35" i="196"/>
  <c r="AG35" i="196"/>
  <c r="AI35" i="196"/>
  <c r="AB35" i="196"/>
  <c r="AC35" i="196"/>
  <c r="AH35" i="196"/>
  <c r="AD35" i="196"/>
  <c r="AK35" i="196"/>
  <c r="AF35" i="196"/>
  <c r="AJ35" i="196"/>
  <c r="AC35" i="201"/>
  <c r="AF35" i="201"/>
  <c r="AI35" i="201"/>
  <c r="AH35" i="201"/>
  <c r="AD35" i="201"/>
  <c r="AB35" i="201"/>
  <c r="AJ35" i="201"/>
  <c r="AK35" i="201"/>
  <c r="AE35" i="201"/>
  <c r="AG35" i="201"/>
  <c r="AB35" i="202"/>
  <c r="AF35" i="202"/>
  <c r="AG35" i="202"/>
  <c r="AC35" i="202"/>
  <c r="AH35" i="202"/>
  <c r="AJ35" i="202"/>
  <c r="AD35" i="202"/>
  <c r="AK35" i="202"/>
  <c r="AE35" i="202"/>
  <c r="AI35" i="202"/>
  <c r="AB2" i="194"/>
  <c r="AF2" i="194"/>
  <c r="AH2" i="194"/>
  <c r="AG2" i="194"/>
  <c r="AI2" i="194"/>
  <c r="AE2" i="194"/>
  <c r="AJ2" i="194"/>
  <c r="AC2" i="194"/>
  <c r="AD2" i="194"/>
  <c r="AK2" i="194"/>
  <c r="AD2" i="211"/>
  <c r="AC2" i="211"/>
  <c r="AH2" i="211"/>
  <c r="AK2" i="211"/>
  <c r="AB2" i="211"/>
  <c r="AF2" i="211"/>
  <c r="AJ2" i="211"/>
  <c r="AG2" i="211"/>
  <c r="AE2" i="211"/>
  <c r="AI2" i="211"/>
  <c r="AC2" i="209"/>
  <c r="AE2" i="209"/>
  <c r="AI2" i="209"/>
  <c r="AH2" i="209"/>
  <c r="AB2" i="209"/>
  <c r="AK2" i="209"/>
  <c r="AF2" i="209"/>
  <c r="AG2" i="209"/>
  <c r="AJ2" i="209"/>
  <c r="AD2" i="209"/>
  <c r="AH2" i="206"/>
  <c r="AF2" i="206"/>
  <c r="AB2" i="206"/>
  <c r="AI2" i="206"/>
  <c r="AK2" i="206"/>
  <c r="AD2" i="206"/>
  <c r="AG2" i="206"/>
  <c r="AC2" i="206"/>
  <c r="AE2" i="206"/>
  <c r="AJ2" i="206"/>
  <c r="AG2" i="213"/>
  <c r="AD2" i="213"/>
  <c r="AI2" i="213"/>
  <c r="AH2" i="213"/>
  <c r="AF2" i="213"/>
  <c r="AE2" i="213"/>
  <c r="AK2" i="213"/>
  <c r="AB2" i="213"/>
  <c r="AJ2" i="213"/>
  <c r="AC2" i="213"/>
  <c r="AK2" i="207"/>
  <c r="AF2" i="207"/>
  <c r="AJ2" i="207"/>
  <c r="AB2" i="207"/>
  <c r="AD2" i="207"/>
  <c r="AG2" i="207"/>
  <c r="AI2" i="207"/>
  <c r="AC2" i="207"/>
  <c r="AH2" i="207"/>
  <c r="AE2" i="207"/>
  <c r="AE24" i="198"/>
  <c r="AG24" i="198"/>
  <c r="AK24" i="198"/>
  <c r="AJ24" i="198"/>
  <c r="AC24" i="198"/>
  <c r="AI24" i="198"/>
  <c r="AD24" i="198"/>
  <c r="AB24" i="198"/>
  <c r="AF24" i="198"/>
  <c r="AH24" i="198"/>
  <c r="AE24" i="208"/>
  <c r="AH24" i="208"/>
  <c r="AJ24" i="208"/>
  <c r="AC24" i="208"/>
  <c r="AK24" i="208"/>
  <c r="AF24" i="208"/>
  <c r="AG24" i="208"/>
  <c r="AB24" i="208"/>
  <c r="AD24" i="208"/>
  <c r="AI24" i="208"/>
  <c r="AE24" i="205"/>
  <c r="AC24" i="205"/>
  <c r="AI24" i="205"/>
  <c r="AD24" i="205"/>
  <c r="AB24" i="205"/>
  <c r="AJ24" i="205"/>
  <c r="AH24" i="205"/>
  <c r="AF24" i="205"/>
  <c r="AG24" i="205"/>
  <c r="AK24" i="205"/>
  <c r="AH24" i="191"/>
  <c r="AF24" i="191"/>
  <c r="AE24" i="191"/>
  <c r="AK24" i="191"/>
  <c r="AI24" i="191"/>
  <c r="AG24" i="191"/>
  <c r="AB24" i="191"/>
  <c r="AJ24" i="191"/>
  <c r="AD24" i="191"/>
  <c r="AC24" i="191"/>
  <c r="AJ24" i="203"/>
  <c r="AK24" i="203"/>
  <c r="AB24" i="203"/>
  <c r="AG24" i="203"/>
  <c r="AF24" i="203"/>
  <c r="AE24" i="203"/>
  <c r="AH24" i="203"/>
  <c r="AC24" i="203"/>
  <c r="AD24" i="203"/>
  <c r="AI24" i="203"/>
  <c r="AK24" i="202"/>
  <c r="AH24" i="202"/>
  <c r="AB24" i="202"/>
  <c r="AC24" i="202"/>
  <c r="AF24" i="202"/>
  <c r="AI24" i="202"/>
  <c r="AG24" i="202"/>
  <c r="AJ24" i="202"/>
  <c r="AD24" i="202"/>
  <c r="AE24" i="202"/>
  <c r="AK19" i="191"/>
  <c r="AD19" i="191"/>
  <c r="AC19" i="191"/>
  <c r="AB19" i="191"/>
  <c r="AF19" i="191"/>
  <c r="AI19" i="191"/>
  <c r="AJ19" i="191"/>
  <c r="AG19" i="191"/>
  <c r="AH19" i="191"/>
  <c r="AE19" i="191"/>
  <c r="AJ19" i="195"/>
  <c r="AD19" i="195"/>
  <c r="AF19" i="195"/>
  <c r="AK19" i="195"/>
  <c r="AE19" i="195"/>
  <c r="AH19" i="195"/>
  <c r="AG19" i="195"/>
  <c r="AC19" i="195"/>
  <c r="AI19" i="195"/>
  <c r="AB19" i="195"/>
  <c r="AK19" i="197"/>
  <c r="AJ19" i="197"/>
  <c r="AF19" i="197"/>
  <c r="AB19" i="197"/>
  <c r="AC19" i="197"/>
  <c r="AI19" i="197"/>
  <c r="AE19" i="197"/>
  <c r="AD19" i="197"/>
  <c r="AG19" i="197"/>
  <c r="AH19" i="197"/>
  <c r="AE19" i="196"/>
  <c r="AH19" i="196"/>
  <c r="AG19" i="196"/>
  <c r="AC19" i="196"/>
  <c r="AF19" i="196"/>
  <c r="AK19" i="196"/>
  <c r="AB19" i="196"/>
  <c r="AD19" i="196"/>
  <c r="AJ19" i="196"/>
  <c r="AI19" i="196"/>
  <c r="AH19" i="205"/>
  <c r="AB19" i="205"/>
  <c r="AK19" i="205"/>
  <c r="AG19" i="205"/>
  <c r="AC19" i="205"/>
  <c r="AD19" i="205"/>
  <c r="AF19" i="205"/>
  <c r="AE19" i="205"/>
  <c r="AJ19" i="205"/>
  <c r="AI19" i="205"/>
  <c r="AH19" i="203"/>
  <c r="AC19" i="203"/>
  <c r="AG19" i="203"/>
  <c r="AE19" i="203"/>
  <c r="AB19" i="203"/>
  <c r="AI19" i="203"/>
  <c r="AF19" i="203"/>
  <c r="AJ19" i="203"/>
  <c r="AD19" i="203"/>
  <c r="AK19" i="203"/>
  <c r="AF19" i="206"/>
  <c r="AI19" i="206"/>
  <c r="AJ19" i="206"/>
  <c r="AK19" i="206"/>
  <c r="AG19" i="206"/>
  <c r="AD19" i="206"/>
  <c r="AB19" i="206"/>
  <c r="AH19" i="206"/>
  <c r="AE19" i="206"/>
  <c r="AC19" i="206"/>
  <c r="AK19" i="210"/>
  <c r="AJ19" i="210"/>
  <c r="AD19" i="210"/>
  <c r="AH19" i="210"/>
  <c r="AC19" i="210"/>
  <c r="AE19" i="210"/>
  <c r="AB19" i="210"/>
  <c r="AG19" i="210"/>
  <c r="AI19" i="210"/>
  <c r="AF19" i="210"/>
  <c r="AK6" i="207"/>
  <c r="AD6" i="207"/>
  <c r="AC6" i="207"/>
  <c r="AI6" i="207"/>
  <c r="AB6" i="207"/>
  <c r="AG6" i="207"/>
  <c r="AE6" i="207"/>
  <c r="AH6" i="207"/>
  <c r="AF6" i="207"/>
  <c r="AJ6" i="207"/>
  <c r="AH6" i="192"/>
  <c r="AG6" i="192"/>
  <c r="AE6" i="192"/>
  <c r="AD6" i="192"/>
  <c r="AJ6" i="192"/>
  <c r="AB6" i="192"/>
  <c r="AI6" i="192"/>
  <c r="AK6" i="192"/>
  <c r="AF6" i="192"/>
  <c r="AC6" i="192"/>
  <c r="AK6" i="214"/>
  <c r="AI6" i="214"/>
  <c r="AJ6" i="214"/>
  <c r="AD6" i="214"/>
  <c r="AB6" i="214"/>
  <c r="AF6" i="214"/>
  <c r="AE6" i="214"/>
  <c r="AC6" i="214"/>
  <c r="AG6" i="214"/>
  <c r="AH6" i="214"/>
  <c r="AB6" i="209"/>
  <c r="AE6" i="209"/>
  <c r="AJ6" i="209"/>
  <c r="AF6" i="209"/>
  <c r="AC6" i="209"/>
  <c r="AD6" i="209"/>
  <c r="AG6" i="209"/>
  <c r="AK6" i="209"/>
  <c r="AI6" i="209"/>
  <c r="AH6" i="209"/>
  <c r="AB6" i="194"/>
  <c r="AI6" i="194"/>
  <c r="AF6" i="194"/>
  <c r="AC6" i="194"/>
  <c r="AK6" i="194"/>
  <c r="AE6" i="194"/>
  <c r="AG6" i="194"/>
  <c r="AH6" i="194"/>
  <c r="AD6" i="194"/>
  <c r="AJ6" i="194"/>
  <c r="AE6" i="195"/>
  <c r="AJ6" i="195"/>
  <c r="AC6" i="195"/>
  <c r="AK6" i="195"/>
  <c r="AB6" i="195"/>
  <c r="AF6" i="195"/>
  <c r="AD6" i="195"/>
  <c r="AH6" i="195"/>
  <c r="AI6" i="195"/>
  <c r="AG6" i="195"/>
  <c r="AC6" i="201"/>
  <c r="AD6" i="201"/>
  <c r="AF6" i="201"/>
  <c r="AE6" i="201"/>
  <c r="AB6" i="201"/>
  <c r="AH6" i="201"/>
  <c r="AI6" i="201"/>
  <c r="AG6" i="201"/>
  <c r="AJ6" i="201"/>
  <c r="AK6" i="201"/>
  <c r="AI5" i="210"/>
  <c r="AC5" i="210"/>
  <c r="AB5" i="210"/>
  <c r="AH5" i="210"/>
  <c r="AK5" i="210"/>
  <c r="AJ5" i="210"/>
  <c r="AG5" i="210"/>
  <c r="AD5" i="210"/>
  <c r="AE5" i="210"/>
  <c r="AF5" i="210"/>
  <c r="AG5" i="198"/>
  <c r="AJ5" i="198"/>
  <c r="AI5" i="198"/>
  <c r="AH5" i="198"/>
  <c r="AF5" i="198"/>
  <c r="AE5" i="198"/>
  <c r="AC5" i="198"/>
  <c r="AD5" i="198"/>
  <c r="AK5" i="198"/>
  <c r="AB5" i="198"/>
  <c r="AC5" i="201"/>
  <c r="AJ5" i="201"/>
  <c r="AI5" i="201"/>
  <c r="AK5" i="201"/>
  <c r="AE5" i="201"/>
  <c r="AB5" i="201"/>
  <c r="AD5" i="201"/>
  <c r="AF5" i="201"/>
  <c r="AG5" i="201"/>
  <c r="AH5" i="201"/>
  <c r="AK5" i="212"/>
  <c r="AD5" i="212"/>
  <c r="AJ5" i="212"/>
  <c r="AC5" i="212"/>
  <c r="AH5" i="212"/>
  <c r="AG5" i="212"/>
  <c r="AB5" i="212"/>
  <c r="AI5" i="212"/>
  <c r="AE5" i="212"/>
  <c r="AF5" i="212"/>
  <c r="AB5" i="209"/>
  <c r="AI5" i="209"/>
  <c r="AH5" i="209"/>
  <c r="AJ5" i="209"/>
  <c r="AC5" i="209"/>
  <c r="AG5" i="209"/>
  <c r="AK5" i="209"/>
  <c r="AE5" i="209"/>
  <c r="AF5" i="209"/>
  <c r="AD5" i="209"/>
  <c r="AK5" i="211"/>
  <c r="AH5" i="211"/>
  <c r="AE5" i="211"/>
  <c r="AC5" i="211"/>
  <c r="AF5" i="211"/>
  <c r="AD5" i="211"/>
  <c r="AJ5" i="211"/>
  <c r="AB5" i="211"/>
  <c r="AI5" i="211"/>
  <c r="AG5" i="211"/>
  <c r="AG17" i="191"/>
  <c r="AK17" i="191"/>
  <c r="AJ17" i="191"/>
  <c r="AI17" i="191"/>
  <c r="AE17" i="191"/>
  <c r="AF17" i="191"/>
  <c r="AH17" i="191"/>
  <c r="AC17" i="191"/>
  <c r="AD17" i="191"/>
  <c r="AB17" i="191"/>
  <c r="AF17" i="37"/>
  <c r="AD17" i="37"/>
  <c r="AK17" i="37"/>
  <c r="AJ17" i="37"/>
  <c r="AE17" i="37"/>
  <c r="AC17" i="37"/>
  <c r="AB17" i="37"/>
  <c r="AG17" i="37"/>
  <c r="AI17" i="37"/>
  <c r="AH17" i="37"/>
  <c r="AK17" i="212"/>
  <c r="AF17" i="212"/>
  <c r="AG17" i="212"/>
  <c r="AJ17" i="212"/>
  <c r="AD17" i="212"/>
  <c r="AB17" i="212"/>
  <c r="AE17" i="212"/>
  <c r="AH17" i="212"/>
  <c r="AI17" i="212"/>
  <c r="AC17" i="212"/>
  <c r="AH17" i="196"/>
  <c r="AF17" i="196"/>
  <c r="AK17" i="196"/>
  <c r="AC17" i="196"/>
  <c r="AD17" i="196"/>
  <c r="AG17" i="196"/>
  <c r="AE17" i="196"/>
  <c r="AI17" i="196"/>
  <c r="AB17" i="196"/>
  <c r="AJ17" i="196"/>
  <c r="AE17" i="194"/>
  <c r="AJ17" i="194"/>
  <c r="AF17" i="194"/>
  <c r="AB17" i="194"/>
  <c r="AC17" i="194"/>
  <c r="AD17" i="194"/>
  <c r="AK17" i="194"/>
  <c r="AH17" i="194"/>
  <c r="AG17" i="194"/>
  <c r="AI17" i="194"/>
  <c r="AB17" i="202"/>
  <c r="AG17" i="202"/>
  <c r="AI17" i="202"/>
  <c r="AE17" i="202"/>
  <c r="AF17" i="202"/>
  <c r="AJ17" i="202"/>
  <c r="AK17" i="202"/>
  <c r="AD17" i="202"/>
  <c r="AH17" i="202"/>
  <c r="AC17" i="202"/>
  <c r="AC9" i="199"/>
  <c r="AJ9" i="199"/>
  <c r="AK9" i="199"/>
  <c r="AD9" i="199"/>
  <c r="AF9" i="199"/>
  <c r="AH9" i="199"/>
  <c r="AE9" i="199"/>
  <c r="AI9" i="199"/>
  <c r="AG9" i="199"/>
  <c r="AB9" i="199"/>
  <c r="AD9" i="207"/>
  <c r="AI9" i="207"/>
  <c r="AJ9" i="207"/>
  <c r="AG9" i="207"/>
  <c r="AB9" i="207"/>
  <c r="AH9" i="207"/>
  <c r="AF9" i="207"/>
  <c r="AC9" i="207"/>
  <c r="AK9" i="207"/>
  <c r="AE9" i="207"/>
  <c r="AJ9" i="208"/>
  <c r="AD9" i="208"/>
  <c r="AI9" i="208"/>
  <c r="AE9" i="208"/>
  <c r="AG9" i="208"/>
  <c r="AF9" i="208"/>
  <c r="AB9" i="208"/>
  <c r="AC9" i="208"/>
  <c r="AH9" i="208"/>
  <c r="AK9" i="208"/>
  <c r="AJ9" i="205"/>
  <c r="AB9" i="205"/>
  <c r="AI9" i="205"/>
  <c r="AK9" i="205"/>
  <c r="AC9" i="205"/>
  <c r="AF9" i="205"/>
  <c r="AG9" i="205"/>
  <c r="AH9" i="205"/>
  <c r="AD9" i="205"/>
  <c r="AE9" i="205"/>
  <c r="AJ9" i="210"/>
  <c r="AH9" i="210"/>
  <c r="AC9" i="210"/>
  <c r="AB9" i="210"/>
  <c r="AG9" i="210"/>
  <c r="AE9" i="210"/>
  <c r="AD9" i="210"/>
  <c r="AI9" i="210"/>
  <c r="AK9" i="210"/>
  <c r="AF9" i="210"/>
  <c r="AJ9" i="203"/>
  <c r="AI9" i="203"/>
  <c r="AE9" i="203"/>
  <c r="AC9" i="203"/>
  <c r="AG9" i="203"/>
  <c r="AH9" i="203"/>
  <c r="AB9" i="203"/>
  <c r="AK9" i="203"/>
  <c r="AF9" i="203"/>
  <c r="AD9" i="203"/>
  <c r="AD4" i="191"/>
  <c r="AG4" i="191"/>
  <c r="AC4" i="191"/>
  <c r="AK4" i="191"/>
  <c r="AB4" i="191"/>
  <c r="AI4" i="191"/>
  <c r="AJ4" i="191"/>
  <c r="AE4" i="191"/>
  <c r="AF4" i="191"/>
  <c r="AH4" i="191"/>
  <c r="AK4" i="195"/>
  <c r="AB4" i="195"/>
  <c r="AE4" i="195"/>
  <c r="AF4" i="195"/>
  <c r="AG4" i="195"/>
  <c r="AD4" i="195"/>
  <c r="AI4" i="195"/>
  <c r="AH4" i="195"/>
  <c r="AC4" i="195"/>
  <c r="AJ4" i="195"/>
  <c r="AI4" i="198"/>
  <c r="AF4" i="198"/>
  <c r="AJ4" i="198"/>
  <c r="AK4" i="198"/>
  <c r="AD4" i="198"/>
  <c r="AG4" i="198"/>
  <c r="AB4" i="198"/>
  <c r="AC4" i="198"/>
  <c r="AH4" i="198"/>
  <c r="AE4" i="198"/>
  <c r="AE4" i="208"/>
  <c r="AI4" i="208"/>
  <c r="AC4" i="208"/>
  <c r="AK4" i="208"/>
  <c r="AD4" i="208"/>
  <c r="AB4" i="208"/>
  <c r="AF4" i="208"/>
  <c r="AH4" i="208"/>
  <c r="AJ4" i="208"/>
  <c r="AG4" i="208"/>
  <c r="AC4" i="37"/>
  <c r="AG4" i="37"/>
  <c r="AJ4" i="37"/>
  <c r="AD4" i="37"/>
  <c r="AI4" i="37"/>
  <c r="AB4" i="37"/>
  <c r="AH4" i="37"/>
  <c r="AE4" i="37"/>
  <c r="AF4" i="37"/>
  <c r="AK4" i="37"/>
  <c r="AK4" i="211"/>
  <c r="AH4" i="211"/>
  <c r="AJ4" i="211"/>
  <c r="AE4" i="211"/>
  <c r="AC4" i="211"/>
  <c r="AD4" i="211"/>
  <c r="AG4" i="211"/>
  <c r="AI4" i="211"/>
  <c r="AF4" i="211"/>
  <c r="AB4" i="211"/>
  <c r="AJ4" i="199"/>
  <c r="AE4" i="199"/>
  <c r="AD4" i="199"/>
  <c r="AH4" i="199"/>
  <c r="AK4" i="199"/>
  <c r="AG4" i="199"/>
  <c r="AI4" i="199"/>
  <c r="AF4" i="199"/>
  <c r="AC4" i="199"/>
  <c r="AB4" i="199"/>
  <c r="AG22" i="202"/>
  <c r="AF22" i="202"/>
  <c r="AC22" i="202"/>
  <c r="AD22" i="202"/>
  <c r="AE22" i="202"/>
  <c r="AI22" i="202"/>
  <c r="AJ22" i="202"/>
  <c r="AK22" i="202"/>
  <c r="AH22" i="202"/>
  <c r="AB22" i="202"/>
  <c r="AG22" i="197"/>
  <c r="AC22" i="197"/>
  <c r="AJ22" i="197"/>
  <c r="AK22" i="197"/>
  <c r="AE22" i="197"/>
  <c r="AF22" i="197"/>
  <c r="AH22" i="197"/>
  <c r="AB22" i="197"/>
  <c r="AD22" i="197"/>
  <c r="AI22" i="197"/>
  <c r="AI22" i="203"/>
  <c r="AK22" i="203"/>
  <c r="AB22" i="203"/>
  <c r="AE22" i="203"/>
  <c r="AD22" i="203"/>
  <c r="AJ22" i="203"/>
  <c r="AC22" i="203"/>
  <c r="AG22" i="203"/>
  <c r="AH22" i="203"/>
  <c r="AF22" i="203"/>
  <c r="AI22" i="211"/>
  <c r="AJ22" i="211"/>
  <c r="AG22" i="211"/>
  <c r="AE22" i="211"/>
  <c r="AF22" i="211"/>
  <c r="AH22" i="211"/>
  <c r="AB22" i="211"/>
  <c r="AK22" i="211"/>
  <c r="AD22" i="211"/>
  <c r="AC22" i="211"/>
  <c r="AI22" i="214"/>
  <c r="AB22" i="214"/>
  <c r="AJ22" i="214"/>
  <c r="AE22" i="214"/>
  <c r="AK22" i="214"/>
  <c r="AC22" i="214"/>
  <c r="AF22" i="214"/>
  <c r="AG22" i="214"/>
  <c r="AH22" i="214"/>
  <c r="AD22" i="214"/>
  <c r="AG22" i="192"/>
  <c r="AJ22" i="192"/>
  <c r="AE22" i="192"/>
  <c r="AH22" i="192"/>
  <c r="AK22" i="192"/>
  <c r="AD22" i="192"/>
  <c r="AF22" i="192"/>
  <c r="AB22" i="192"/>
  <c r="AI22" i="192"/>
  <c r="AC22" i="192"/>
  <c r="AB8" i="207"/>
  <c r="AH8" i="207"/>
  <c r="AI8" i="207"/>
  <c r="AK8" i="207"/>
  <c r="AG8" i="207"/>
  <c r="AC8" i="207"/>
  <c r="AD8" i="207"/>
  <c r="AF8" i="207"/>
  <c r="AJ8" i="207"/>
  <c r="AE8" i="207"/>
  <c r="AH8" i="37"/>
  <c r="AE8" i="37"/>
  <c r="AK8" i="37"/>
  <c r="AI8" i="37"/>
  <c r="AC8" i="37"/>
  <c r="AF8" i="37"/>
  <c r="AB8" i="37"/>
  <c r="AG8" i="37"/>
  <c r="AD8" i="37"/>
  <c r="AJ8" i="37"/>
  <c r="AB8" i="210"/>
  <c r="AH8" i="210"/>
  <c r="AJ8" i="210"/>
  <c r="AI8" i="210"/>
  <c r="AD8" i="210"/>
  <c r="AK8" i="210"/>
  <c r="AG8" i="210"/>
  <c r="AC8" i="210"/>
  <c r="AE8" i="210"/>
  <c r="AF8" i="210"/>
  <c r="AH8" i="201"/>
  <c r="AI8" i="201"/>
  <c r="AK8" i="201"/>
  <c r="AF8" i="201"/>
  <c r="AB8" i="201"/>
  <c r="AJ8" i="201"/>
  <c r="AE8" i="201"/>
  <c r="AG8" i="201"/>
  <c r="AD8" i="201"/>
  <c r="AC8" i="201"/>
  <c r="AD8" i="203"/>
  <c r="AC8" i="203"/>
  <c r="AK8" i="203"/>
  <c r="AB8" i="203"/>
  <c r="AE8" i="203"/>
  <c r="AJ8" i="203"/>
  <c r="AG8" i="203"/>
  <c r="AF8" i="203"/>
  <c r="AH8" i="203"/>
  <c r="AI8" i="203"/>
  <c r="AC8" i="193"/>
  <c r="AK8" i="193"/>
  <c r="AE8" i="193"/>
  <c r="AG8" i="193"/>
  <c r="AF8" i="193"/>
  <c r="AI8" i="193"/>
  <c r="AB8" i="193"/>
  <c r="AJ8" i="193"/>
  <c r="AH8" i="193"/>
  <c r="AD8" i="193"/>
  <c r="AE14" i="191"/>
  <c r="AJ14" i="191"/>
  <c r="AK14" i="191"/>
  <c r="AH14" i="191"/>
  <c r="AD14" i="191"/>
  <c r="AB14" i="191"/>
  <c r="AI14" i="191"/>
  <c r="AF14" i="191"/>
  <c r="AG14" i="191"/>
  <c r="AC14" i="191"/>
  <c r="AF14" i="198"/>
  <c r="AG14" i="198"/>
  <c r="AJ14" i="198"/>
  <c r="AB14" i="198"/>
  <c r="AC14" i="198"/>
  <c r="AH14" i="198"/>
  <c r="AI14" i="198"/>
  <c r="AD14" i="198"/>
  <c r="AK14" i="198"/>
  <c r="AE14" i="198"/>
  <c r="AJ14" i="196"/>
  <c r="AK14" i="196"/>
  <c r="AI14" i="196"/>
  <c r="AE14" i="196"/>
  <c r="AB14" i="196"/>
  <c r="AD14" i="196"/>
  <c r="AH14" i="196"/>
  <c r="AG14" i="196"/>
  <c r="AF14" i="196"/>
  <c r="AC14" i="196"/>
  <c r="AE14" i="194"/>
  <c r="AD14" i="194"/>
  <c r="AH14" i="194"/>
  <c r="AC14" i="194"/>
  <c r="AF14" i="194"/>
  <c r="AK14" i="194"/>
  <c r="AJ14" i="194"/>
  <c r="AB14" i="194"/>
  <c r="AI14" i="194"/>
  <c r="AG14" i="194"/>
  <c r="AE14" i="206"/>
  <c r="AB14" i="206"/>
  <c r="AD14" i="206"/>
  <c r="AI14" i="206"/>
  <c r="AJ14" i="206"/>
  <c r="AK14" i="206"/>
  <c r="AC14" i="206"/>
  <c r="AF14" i="206"/>
  <c r="AG14" i="206"/>
  <c r="AH14" i="206"/>
  <c r="AG14" i="201"/>
  <c r="AF14" i="201"/>
  <c r="AB14" i="201"/>
  <c r="AI14" i="201"/>
  <c r="AD14" i="201"/>
  <c r="AJ14" i="201"/>
  <c r="AH14" i="201"/>
  <c r="AC14" i="201"/>
  <c r="AE14" i="201"/>
  <c r="AK14" i="201"/>
  <c r="AK7" i="191"/>
  <c r="AI7" i="191"/>
  <c r="AD7" i="191"/>
  <c r="AC7" i="191"/>
  <c r="AB7" i="191"/>
  <c r="AG7" i="191"/>
  <c r="AH7" i="191"/>
  <c r="AF7" i="191"/>
  <c r="AJ7" i="191"/>
  <c r="AE7" i="191"/>
  <c r="AG7" i="202"/>
  <c r="AK7" i="202"/>
  <c r="AD7" i="202"/>
  <c r="AE7" i="202"/>
  <c r="AJ7" i="202"/>
  <c r="AH7" i="202"/>
  <c r="AF7" i="202"/>
  <c r="AB7" i="202"/>
  <c r="AC7" i="202"/>
  <c r="AI7" i="202"/>
  <c r="AB7" i="201"/>
  <c r="AI7" i="201"/>
  <c r="AE7" i="201"/>
  <c r="AG7" i="201"/>
  <c r="AC7" i="201"/>
  <c r="AK7" i="201"/>
  <c r="AH7" i="201"/>
  <c r="AD7" i="201"/>
  <c r="AF7" i="201"/>
  <c r="AJ7" i="201"/>
  <c r="AH7" i="192"/>
  <c r="AJ7" i="192"/>
  <c r="AF7" i="192"/>
  <c r="AI7" i="192"/>
  <c r="AD7" i="192"/>
  <c r="AB7" i="192"/>
  <c r="AG7" i="192"/>
  <c r="AE7" i="192"/>
  <c r="AK7" i="192"/>
  <c r="AC7" i="192"/>
  <c r="AJ7" i="211"/>
  <c r="AC7" i="211"/>
  <c r="AD7" i="211"/>
  <c r="AF7" i="211"/>
  <c r="AH7" i="211"/>
  <c r="AE7" i="211"/>
  <c r="AI7" i="211"/>
  <c r="AB7" i="211"/>
  <c r="AG7" i="211"/>
  <c r="AK7" i="211"/>
  <c r="AI7" i="210"/>
  <c r="AB7" i="210"/>
  <c r="AG7" i="210"/>
  <c r="AD7" i="210"/>
  <c r="AE7" i="210"/>
  <c r="AK7" i="210"/>
  <c r="AC7" i="210"/>
  <c r="AJ7" i="210"/>
  <c r="AF7" i="210"/>
  <c r="AH7" i="210"/>
  <c r="AH7" i="213"/>
  <c r="AF7" i="213"/>
  <c r="AK7" i="213"/>
  <c r="AI7" i="213"/>
  <c r="AD7" i="213"/>
  <c r="AC7" i="213"/>
  <c r="AJ7" i="213"/>
  <c r="AE7" i="213"/>
  <c r="AB7" i="213"/>
  <c r="AG7" i="213"/>
  <c r="AE13" i="208"/>
  <c r="AK13" i="208"/>
  <c r="AD13" i="208"/>
  <c r="AJ13" i="208"/>
  <c r="AF13" i="208"/>
  <c r="AG13" i="208"/>
  <c r="AI13" i="208"/>
  <c r="AB13" i="208"/>
  <c r="AC13" i="208"/>
  <c r="AH13" i="208"/>
  <c r="AB13" i="197"/>
  <c r="AI13" i="197"/>
  <c r="AE13" i="197"/>
  <c r="AK13" i="197"/>
  <c r="AD13" i="197"/>
  <c r="AF13" i="197"/>
  <c r="AC13" i="197"/>
  <c r="AH13" i="197"/>
  <c r="AG13" i="197"/>
  <c r="AJ13" i="197"/>
  <c r="AI13" i="193"/>
  <c r="AB13" i="193"/>
  <c r="AK13" i="193"/>
  <c r="AE13" i="193"/>
  <c r="AF13" i="193"/>
  <c r="AD13" i="193"/>
  <c r="AC13" i="193"/>
  <c r="AG13" i="193"/>
  <c r="AH13" i="193"/>
  <c r="AJ13" i="193"/>
  <c r="AH13" i="194"/>
  <c r="AJ13" i="194"/>
  <c r="AG13" i="194"/>
  <c r="AE13" i="194"/>
  <c r="AB13" i="194"/>
  <c r="AC13" i="194"/>
  <c r="AK13" i="194"/>
  <c r="AD13" i="194"/>
  <c r="AI13" i="194"/>
  <c r="AF13" i="194"/>
  <c r="AH13" i="196"/>
  <c r="AG13" i="196"/>
  <c r="AJ13" i="196"/>
  <c r="AD13" i="196"/>
  <c r="AC13" i="196"/>
  <c r="AB13" i="196"/>
  <c r="AF13" i="196"/>
  <c r="AK13" i="196"/>
  <c r="AE13" i="196"/>
  <c r="AI13" i="196"/>
  <c r="AJ13" i="214"/>
  <c r="AG13" i="214"/>
  <c r="AF13" i="214"/>
  <c r="AI13" i="214"/>
  <c r="AE13" i="214"/>
  <c r="AH13" i="214"/>
  <c r="AD13" i="214"/>
  <c r="AB13" i="214"/>
  <c r="AC13" i="214"/>
  <c r="AK13" i="214"/>
  <c r="AI37" i="198"/>
  <c r="AB37" i="198"/>
  <c r="AD37" i="198"/>
  <c r="AK37" i="198"/>
  <c r="AG37" i="198"/>
  <c r="AJ37" i="198"/>
  <c r="AE37" i="198"/>
  <c r="AH37" i="198"/>
  <c r="AC37" i="198"/>
  <c r="AF37" i="198"/>
  <c r="AE37" i="193"/>
  <c r="AK37" i="193"/>
  <c r="AJ37" i="193"/>
  <c r="AI37" i="193"/>
  <c r="AH37" i="193"/>
  <c r="AD37" i="193"/>
  <c r="AF37" i="193"/>
  <c r="AG37" i="193"/>
  <c r="AC37" i="193"/>
  <c r="AB37" i="193"/>
  <c r="AE37" i="205"/>
  <c r="AC37" i="205"/>
  <c r="AF37" i="205"/>
  <c r="AB37" i="205"/>
  <c r="AI37" i="205"/>
  <c r="AG37" i="205"/>
  <c r="AJ37" i="205"/>
  <c r="AD37" i="205"/>
  <c r="AH37" i="205"/>
  <c r="AK37" i="205"/>
  <c r="AF37" i="199"/>
  <c r="AE37" i="199"/>
  <c r="AD37" i="199"/>
  <c r="AB37" i="199"/>
  <c r="AG37" i="199"/>
  <c r="AH37" i="199"/>
  <c r="AJ37" i="199"/>
  <c r="AI37" i="199"/>
  <c r="AC37" i="199"/>
  <c r="AK37" i="199"/>
  <c r="AH37" i="197"/>
  <c r="AJ37" i="197"/>
  <c r="AF37" i="197"/>
  <c r="AD37" i="197"/>
  <c r="AI37" i="197"/>
  <c r="AB37" i="197"/>
  <c r="AK37" i="197"/>
  <c r="AG37" i="197"/>
  <c r="AC37" i="197"/>
  <c r="AE37" i="197"/>
  <c r="AK37" i="194"/>
  <c r="AB37" i="194"/>
  <c r="AE37" i="194"/>
  <c r="AG37" i="194"/>
  <c r="AI37" i="194"/>
  <c r="AF37" i="194"/>
  <c r="AD37" i="194"/>
  <c r="AH37" i="194"/>
  <c r="AJ37" i="194"/>
  <c r="AC37" i="194"/>
  <c r="AB3" i="213"/>
  <c r="AI3" i="213"/>
  <c r="AH3" i="213"/>
  <c r="AF3" i="213"/>
  <c r="AG3" i="213"/>
  <c r="AE3" i="213"/>
  <c r="AC3" i="213"/>
  <c r="AK3" i="213"/>
  <c r="AD3" i="213"/>
  <c r="AJ3" i="213"/>
  <c r="AB3" i="199"/>
  <c r="AH3" i="199"/>
  <c r="AC3" i="199"/>
  <c r="AE3" i="199"/>
  <c r="AK3" i="199"/>
  <c r="AJ3" i="199"/>
  <c r="AI3" i="199"/>
  <c r="AD3" i="199"/>
  <c r="AF3" i="199"/>
  <c r="AG3" i="199"/>
  <c r="AD3" i="200"/>
  <c r="AH3" i="200"/>
  <c r="AB3" i="200"/>
  <c r="AC3" i="200"/>
  <c r="AI3" i="200"/>
  <c r="AK3" i="200"/>
  <c r="AE3" i="200"/>
  <c r="AG3" i="200"/>
  <c r="AJ3" i="200"/>
  <c r="AF3" i="200"/>
  <c r="AI3" i="194"/>
  <c r="AD3" i="194"/>
  <c r="AH3" i="194"/>
  <c r="AG3" i="194"/>
  <c r="AJ3" i="194"/>
  <c r="AC3" i="194"/>
  <c r="AF3" i="194"/>
  <c r="AK3" i="194"/>
  <c r="AB3" i="194"/>
  <c r="AE3" i="194"/>
  <c r="AE3" i="212"/>
  <c r="AK3" i="212"/>
  <c r="AH3" i="212"/>
  <c r="AC3" i="212"/>
  <c r="AJ3" i="212"/>
  <c r="AG3" i="212"/>
  <c r="AB3" i="212"/>
  <c r="AF3" i="212"/>
  <c r="AD3" i="212"/>
  <c r="AI3" i="212"/>
  <c r="AI3" i="192"/>
  <c r="AE3" i="192"/>
  <c r="AH3" i="192"/>
  <c r="AJ3" i="192"/>
  <c r="AG3" i="192"/>
  <c r="AF3" i="192"/>
  <c r="AC3" i="192"/>
  <c r="AB3" i="192"/>
  <c r="AK3" i="192"/>
  <c r="AD3" i="192"/>
  <c r="AF20" i="204"/>
  <c r="AC20" i="204"/>
  <c r="AG20" i="204"/>
  <c r="AK20" i="204"/>
  <c r="AB20" i="204"/>
  <c r="AJ20" i="204"/>
  <c r="AI20" i="204"/>
  <c r="AD20" i="204"/>
  <c r="AE20" i="204"/>
  <c r="AH20" i="204"/>
  <c r="AE20" i="208"/>
  <c r="AI20" i="208"/>
  <c r="AF20" i="208"/>
  <c r="AJ20" i="208"/>
  <c r="AD20" i="208"/>
  <c r="AK20" i="208"/>
  <c r="AG20" i="208"/>
  <c r="AC20" i="208"/>
  <c r="AH20" i="208"/>
  <c r="AB20" i="208"/>
  <c r="AF20" i="193"/>
  <c r="AB20" i="193"/>
  <c r="AI20" i="193"/>
  <c r="AK20" i="193"/>
  <c r="AJ20" i="193"/>
  <c r="AG20" i="193"/>
  <c r="AD20" i="193"/>
  <c r="AH20" i="193"/>
  <c r="AC20" i="193"/>
  <c r="AE20" i="193"/>
  <c r="AF20" i="206"/>
  <c r="AG20" i="206"/>
  <c r="AJ20" i="206"/>
  <c r="AK20" i="206"/>
  <c r="AH20" i="206"/>
  <c r="AD20" i="206"/>
  <c r="AE20" i="206"/>
  <c r="AC20" i="206"/>
  <c r="AB20" i="206"/>
  <c r="AI20" i="206"/>
  <c r="AE20" i="194"/>
  <c r="AI20" i="194"/>
  <c r="AH20" i="194"/>
  <c r="AF20" i="194"/>
  <c r="AD20" i="194"/>
  <c r="AG20" i="194"/>
  <c r="AC20" i="194"/>
  <c r="AJ20" i="194"/>
  <c r="AB20" i="194"/>
  <c r="AK20" i="194"/>
  <c r="AG20" i="209"/>
  <c r="AF20" i="209"/>
  <c r="AI20" i="209"/>
  <c r="AE20" i="209"/>
  <c r="AJ20" i="209"/>
  <c r="AD20" i="209"/>
  <c r="AB20" i="209"/>
  <c r="AC20" i="209"/>
  <c r="AH20" i="209"/>
  <c r="AK20" i="209"/>
  <c r="AI20" i="214"/>
  <c r="AC20" i="214"/>
  <c r="AB20" i="214"/>
  <c r="AG20" i="214"/>
  <c r="AE20" i="214"/>
  <c r="AD20" i="214"/>
  <c r="AF20" i="214"/>
  <c r="AH20" i="214"/>
  <c r="AK20" i="214"/>
  <c r="AJ20" i="214"/>
  <c r="AI15" i="212"/>
  <c r="AG15" i="212"/>
  <c r="AF15" i="212"/>
  <c r="AJ15" i="212"/>
  <c r="AH15" i="212"/>
  <c r="AD15" i="212"/>
  <c r="AC15" i="212"/>
  <c r="AK15" i="212"/>
  <c r="AE15" i="212"/>
  <c r="AB15" i="212"/>
  <c r="AD15" i="193"/>
  <c r="AH15" i="193"/>
  <c r="AB15" i="193"/>
  <c r="AF15" i="193"/>
  <c r="AK15" i="193"/>
  <c r="AG15" i="193"/>
  <c r="AI15" i="193"/>
  <c r="AJ15" i="193"/>
  <c r="AC15" i="193"/>
  <c r="AE15" i="193"/>
  <c r="AH15" i="207"/>
  <c r="AD15" i="207"/>
  <c r="AI15" i="207"/>
  <c r="AF15" i="207"/>
  <c r="AG15" i="207"/>
  <c r="AK15" i="207"/>
  <c r="AE15" i="207"/>
  <c r="AC15" i="207"/>
  <c r="AJ15" i="207"/>
  <c r="AB15" i="207"/>
  <c r="AD15" i="206"/>
  <c r="AC15" i="206"/>
  <c r="AJ15" i="206"/>
  <c r="AK15" i="206"/>
  <c r="AH15" i="206"/>
  <c r="AE15" i="206"/>
  <c r="AB15" i="206"/>
  <c r="AI15" i="206"/>
  <c r="AG15" i="206"/>
  <c r="AF15" i="206"/>
  <c r="AB15" i="202"/>
  <c r="AJ15" i="202"/>
  <c r="AC15" i="202"/>
  <c r="AG15" i="202"/>
  <c r="AH15" i="202"/>
  <c r="AF15" i="202"/>
  <c r="AI15" i="202"/>
  <c r="AE15" i="202"/>
  <c r="AD15" i="202"/>
  <c r="AK15" i="202"/>
  <c r="AH15" i="203"/>
  <c r="AG15" i="203"/>
  <c r="AE15" i="203"/>
  <c r="AK15" i="203"/>
  <c r="AC15" i="203"/>
  <c r="AD15" i="203"/>
  <c r="AI15" i="203"/>
  <c r="AB15" i="203"/>
  <c r="AJ15" i="203"/>
  <c r="AF15" i="203"/>
  <c r="AF36" i="195"/>
  <c r="AD36" i="195"/>
  <c r="AH36" i="195"/>
  <c r="AK36" i="195"/>
  <c r="AE36" i="195"/>
  <c r="AB36" i="195"/>
  <c r="AC36" i="195"/>
  <c r="AJ36" i="195"/>
  <c r="AI36" i="195"/>
  <c r="AG36" i="195"/>
  <c r="AK36" i="193"/>
  <c r="AH36" i="193"/>
  <c r="AI36" i="193"/>
  <c r="AJ36" i="193"/>
  <c r="AE36" i="193"/>
  <c r="AD36" i="193"/>
  <c r="AC36" i="193"/>
  <c r="AB36" i="193"/>
  <c r="AF36" i="193"/>
  <c r="AG36" i="193"/>
  <c r="AH36" i="206"/>
  <c r="AI36" i="206"/>
  <c r="AC36" i="206"/>
  <c r="AK36" i="206"/>
  <c r="AG36" i="206"/>
  <c r="AE36" i="206"/>
  <c r="AB36" i="206"/>
  <c r="AF36" i="206"/>
  <c r="AJ36" i="206"/>
  <c r="AD36" i="206"/>
  <c r="AG36" i="197"/>
  <c r="AH36" i="197"/>
  <c r="AE36" i="197"/>
  <c r="AF36" i="197"/>
  <c r="AI36" i="197"/>
  <c r="AK36" i="197"/>
  <c r="AJ36" i="197"/>
  <c r="AD36" i="197"/>
  <c r="AC36" i="197"/>
  <c r="AB36" i="197"/>
  <c r="AD36" i="208"/>
  <c r="AI36" i="208"/>
  <c r="AB36" i="208"/>
  <c r="AH36" i="208"/>
  <c r="AE36" i="208"/>
  <c r="AF36" i="208"/>
  <c r="AG36" i="208"/>
  <c r="AK36" i="208"/>
  <c r="AC36" i="208"/>
  <c r="AJ36" i="208"/>
  <c r="AH36" i="203"/>
  <c r="AG36" i="203"/>
  <c r="AI36" i="203"/>
  <c r="AJ36" i="203"/>
  <c r="AC36" i="203"/>
  <c r="AD36" i="203"/>
  <c r="AB36" i="203"/>
  <c r="AE36" i="203"/>
  <c r="AF36" i="203"/>
  <c r="AK36" i="203"/>
  <c r="AJ12" i="213"/>
  <c r="AB12" i="213"/>
  <c r="AE12" i="213"/>
  <c r="AK12" i="213"/>
  <c r="AD12" i="213"/>
  <c r="AC12" i="213"/>
  <c r="AG12" i="213"/>
  <c r="AH12" i="213"/>
  <c r="AI12" i="213"/>
  <c r="AF12" i="213"/>
  <c r="AG12" i="194"/>
  <c r="AI12" i="194"/>
  <c r="AD12" i="194"/>
  <c r="AC12" i="194"/>
  <c r="AH12" i="194"/>
  <c r="AF12" i="194"/>
  <c r="AK12" i="194"/>
  <c r="AE12" i="194"/>
  <c r="AB12" i="194"/>
  <c r="AJ12" i="194"/>
  <c r="AG12" i="207"/>
  <c r="AD12" i="207"/>
  <c r="AF12" i="207"/>
  <c r="AI12" i="207"/>
  <c r="AB12" i="207"/>
  <c r="AK12" i="207"/>
  <c r="AC12" i="207"/>
  <c r="AJ12" i="207"/>
  <c r="AE12" i="207"/>
  <c r="AH12" i="207"/>
  <c r="AE12" i="203"/>
  <c r="AI12" i="203"/>
  <c r="AK12" i="203"/>
  <c r="AG12" i="203"/>
  <c r="AH12" i="203"/>
  <c r="AD12" i="203"/>
  <c r="AJ12" i="203"/>
  <c r="AF12" i="203"/>
  <c r="AB12" i="203"/>
  <c r="AC12" i="203"/>
  <c r="AH12" i="192"/>
  <c r="AE12" i="192"/>
  <c r="AI12" i="192"/>
  <c r="AC12" i="192"/>
  <c r="AK12" i="192"/>
  <c r="AJ12" i="192"/>
  <c r="AG12" i="192"/>
  <c r="AD12" i="192"/>
  <c r="AF12" i="192"/>
  <c r="AB12" i="192"/>
  <c r="AG12" i="212"/>
  <c r="AJ12" i="212"/>
  <c r="AD12" i="212"/>
  <c r="AE12" i="212"/>
  <c r="AH12" i="212"/>
  <c r="AI12" i="212"/>
  <c r="AB12" i="212"/>
  <c r="AC12" i="212"/>
  <c r="AK12" i="212"/>
  <c r="AF12" i="212"/>
  <c r="AC27" i="206"/>
  <c r="AI27" i="206"/>
  <c r="AJ27" i="206"/>
  <c r="AH27" i="206"/>
  <c r="AE27" i="206"/>
  <c r="AF27" i="206"/>
  <c r="AB27" i="206"/>
  <c r="AD27" i="206"/>
  <c r="AK27" i="206"/>
  <c r="AG27" i="206"/>
  <c r="AH27" i="196"/>
  <c r="AE27" i="196"/>
  <c r="AC27" i="196"/>
  <c r="AD27" i="196"/>
  <c r="AF27" i="196"/>
  <c r="AJ27" i="196"/>
  <c r="AK27" i="196"/>
  <c r="AG27" i="196"/>
  <c r="AI27" i="196"/>
  <c r="AB27" i="196"/>
  <c r="AE27" i="198"/>
  <c r="AJ27" i="198"/>
  <c r="AI27" i="198"/>
  <c r="AD27" i="198"/>
  <c r="AB27" i="198"/>
  <c r="AG27" i="198"/>
  <c r="AH27" i="198"/>
  <c r="AF27" i="198"/>
  <c r="AK27" i="198"/>
  <c r="AC27" i="198"/>
  <c r="AE27" i="213"/>
  <c r="AG27" i="213"/>
  <c r="AB27" i="213"/>
  <c r="AH27" i="213"/>
  <c r="AK27" i="213"/>
  <c r="AF27" i="213"/>
  <c r="AC27" i="213"/>
  <c r="AJ27" i="213"/>
  <c r="AI27" i="213"/>
  <c r="AD27" i="213"/>
  <c r="AG27" i="191"/>
  <c r="AE27" i="191"/>
  <c r="AC27" i="191"/>
  <c r="AI27" i="191"/>
  <c r="AK27" i="191"/>
  <c r="AD27" i="191"/>
  <c r="AH27" i="191"/>
  <c r="AJ27" i="191"/>
  <c r="AF27" i="191"/>
  <c r="AB27" i="191"/>
  <c r="AK27" i="212"/>
  <c r="AF27" i="212"/>
  <c r="AC27" i="212"/>
  <c r="AB27" i="212"/>
  <c r="AJ27" i="212"/>
  <c r="AI27" i="212"/>
  <c r="AD27" i="212"/>
  <c r="AE27" i="212"/>
  <c r="AH27" i="212"/>
  <c r="AG27" i="212"/>
  <c r="AE27" i="210"/>
  <c r="AK27" i="210"/>
  <c r="AG27" i="210"/>
  <c r="AJ27" i="210"/>
  <c r="AI27" i="210"/>
  <c r="AF27" i="210"/>
  <c r="AD27" i="210"/>
  <c r="AB27" i="210"/>
  <c r="AH27" i="210"/>
  <c r="AC27" i="210"/>
  <c r="AC21" i="200"/>
  <c r="AD21" i="200"/>
  <c r="AI21" i="200"/>
  <c r="AB21" i="200"/>
  <c r="AE21" i="200"/>
  <c r="AF21" i="200"/>
  <c r="AJ21" i="200"/>
  <c r="AK21" i="200"/>
  <c r="AG21" i="200"/>
  <c r="AH21" i="200"/>
  <c r="AK21" i="211"/>
  <c r="AC21" i="211"/>
  <c r="AD21" i="211"/>
  <c r="AE21" i="211"/>
  <c r="AJ21" i="211"/>
  <c r="AG21" i="211"/>
  <c r="AF21" i="211"/>
  <c r="AB21" i="211"/>
  <c r="AH21" i="211"/>
  <c r="AI21" i="211"/>
  <c r="AD21" i="206"/>
  <c r="AH21" i="206"/>
  <c r="AG21" i="206"/>
  <c r="AE21" i="206"/>
  <c r="AB21" i="206"/>
  <c r="AK21" i="206"/>
  <c r="AF21" i="206"/>
  <c r="AC21" i="206"/>
  <c r="AJ21" i="206"/>
  <c r="AI21" i="206"/>
  <c r="AD21" i="199"/>
  <c r="AG21" i="199"/>
  <c r="AE21" i="199"/>
  <c r="AK21" i="199"/>
  <c r="AJ21" i="199"/>
  <c r="AF21" i="199"/>
  <c r="AB21" i="199"/>
  <c r="AC21" i="199"/>
  <c r="AH21" i="199"/>
  <c r="AI21" i="199"/>
  <c r="AE21" i="192"/>
  <c r="AF21" i="192"/>
  <c r="AG21" i="192"/>
  <c r="AJ21" i="192"/>
  <c r="AK21" i="192"/>
  <c r="AB21" i="192"/>
  <c r="AH21" i="192"/>
  <c r="AD21" i="192"/>
  <c r="AI21" i="192"/>
  <c r="AC21" i="192"/>
  <c r="AJ21" i="193"/>
  <c r="AC21" i="193"/>
  <c r="AI21" i="193"/>
  <c r="AG21" i="193"/>
  <c r="AD21" i="193"/>
  <c r="AH21" i="193"/>
  <c r="AF21" i="193"/>
  <c r="AK21" i="193"/>
  <c r="AE21" i="193"/>
  <c r="AB21" i="193"/>
  <c r="AK18" i="200"/>
  <c r="AC18" i="200"/>
  <c r="AG18" i="200"/>
  <c r="AB18" i="200"/>
  <c r="AF18" i="200"/>
  <c r="AI18" i="200"/>
  <c r="AE18" i="200"/>
  <c r="AJ18" i="200"/>
  <c r="AD18" i="200"/>
  <c r="AH18" i="200"/>
  <c r="AK18" i="212"/>
  <c r="AE18" i="212"/>
  <c r="AG18" i="212"/>
  <c r="AH18" i="212"/>
  <c r="AD18" i="212"/>
  <c r="AC18" i="212"/>
  <c r="AI18" i="212"/>
  <c r="AJ18" i="212"/>
  <c r="AB18" i="212"/>
  <c r="AF18" i="212"/>
  <c r="AC18" i="210"/>
  <c r="AH18" i="210"/>
  <c r="AK18" i="210"/>
  <c r="AG18" i="210"/>
  <c r="AI18" i="210"/>
  <c r="AE18" i="210"/>
  <c r="AB18" i="210"/>
  <c r="AJ18" i="210"/>
  <c r="AF18" i="210"/>
  <c r="AD18" i="210"/>
  <c r="AJ18" i="213"/>
  <c r="AC18" i="213"/>
  <c r="AD18" i="213"/>
  <c r="AE18" i="213"/>
  <c r="AB18" i="213"/>
  <c r="AH18" i="213"/>
  <c r="AI18" i="213"/>
  <c r="AK18" i="213"/>
  <c r="AG18" i="213"/>
  <c r="AF18" i="213"/>
  <c r="AK18" i="214"/>
  <c r="AG18" i="214"/>
  <c r="AH18" i="214"/>
  <c r="AB18" i="214"/>
  <c r="AC18" i="214"/>
  <c r="AI18" i="214"/>
  <c r="AE18" i="214"/>
  <c r="AD18" i="214"/>
  <c r="AJ18" i="214"/>
  <c r="AF18" i="214"/>
  <c r="AG18" i="206"/>
  <c r="AB18" i="206"/>
  <c r="AI18" i="206"/>
  <c r="AH18" i="206"/>
  <c r="AJ18" i="206"/>
  <c r="AD18" i="206"/>
  <c r="AK18" i="206"/>
  <c r="AC18" i="206"/>
  <c r="AF18" i="206"/>
  <c r="AE18" i="206"/>
  <c r="AE29" i="191"/>
  <c r="AG29" i="191"/>
  <c r="AD29" i="191"/>
  <c r="AB29" i="191"/>
  <c r="AI29" i="191"/>
  <c r="AH29" i="191"/>
  <c r="AC29" i="191"/>
  <c r="AF29" i="191"/>
  <c r="AK29" i="191"/>
  <c r="AJ29" i="191"/>
  <c r="AH29" i="207"/>
  <c r="AD29" i="207"/>
  <c r="AB29" i="207"/>
  <c r="AG29" i="207"/>
  <c r="AE29" i="207"/>
  <c r="AK29" i="207"/>
  <c r="AI29" i="207"/>
  <c r="AC29" i="207"/>
  <c r="AF29" i="207"/>
  <c r="AJ29" i="207"/>
  <c r="AE29" i="214"/>
  <c r="AD29" i="214"/>
  <c r="AC29" i="214"/>
  <c r="AH29" i="214"/>
  <c r="AG29" i="214"/>
  <c r="AB29" i="214"/>
  <c r="AJ29" i="214"/>
  <c r="AK29" i="214"/>
  <c r="AF29" i="214"/>
  <c r="AI29" i="214"/>
  <c r="AK29" i="202"/>
  <c r="AE29" i="202"/>
  <c r="AH29" i="202"/>
  <c r="AJ29" i="202"/>
  <c r="AG29" i="202"/>
  <c r="AF29" i="202"/>
  <c r="AI29" i="202"/>
  <c r="AB29" i="202"/>
  <c r="AD29" i="202"/>
  <c r="AC29" i="202"/>
  <c r="AE29" i="206"/>
  <c r="AD29" i="206"/>
  <c r="AG29" i="206"/>
  <c r="AJ29" i="206"/>
  <c r="AF29" i="206"/>
  <c r="AB29" i="206"/>
  <c r="AI29" i="206"/>
  <c r="AH29" i="206"/>
  <c r="AK29" i="206"/>
  <c r="AC29" i="206"/>
  <c r="AC29" i="204"/>
  <c r="AG29" i="204"/>
  <c r="AB29" i="204"/>
  <c r="AH29" i="204"/>
  <c r="AK29" i="204"/>
  <c r="AD29" i="204"/>
  <c r="AI29" i="204"/>
  <c r="AF29" i="204"/>
  <c r="AE29" i="204"/>
  <c r="AJ29" i="204"/>
  <c r="AE11" i="201"/>
  <c r="AD11" i="201"/>
  <c r="AG11" i="201"/>
  <c r="AC11" i="201"/>
  <c r="AI11" i="201"/>
  <c r="AH11" i="201"/>
  <c r="AF11" i="201"/>
  <c r="AB11" i="201"/>
  <c r="AK11" i="201"/>
  <c r="AJ11" i="201"/>
  <c r="AF11" i="213"/>
  <c r="AD11" i="213"/>
  <c r="AI11" i="213"/>
  <c r="AH11" i="213"/>
  <c r="AJ11" i="213"/>
  <c r="AC11" i="213"/>
  <c r="AB11" i="213"/>
  <c r="AG11" i="213"/>
  <c r="AK11" i="213"/>
  <c r="AE11" i="213"/>
  <c r="AE11" i="194"/>
  <c r="AB11" i="194"/>
  <c r="AJ11" i="194"/>
  <c r="AD11" i="194"/>
  <c r="AC11" i="194"/>
  <c r="AF11" i="194"/>
  <c r="AK11" i="194"/>
  <c r="AH11" i="194"/>
  <c r="AI11" i="194"/>
  <c r="AG11" i="194"/>
  <c r="AJ11" i="192"/>
  <c r="AD11" i="192"/>
  <c r="AB11" i="192"/>
  <c r="AC11" i="192"/>
  <c r="AE11" i="192"/>
  <c r="AK11" i="192"/>
  <c r="AI11" i="192"/>
  <c r="AH11" i="192"/>
  <c r="AG11" i="192"/>
  <c r="AF11" i="192"/>
  <c r="AG11" i="204"/>
  <c r="AK11" i="204"/>
  <c r="AB11" i="204"/>
  <c r="AH11" i="204"/>
  <c r="AD11" i="204"/>
  <c r="AE11" i="204"/>
  <c r="AI11" i="204"/>
  <c r="AC11" i="204"/>
  <c r="AF11" i="204"/>
  <c r="AJ11" i="204"/>
  <c r="AK11" i="208"/>
  <c r="AF11" i="208"/>
  <c r="AC11" i="208"/>
  <c r="AH11" i="208"/>
  <c r="AB11" i="208"/>
  <c r="AD11" i="208"/>
  <c r="AI11" i="208"/>
  <c r="AJ11" i="208"/>
  <c r="AG11" i="208"/>
  <c r="AE11" i="208"/>
  <c r="AB11" i="214"/>
  <c r="AI11" i="214"/>
  <c r="AD11" i="214"/>
  <c r="AC11" i="214"/>
  <c r="AJ11" i="214"/>
  <c r="AF11" i="214"/>
  <c r="AE11" i="214"/>
  <c r="AG11" i="214"/>
  <c r="AK11" i="214"/>
  <c r="AH11" i="214"/>
  <c r="AI28" i="214"/>
  <c r="AG28" i="214"/>
  <c r="AF28" i="214"/>
  <c r="AC28" i="214"/>
  <c r="AB28" i="214"/>
  <c r="AK28" i="214"/>
  <c r="AE28" i="214"/>
  <c r="AJ28" i="214"/>
  <c r="AD28" i="214"/>
  <c r="AH28" i="214"/>
  <c r="AK28" i="194"/>
  <c r="AJ28" i="194"/>
  <c r="AC28" i="194"/>
  <c r="AI28" i="194"/>
  <c r="AG28" i="194"/>
  <c r="AH28" i="194"/>
  <c r="AF28" i="194"/>
  <c r="AD28" i="194"/>
  <c r="AE28" i="194"/>
  <c r="AB28" i="194"/>
  <c r="AE28" i="203"/>
  <c r="AH28" i="203"/>
  <c r="AD28" i="203"/>
  <c r="AF28" i="203"/>
  <c r="AK28" i="203"/>
  <c r="AC28" i="203"/>
  <c r="AI28" i="203"/>
  <c r="AG28" i="203"/>
  <c r="AB28" i="203"/>
  <c r="AJ28" i="203"/>
  <c r="AD28" i="196"/>
  <c r="AK28" i="196"/>
  <c r="AJ28" i="196"/>
  <c r="AC28" i="196"/>
  <c r="AF28" i="196"/>
  <c r="AG28" i="196"/>
  <c r="AI28" i="196"/>
  <c r="AB28" i="196"/>
  <c r="AH28" i="196"/>
  <c r="AE28" i="196"/>
  <c r="AJ28" i="191"/>
  <c r="AD28" i="191"/>
  <c r="AK28" i="191"/>
  <c r="AC28" i="191"/>
  <c r="AB28" i="191"/>
  <c r="AE28" i="191"/>
  <c r="AF28" i="191"/>
  <c r="AH28" i="191"/>
  <c r="AG28" i="191"/>
  <c r="AI28" i="191"/>
  <c r="AI28" i="201"/>
  <c r="AD28" i="201"/>
  <c r="AH28" i="201"/>
  <c r="AF28" i="201"/>
  <c r="AC28" i="201"/>
  <c r="AK28" i="201"/>
  <c r="AJ28" i="201"/>
  <c r="AB28" i="201"/>
  <c r="AE28" i="201"/>
  <c r="AG28" i="201"/>
  <c r="AE26" i="213"/>
  <c r="AG26" i="213"/>
  <c r="AB26" i="213"/>
  <c r="AD26" i="213"/>
  <c r="AK26" i="213"/>
  <c r="AH26" i="213"/>
  <c r="AJ26" i="213"/>
  <c r="AI26" i="213"/>
  <c r="AC26" i="213"/>
  <c r="AF26" i="213"/>
  <c r="AC26" i="199"/>
  <c r="AH26" i="199"/>
  <c r="AG26" i="199"/>
  <c r="AI26" i="199"/>
  <c r="AJ26" i="199"/>
  <c r="AD26" i="199"/>
  <c r="AK26" i="199"/>
  <c r="AE26" i="199"/>
  <c r="AF26" i="199"/>
  <c r="AB26" i="199"/>
  <c r="AF26" i="210"/>
  <c r="AB26" i="210"/>
  <c r="AH26" i="210"/>
  <c r="AD26" i="210"/>
  <c r="AJ26" i="210"/>
  <c r="AC26" i="210"/>
  <c r="AK26" i="210"/>
  <c r="AE26" i="210"/>
  <c r="AI26" i="210"/>
  <c r="AG26" i="210"/>
  <c r="AD26" i="203"/>
  <c r="AB26" i="203"/>
  <c r="AE26" i="203"/>
  <c r="AC26" i="203"/>
  <c r="AJ26" i="203"/>
  <c r="AH26" i="203"/>
  <c r="AG26" i="203"/>
  <c r="AI26" i="203"/>
  <c r="AF26" i="203"/>
  <c r="AK26" i="203"/>
  <c r="AC26" i="212"/>
  <c r="AD26" i="212"/>
  <c r="AI26" i="212"/>
  <c r="AH26" i="212"/>
  <c r="AK26" i="212"/>
  <c r="AG26" i="212"/>
  <c r="AB26" i="212"/>
  <c r="AE26" i="212"/>
  <c r="AJ26" i="212"/>
  <c r="AF26" i="212"/>
  <c r="AI26" i="193"/>
  <c r="AH26" i="193"/>
  <c r="AK26" i="193"/>
  <c r="AB26" i="193"/>
  <c r="AE26" i="193"/>
  <c r="AF26" i="193"/>
  <c r="AG26" i="193"/>
  <c r="AJ26" i="193"/>
  <c r="AC26" i="193"/>
  <c r="AD26" i="193"/>
  <c r="AH23" i="205"/>
  <c r="AC23" i="205"/>
  <c r="AI23" i="205"/>
  <c r="AG23" i="205"/>
  <c r="AE23" i="205"/>
  <c r="AB23" i="205"/>
  <c r="AK23" i="205"/>
  <c r="AD23" i="205"/>
  <c r="AJ23" i="205"/>
  <c r="AF23" i="205"/>
  <c r="AD23" i="200"/>
  <c r="AB23" i="200"/>
  <c r="AG23" i="200"/>
  <c r="AI23" i="200"/>
  <c r="AH23" i="200"/>
  <c r="AE23" i="200"/>
  <c r="AJ23" i="200"/>
  <c r="AC23" i="200"/>
  <c r="AF23" i="200"/>
  <c r="AK23" i="200"/>
  <c r="AD23" i="196"/>
  <c r="AE23" i="196"/>
  <c r="AB23" i="196"/>
  <c r="AJ23" i="196"/>
  <c r="AI23" i="196"/>
  <c r="AK23" i="196"/>
  <c r="AC23" i="196"/>
  <c r="AG23" i="196"/>
  <c r="AH23" i="196"/>
  <c r="AF23" i="196"/>
  <c r="AC23" i="204"/>
  <c r="AJ23" i="204"/>
  <c r="AG23" i="204"/>
  <c r="AD23" i="204"/>
  <c r="AF23" i="204"/>
  <c r="AK23" i="204"/>
  <c r="AH23" i="204"/>
  <c r="AE23" i="204"/>
  <c r="AI23" i="204"/>
  <c r="AB23" i="204"/>
  <c r="AK23" i="202"/>
  <c r="AD23" i="202"/>
  <c r="AI23" i="202"/>
  <c r="AE23" i="202"/>
  <c r="AH23" i="202"/>
  <c r="AJ23" i="202"/>
  <c r="AF23" i="202"/>
  <c r="AC23" i="202"/>
  <c r="AG23" i="202"/>
  <c r="AB23" i="202"/>
  <c r="AI23" i="214"/>
  <c r="AE23" i="214"/>
  <c r="AC23" i="214"/>
  <c r="AD23" i="214"/>
  <c r="AG23" i="214"/>
  <c r="AJ23" i="214"/>
  <c r="AB23" i="214"/>
  <c r="AF23" i="214"/>
  <c r="AK23" i="214"/>
  <c r="AH23" i="214"/>
  <c r="AI30" i="200"/>
  <c r="AK30" i="200"/>
  <c r="AC30" i="200"/>
  <c r="AJ30" i="200"/>
  <c r="AH30" i="200"/>
  <c r="AF30" i="200"/>
  <c r="AD30" i="200"/>
  <c r="AG30" i="200"/>
  <c r="AE30" i="200"/>
  <c r="AB30" i="200"/>
  <c r="AB30" i="211"/>
  <c r="AI30" i="211"/>
  <c r="AE30" i="211"/>
  <c r="AG30" i="211"/>
  <c r="AK30" i="211"/>
  <c r="AF30" i="211"/>
  <c r="AH30" i="211"/>
  <c r="AD30" i="211"/>
  <c r="AJ30" i="211"/>
  <c r="AC30" i="211"/>
  <c r="AJ30" i="206"/>
  <c r="AB30" i="206"/>
  <c r="AC30" i="206"/>
  <c r="AE30" i="206"/>
  <c r="AD30" i="206"/>
  <c r="AK30" i="206"/>
  <c r="AF30" i="206"/>
  <c r="AG30" i="206"/>
  <c r="AI30" i="206"/>
  <c r="AH30" i="206"/>
  <c r="AB30" i="191"/>
  <c r="AH30" i="191"/>
  <c r="AG30" i="191"/>
  <c r="AK30" i="191"/>
  <c r="AC30" i="191"/>
  <c r="AD30" i="191"/>
  <c r="AI30" i="191"/>
  <c r="AE30" i="191"/>
  <c r="AJ30" i="191"/>
  <c r="AF30" i="191"/>
  <c r="AK30" i="196"/>
  <c r="AD30" i="196"/>
  <c r="AB30" i="196"/>
  <c r="AI30" i="196"/>
  <c r="AC30" i="196"/>
  <c r="AJ30" i="196"/>
  <c r="AE30" i="196"/>
  <c r="AH30" i="196"/>
  <c r="AF30" i="196"/>
  <c r="AG30" i="196"/>
  <c r="AE30" i="214"/>
  <c r="AI30" i="214"/>
  <c r="AH30" i="214"/>
  <c r="AG30" i="214"/>
  <c r="AJ30" i="214"/>
  <c r="AB30" i="214"/>
  <c r="AF30" i="214"/>
  <c r="AK30" i="214"/>
  <c r="AC30" i="214"/>
  <c r="AD30" i="214"/>
  <c r="AH30" i="198"/>
  <c r="AE30" i="198"/>
  <c r="AF30" i="198"/>
  <c r="AG30" i="198"/>
  <c r="AJ30" i="198"/>
  <c r="AB30" i="198"/>
  <c r="AI30" i="198"/>
  <c r="AK30" i="198"/>
  <c r="AD30" i="198"/>
  <c r="AC30" i="198"/>
  <c r="AC32" i="196"/>
  <c r="AB32" i="196"/>
  <c r="AJ32" i="196"/>
  <c r="AF32" i="196"/>
  <c r="AI32" i="196"/>
  <c r="AE32" i="196"/>
  <c r="AG32" i="196"/>
  <c r="AK32" i="196"/>
  <c r="AH32" i="196"/>
  <c r="AD32" i="196"/>
  <c r="AD32" i="213"/>
  <c r="AG32" i="213"/>
  <c r="AC32" i="213"/>
  <c r="AK32" i="213"/>
  <c r="AJ32" i="213"/>
  <c r="AI32" i="213"/>
  <c r="AH32" i="213"/>
  <c r="AB32" i="213"/>
  <c r="AE32" i="213"/>
  <c r="AF32" i="213"/>
  <c r="AE32" i="200"/>
  <c r="AK32" i="200"/>
  <c r="AJ32" i="200"/>
  <c r="AB32" i="200"/>
  <c r="AG32" i="200"/>
  <c r="AD32" i="200"/>
  <c r="AI32" i="200"/>
  <c r="AC32" i="200"/>
  <c r="AF32" i="200"/>
  <c r="AH32" i="200"/>
  <c r="AI32" i="211"/>
  <c r="AG32" i="211"/>
  <c r="AC32" i="211"/>
  <c r="AF32" i="211"/>
  <c r="AE32" i="211"/>
  <c r="AJ32" i="211"/>
  <c r="AH32" i="211"/>
  <c r="AB32" i="211"/>
  <c r="AK32" i="211"/>
  <c r="AD32" i="211"/>
  <c r="AH32" i="198"/>
  <c r="AJ32" i="198"/>
  <c r="AF32" i="198"/>
  <c r="AG32" i="198"/>
  <c r="AE32" i="198"/>
  <c r="AI32" i="198"/>
  <c r="AC32" i="198"/>
  <c r="AK32" i="198"/>
  <c r="AB32" i="198"/>
  <c r="AD32" i="198"/>
  <c r="AH32" i="194"/>
  <c r="AE32" i="194"/>
  <c r="AI32" i="194"/>
  <c r="AC32" i="194"/>
  <c r="AJ32" i="194"/>
  <c r="AG32" i="194"/>
  <c r="AD32" i="194"/>
  <c r="AK32" i="194"/>
  <c r="AF32" i="194"/>
  <c r="AB32" i="194"/>
  <c r="AJ16" i="201"/>
  <c r="AE16" i="201"/>
  <c r="AI16" i="201"/>
  <c r="AC16" i="201"/>
  <c r="AG16" i="201"/>
  <c r="AD16" i="201"/>
  <c r="AB16" i="201"/>
  <c r="AF16" i="201"/>
  <c r="AH16" i="201"/>
  <c r="AK16" i="201"/>
  <c r="AG16" i="192"/>
  <c r="AC16" i="192"/>
  <c r="AF16" i="192"/>
  <c r="AD16" i="192"/>
  <c r="AJ16" i="192"/>
  <c r="AK16" i="192"/>
  <c r="AB16" i="192"/>
  <c r="AI16" i="192"/>
  <c r="AE16" i="192"/>
  <c r="AH16" i="192"/>
  <c r="AH16" i="202"/>
  <c r="AI16" i="202"/>
  <c r="AB16" i="202"/>
  <c r="AF16" i="202"/>
  <c r="AE16" i="202"/>
  <c r="AD16" i="202"/>
  <c r="AK16" i="202"/>
  <c r="AJ16" i="202"/>
  <c r="AG16" i="202"/>
  <c r="AC16" i="202"/>
  <c r="AF16" i="197"/>
  <c r="AH16" i="197"/>
  <c r="AK16" i="197"/>
  <c r="AJ16" i="197"/>
  <c r="AE16" i="197"/>
  <c r="AG16" i="197"/>
  <c r="AI16" i="197"/>
  <c r="AD16" i="197"/>
  <c r="AB16" i="197"/>
  <c r="AC16" i="197"/>
  <c r="AJ16" i="205"/>
  <c r="AK16" i="205"/>
  <c r="AB16" i="205"/>
  <c r="AE16" i="205"/>
  <c r="AH16" i="205"/>
  <c r="AC16" i="205"/>
  <c r="AD16" i="205"/>
  <c r="AG16" i="205"/>
  <c r="AI16" i="205"/>
  <c r="AF16" i="205"/>
  <c r="AD16" i="206"/>
  <c r="AJ16" i="206"/>
  <c r="AG16" i="206"/>
  <c r="AI16" i="206"/>
  <c r="AC16" i="206"/>
  <c r="AF16" i="206"/>
  <c r="AH16" i="206"/>
  <c r="AE16" i="206"/>
  <c r="AB16" i="206"/>
  <c r="AK16" i="206"/>
  <c r="AC33" i="193"/>
  <c r="AH33" i="193"/>
  <c r="AJ33" i="193"/>
  <c r="AE33" i="193"/>
  <c r="AK33" i="193"/>
  <c r="AF33" i="193"/>
  <c r="AG33" i="193"/>
  <c r="AD33" i="193"/>
  <c r="AI33" i="193"/>
  <c r="AB33" i="193"/>
  <c r="AK33" i="201"/>
  <c r="AB33" i="201"/>
  <c r="AI33" i="201"/>
  <c r="AH33" i="201"/>
  <c r="AF33" i="201"/>
  <c r="AJ33" i="201"/>
  <c r="AE33" i="201"/>
  <c r="AC33" i="201"/>
  <c r="AG33" i="201"/>
  <c r="AD33" i="201"/>
  <c r="AD33" i="207"/>
  <c r="AB33" i="207"/>
  <c r="AJ33" i="207"/>
  <c r="AI33" i="207"/>
  <c r="AC33" i="207"/>
  <c r="AG33" i="207"/>
  <c r="AE33" i="207"/>
  <c r="AK33" i="207"/>
  <c r="AH33" i="207"/>
  <c r="AF33" i="207"/>
  <c r="AG33" i="211"/>
  <c r="AJ33" i="211"/>
  <c r="AC33" i="211"/>
  <c r="AI33" i="211"/>
  <c r="AK33" i="211"/>
  <c r="AH33" i="211"/>
  <c r="AD33" i="211"/>
  <c r="AB33" i="211"/>
  <c r="AE33" i="211"/>
  <c r="AF33" i="211"/>
  <c r="AE33" i="212"/>
  <c r="AB33" i="212"/>
  <c r="AJ33" i="212"/>
  <c r="AD33" i="212"/>
  <c r="AG33" i="212"/>
  <c r="AF33" i="212"/>
  <c r="AC33" i="212"/>
  <c r="AH33" i="212"/>
  <c r="AI33" i="212"/>
  <c r="AK33" i="212"/>
  <c r="AK33" i="191"/>
  <c r="AF33" i="191"/>
  <c r="AH33" i="191"/>
  <c r="AG33" i="191"/>
  <c r="AD33" i="191"/>
  <c r="AE33" i="191"/>
  <c r="AB33" i="191"/>
  <c r="AI33" i="191"/>
  <c r="AC33" i="191"/>
  <c r="AJ33" i="191"/>
  <c r="AF31" i="212"/>
  <c r="AC31" i="212"/>
  <c r="AG31" i="212"/>
  <c r="AE31" i="212"/>
  <c r="AJ31" i="212"/>
  <c r="AK31" i="212"/>
  <c r="AI31" i="212"/>
  <c r="AD31" i="212"/>
  <c r="AB31" i="212"/>
  <c r="AH31" i="212"/>
  <c r="AH31" i="213"/>
  <c r="AC31" i="213"/>
  <c r="AK31" i="213"/>
  <c r="AB31" i="213"/>
  <c r="AJ31" i="213"/>
  <c r="AE31" i="213"/>
  <c r="AG31" i="213"/>
  <c r="AI31" i="213"/>
  <c r="AD31" i="213"/>
  <c r="AF31" i="213"/>
  <c r="AB31" i="194"/>
  <c r="AI31" i="194"/>
  <c r="AJ31" i="194"/>
  <c r="AG31" i="194"/>
  <c r="AC31" i="194"/>
  <c r="AH31" i="194"/>
  <c r="AK31" i="194"/>
  <c r="AF31" i="194"/>
  <c r="AD31" i="194"/>
  <c r="AE31" i="194"/>
  <c r="AG31" i="192"/>
  <c r="AI31" i="192"/>
  <c r="AB31" i="192"/>
  <c r="AH31" i="192"/>
  <c r="AE31" i="192"/>
  <c r="AJ31" i="192"/>
  <c r="AC31" i="192"/>
  <c r="AK31" i="192"/>
  <c r="AD31" i="192"/>
  <c r="AF31" i="192"/>
  <c r="AK31" i="205"/>
  <c r="AI31" i="205"/>
  <c r="AE31" i="205"/>
  <c r="AD31" i="205"/>
  <c r="AJ31" i="205"/>
  <c r="AC31" i="205"/>
  <c r="AB31" i="205"/>
  <c r="AG31" i="205"/>
  <c r="AH31" i="205"/>
  <c r="AF31" i="205"/>
  <c r="AK31" i="200"/>
  <c r="AB31" i="200"/>
  <c r="AE31" i="200"/>
  <c r="AF31" i="200"/>
  <c r="AJ31" i="200"/>
  <c r="AG31" i="200"/>
  <c r="AC31" i="200"/>
  <c r="AD31" i="200"/>
  <c r="AH31" i="200"/>
  <c r="AI31" i="200"/>
  <c r="AB31" i="208"/>
  <c r="AK31" i="208"/>
  <c r="AD31" i="208"/>
  <c r="AJ31" i="208"/>
  <c r="AG31" i="208"/>
  <c r="AE31" i="208"/>
  <c r="AI31" i="208"/>
  <c r="AF31" i="208"/>
  <c r="AC31" i="208"/>
  <c r="AH31" i="208"/>
  <c r="AD34" i="196"/>
  <c r="AG34" i="196"/>
  <c r="AJ34" i="196"/>
  <c r="AF34" i="196"/>
  <c r="AH34" i="196"/>
  <c r="AI34" i="196"/>
  <c r="AC34" i="196"/>
  <c r="AK34" i="196"/>
  <c r="AB34" i="196"/>
  <c r="AE34" i="196"/>
  <c r="AK34" i="202"/>
  <c r="AH34" i="202"/>
  <c r="AE34" i="202"/>
  <c r="AC34" i="202"/>
  <c r="AD34" i="202"/>
  <c r="AJ34" i="202"/>
  <c r="AG34" i="202"/>
  <c r="AI34" i="202"/>
  <c r="AF34" i="202"/>
  <c r="AB34" i="202"/>
  <c r="AC34" i="205"/>
  <c r="AJ34" i="205"/>
  <c r="AG34" i="205"/>
  <c r="AH34" i="205"/>
  <c r="AK34" i="205"/>
  <c r="AE34" i="205"/>
  <c r="AD34" i="205"/>
  <c r="AI34" i="205"/>
  <c r="AF34" i="205"/>
  <c r="AB34" i="205"/>
  <c r="AF34" i="204"/>
  <c r="AI34" i="204"/>
  <c r="AE34" i="204"/>
  <c r="AH34" i="204"/>
  <c r="AB34" i="204"/>
  <c r="AG34" i="204"/>
  <c r="AD34" i="204"/>
  <c r="AC34" i="204"/>
  <c r="AJ34" i="204"/>
  <c r="AK34" i="204"/>
  <c r="AB34" i="209"/>
  <c r="AK34" i="209"/>
  <c r="AD34" i="209"/>
  <c r="AJ34" i="209"/>
  <c r="AF34" i="209"/>
  <c r="AE34" i="209"/>
  <c r="AG34" i="209"/>
  <c r="AH34" i="209"/>
  <c r="AC34" i="209"/>
  <c r="AI34" i="209"/>
  <c r="AG34" i="199"/>
  <c r="AC34" i="199"/>
  <c r="AH34" i="199"/>
  <c r="AK34" i="199"/>
  <c r="AI34" i="199"/>
  <c r="AJ34" i="199"/>
  <c r="AE34" i="199"/>
  <c r="AF34" i="199"/>
  <c r="AD34" i="199"/>
  <c r="AB34" i="199"/>
  <c r="AC10" i="197"/>
  <c r="AI10" i="197"/>
  <c r="AD10" i="197"/>
  <c r="AF10" i="197"/>
  <c r="AH10" i="197"/>
  <c r="AG10" i="197"/>
  <c r="AK10" i="197"/>
  <c r="AJ10" i="197"/>
  <c r="AE10" i="197"/>
  <c r="AB10" i="197"/>
  <c r="AH10" i="211"/>
  <c r="AG10" i="211"/>
  <c r="AK10" i="211"/>
  <c r="AD10" i="211"/>
  <c r="AB10" i="211"/>
  <c r="AF10" i="211"/>
  <c r="AI10" i="211"/>
  <c r="AE10" i="211"/>
  <c r="AC10" i="211"/>
  <c r="AJ10" i="211"/>
  <c r="AK10" i="198"/>
  <c r="AH10" i="198"/>
  <c r="AF10" i="198"/>
  <c r="AC10" i="198"/>
  <c r="AG10" i="198"/>
  <c r="AD10" i="198"/>
  <c r="AJ10" i="198"/>
  <c r="AI10" i="198"/>
  <c r="AB10" i="198"/>
  <c r="AE10" i="198"/>
  <c r="AJ10" i="214"/>
  <c r="AC10" i="214"/>
  <c r="AH10" i="214"/>
  <c r="AD10" i="214"/>
  <c r="AG10" i="214"/>
  <c r="AI10" i="214"/>
  <c r="AE10" i="214"/>
  <c r="AF10" i="214"/>
  <c r="AB10" i="214"/>
  <c r="AK10" i="214"/>
  <c r="AC10" i="200"/>
  <c r="AH10" i="200"/>
  <c r="AK10" i="200"/>
  <c r="AE10" i="200"/>
  <c r="AD10" i="200"/>
  <c r="AF10" i="200"/>
  <c r="AI10" i="200"/>
  <c r="AJ10" i="200"/>
  <c r="AG10" i="200"/>
  <c r="AB10" i="200"/>
  <c r="AB10" i="208"/>
  <c r="AE10" i="208"/>
  <c r="AH10" i="208"/>
  <c r="AF10" i="208"/>
  <c r="AK10" i="208"/>
  <c r="AG10" i="208"/>
  <c r="AC10" i="208"/>
  <c r="AJ10" i="208"/>
  <c r="AI10" i="208"/>
  <c r="AD10" i="208"/>
  <c r="AF25" i="214"/>
  <c r="AK25" i="214"/>
  <c r="AI25" i="214"/>
  <c r="AC25" i="214"/>
  <c r="AJ25" i="214"/>
  <c r="AB25" i="214"/>
  <c r="AE25" i="214"/>
  <c r="AH25" i="214"/>
  <c r="AG25" i="214"/>
  <c r="AD25" i="214"/>
  <c r="AD25" i="207"/>
  <c r="AC25" i="207"/>
  <c r="AF25" i="207"/>
  <c r="AK25" i="207"/>
  <c r="AJ25" i="207"/>
  <c r="AG25" i="207"/>
  <c r="AE25" i="207"/>
  <c r="AI25" i="207"/>
  <c r="AH25" i="207"/>
  <c r="AB25" i="207"/>
  <c r="AD25" i="193"/>
  <c r="AB25" i="193"/>
  <c r="AI25" i="193"/>
  <c r="AJ25" i="193"/>
  <c r="AG25" i="193"/>
  <c r="AC25" i="193"/>
  <c r="AK25" i="193"/>
  <c r="AH25" i="193"/>
  <c r="AF25" i="193"/>
  <c r="AE25" i="193"/>
  <c r="AK25" i="197"/>
  <c r="AG25" i="197"/>
  <c r="AJ25" i="197"/>
  <c r="AF25" i="197"/>
  <c r="AC25" i="197"/>
  <c r="AD25" i="197"/>
  <c r="AI25" i="197"/>
  <c r="AH25" i="197"/>
  <c r="AE25" i="197"/>
  <c r="AB25" i="197"/>
  <c r="AK25" i="212"/>
  <c r="AD25" i="212"/>
  <c r="AH25" i="212"/>
  <c r="AB25" i="212"/>
  <c r="AE25" i="212"/>
  <c r="AI25" i="212"/>
  <c r="AC25" i="212"/>
  <c r="AF25" i="212"/>
  <c r="AG25" i="212"/>
  <c r="AJ25" i="212"/>
  <c r="AB25" i="205"/>
  <c r="AC25" i="205"/>
  <c r="AJ25" i="205"/>
  <c r="AH25" i="205"/>
  <c r="AI25" i="205"/>
  <c r="AE25" i="205"/>
  <c r="AG25" i="205"/>
  <c r="AK25" i="205"/>
  <c r="AD25" i="205"/>
  <c r="AF25" i="205"/>
  <c r="AK35" i="203"/>
  <c r="AD35" i="203"/>
  <c r="AI35" i="203"/>
  <c r="AC35" i="203"/>
  <c r="AJ35" i="203"/>
  <c r="AH35" i="203"/>
  <c r="AE35" i="203"/>
  <c r="AG35" i="203"/>
  <c r="AF35" i="203"/>
  <c r="AB35" i="203"/>
  <c r="AD35" i="214"/>
  <c r="AH35" i="214"/>
  <c r="AE35" i="214"/>
  <c r="AB35" i="214"/>
  <c r="AI35" i="214"/>
  <c r="AF35" i="214"/>
  <c r="AG35" i="214"/>
  <c r="AK35" i="214"/>
  <c r="AC35" i="214"/>
  <c r="AJ35" i="214"/>
  <c r="AK35" i="192"/>
  <c r="AG35" i="192"/>
  <c r="AB35" i="192"/>
  <c r="AE35" i="192"/>
  <c r="AF35" i="192"/>
  <c r="AC35" i="192"/>
  <c r="AI35" i="192"/>
  <c r="AD35" i="192"/>
  <c r="AJ35" i="192"/>
  <c r="AH35" i="192"/>
  <c r="AI35" i="208"/>
  <c r="AB35" i="208"/>
  <c r="AH35" i="208"/>
  <c r="AC35" i="208"/>
  <c r="AF35" i="208"/>
  <c r="AJ35" i="208"/>
  <c r="AE35" i="208"/>
  <c r="AD35" i="208"/>
  <c r="AK35" i="208"/>
  <c r="AG35" i="208"/>
  <c r="AG35" i="207"/>
  <c r="AE35" i="207"/>
  <c r="AJ35" i="207"/>
  <c r="AB35" i="207"/>
  <c r="AK35" i="207"/>
  <c r="AC35" i="207"/>
  <c r="AH35" i="207"/>
  <c r="AD35" i="207"/>
  <c r="AF35" i="207"/>
  <c r="AI35" i="207"/>
  <c r="AC35" i="211"/>
  <c r="AB35" i="211"/>
  <c r="AE35" i="211"/>
  <c r="AJ35" i="211"/>
  <c r="AK35" i="211"/>
  <c r="AF35" i="211"/>
  <c r="AH35" i="211"/>
  <c r="AG35" i="211"/>
  <c r="AI35" i="211"/>
  <c r="AD35" i="211"/>
  <c r="AI35" i="198"/>
  <c r="AC35" i="198"/>
  <c r="AG35" i="198"/>
  <c r="AJ35" i="198"/>
  <c r="AK35" i="198"/>
  <c r="AE35" i="198"/>
  <c r="AH35" i="198"/>
  <c r="AD35" i="198"/>
  <c r="AB35" i="198"/>
  <c r="AF35" i="198"/>
  <c r="AG2" i="196"/>
  <c r="AK2" i="196"/>
  <c r="AC2" i="196"/>
  <c r="AH2" i="196"/>
  <c r="AB2" i="196"/>
  <c r="AJ2" i="196"/>
  <c r="AI2" i="196"/>
  <c r="AD2" i="196"/>
  <c r="AF2" i="196"/>
  <c r="AE2" i="196"/>
  <c r="AF2" i="212"/>
  <c r="AI2" i="212"/>
  <c r="AB2" i="212"/>
  <c r="AH2" i="212"/>
  <c r="AD2" i="212"/>
  <c r="AC2" i="212"/>
  <c r="AJ2" i="212"/>
  <c r="AE2" i="212"/>
  <c r="AG2" i="212"/>
  <c r="AK2" i="212"/>
  <c r="AJ2" i="203"/>
  <c r="AH2" i="203"/>
  <c r="AD2" i="203"/>
  <c r="AK2" i="203"/>
  <c r="AE2" i="203"/>
  <c r="AC2" i="203"/>
  <c r="AF2" i="203"/>
  <c r="AI2" i="203"/>
  <c r="AG2" i="203"/>
  <c r="AB2" i="203"/>
  <c r="AG2" i="37"/>
  <c r="AE2" i="37"/>
  <c r="AB2" i="37"/>
  <c r="AJ2" i="37"/>
  <c r="AD2" i="37"/>
  <c r="AH2" i="37"/>
  <c r="AF2" i="37"/>
  <c r="AK2" i="37"/>
  <c r="AC2" i="37"/>
  <c r="AI2" i="37"/>
  <c r="AJ2" i="197"/>
  <c r="AK2" i="197"/>
  <c r="AD2" i="197"/>
  <c r="AC2" i="197"/>
  <c r="AH2" i="197"/>
  <c r="AI2" i="197"/>
  <c r="AF2" i="197"/>
  <c r="AB2" i="197"/>
  <c r="AE2" i="197"/>
  <c r="AG2" i="197"/>
  <c r="AG2" i="192"/>
  <c r="AJ2" i="192"/>
  <c r="AB2" i="192"/>
  <c r="AI2" i="192"/>
  <c r="AF2" i="192"/>
  <c r="AK2" i="192"/>
  <c r="AC2" i="192"/>
  <c r="AE2" i="192"/>
  <c r="AH2" i="192"/>
  <c r="AD2" i="192"/>
  <c r="AF24" i="194"/>
  <c r="AH24" i="194"/>
  <c r="AD24" i="194"/>
  <c r="AK24" i="194"/>
  <c r="AJ24" i="194"/>
  <c r="AB24" i="194"/>
  <c r="AE24" i="194"/>
  <c r="AG24" i="194"/>
  <c r="AI24" i="194"/>
  <c r="AC24" i="194"/>
  <c r="AG24" i="193"/>
  <c r="AI24" i="193"/>
  <c r="AH24" i="193"/>
  <c r="AJ24" i="193"/>
  <c r="AF24" i="193"/>
  <c r="AC24" i="193"/>
  <c r="AE24" i="193"/>
  <c r="AK24" i="193"/>
  <c r="AB24" i="193"/>
  <c r="AD24" i="193"/>
  <c r="AJ24" i="210"/>
  <c r="AB24" i="210"/>
  <c r="AH24" i="210"/>
  <c r="AK24" i="210"/>
  <c r="AD24" i="210"/>
  <c r="AG24" i="210"/>
  <c r="AC24" i="210"/>
  <c r="AI24" i="210"/>
  <c r="AF24" i="210"/>
  <c r="AE24" i="210"/>
  <c r="AJ24" i="201"/>
  <c r="AD24" i="201"/>
  <c r="AH24" i="201"/>
  <c r="AI24" i="201"/>
  <c r="AC24" i="201"/>
  <c r="AG24" i="201"/>
  <c r="AE24" i="201"/>
  <c r="AF24" i="201"/>
  <c r="AK24" i="201"/>
  <c r="AB24" i="201"/>
  <c r="AD24" i="213"/>
  <c r="AB24" i="213"/>
  <c r="AJ24" i="213"/>
  <c r="AF24" i="213"/>
  <c r="AH24" i="213"/>
  <c r="AK24" i="213"/>
  <c r="AC24" i="213"/>
  <c r="AE24" i="213"/>
  <c r="AG24" i="213"/>
  <c r="AI24" i="213"/>
  <c r="AG24" i="204"/>
  <c r="AD24" i="204"/>
  <c r="AH24" i="204"/>
  <c r="AB24" i="204"/>
  <c r="AJ24" i="204"/>
  <c r="AC24" i="204"/>
  <c r="AE24" i="204"/>
  <c r="AI24" i="204"/>
  <c r="AF24" i="204"/>
  <c r="AK24" i="204"/>
  <c r="AK19" i="207"/>
  <c r="AD19" i="207"/>
  <c r="AC19" i="207"/>
  <c r="AB19" i="207"/>
  <c r="AI19" i="207"/>
  <c r="AG19" i="207"/>
  <c r="AF19" i="207"/>
  <c r="AH19" i="207"/>
  <c r="AJ19" i="207"/>
  <c r="AE19" i="207"/>
  <c r="AJ19" i="209"/>
  <c r="AB19" i="209"/>
  <c r="AK19" i="209"/>
  <c r="AC19" i="209"/>
  <c r="AG19" i="209"/>
  <c r="AI19" i="209"/>
  <c r="AH19" i="209"/>
  <c r="AF19" i="209"/>
  <c r="AE19" i="209"/>
  <c r="AD19" i="209"/>
  <c r="AH19" i="198"/>
  <c r="AC19" i="198"/>
  <c r="AD19" i="198"/>
  <c r="AF19" i="198"/>
  <c r="AE19" i="198"/>
  <c r="AI19" i="198"/>
  <c r="AK19" i="198"/>
  <c r="AG19" i="198"/>
  <c r="AJ19" i="198"/>
  <c r="AB19" i="198"/>
  <c r="AG19" i="201"/>
  <c r="AH19" i="201"/>
  <c r="AI19" i="201"/>
  <c r="AD19" i="201"/>
  <c r="AJ19" i="201"/>
  <c r="AC19" i="201"/>
  <c r="AE19" i="201"/>
  <c r="AF19" i="201"/>
  <c r="AB19" i="201"/>
  <c r="AK19" i="201"/>
  <c r="AG19" i="208"/>
  <c r="AC19" i="208"/>
  <c r="AJ19" i="208"/>
  <c r="AB19" i="208"/>
  <c r="AE19" i="208"/>
  <c r="AI19" i="208"/>
  <c r="AK19" i="208"/>
  <c r="AH19" i="208"/>
  <c r="AF19" i="208"/>
  <c r="AD19" i="208"/>
  <c r="AH19" i="200"/>
  <c r="AC19" i="200"/>
  <c r="AB19" i="200"/>
  <c r="AI19" i="200"/>
  <c r="AK19" i="200"/>
  <c r="AD19" i="200"/>
  <c r="AE19" i="200"/>
  <c r="AG19" i="200"/>
  <c r="AF19" i="200"/>
  <c r="AJ19" i="200"/>
  <c r="AH6" i="206"/>
  <c r="AE6" i="206"/>
  <c r="AJ6" i="206"/>
  <c r="AI6" i="206"/>
  <c r="AD6" i="206"/>
  <c r="AC6" i="206"/>
  <c r="AK6" i="206"/>
  <c r="AB6" i="206"/>
  <c r="AF6" i="206"/>
  <c r="AG6" i="206"/>
  <c r="AD6" i="208"/>
  <c r="AG6" i="208"/>
  <c r="AF6" i="208"/>
  <c r="AE6" i="208"/>
  <c r="AH6" i="208"/>
  <c r="AB6" i="208"/>
  <c r="AK6" i="208"/>
  <c r="AC6" i="208"/>
  <c r="AI6" i="208"/>
  <c r="AJ6" i="208"/>
  <c r="AJ6" i="191"/>
  <c r="AH6" i="191"/>
  <c r="AK6" i="191"/>
  <c r="AI6" i="191"/>
  <c r="AF6" i="191"/>
  <c r="AG6" i="191"/>
  <c r="AB6" i="191"/>
  <c r="AD6" i="191"/>
  <c r="AE6" i="191"/>
  <c r="AC6" i="191"/>
  <c r="AG6" i="200"/>
  <c r="AC6" i="200"/>
  <c r="AB6" i="200"/>
  <c r="AE6" i="200"/>
  <c r="AJ6" i="200"/>
  <c r="AK6" i="200"/>
  <c r="AH6" i="200"/>
  <c r="AD6" i="200"/>
  <c r="AF6" i="200"/>
  <c r="AI6" i="200"/>
  <c r="AJ6" i="196"/>
  <c r="AC6" i="196"/>
  <c r="AH6" i="196"/>
  <c r="AE6" i="196"/>
  <c r="AB6" i="196"/>
  <c r="AI6" i="196"/>
  <c r="AD6" i="196"/>
  <c r="AK6" i="196"/>
  <c r="AG6" i="196"/>
  <c r="AF6" i="196"/>
  <c r="AF6" i="210"/>
  <c r="AC6" i="210"/>
  <c r="AB6" i="210"/>
  <c r="AG6" i="210"/>
  <c r="AD6" i="210"/>
  <c r="AH6" i="210"/>
  <c r="AJ6" i="210"/>
  <c r="AK6" i="210"/>
  <c r="AE6" i="210"/>
  <c r="AI6" i="210"/>
  <c r="AI5" i="192"/>
  <c r="AF5" i="192"/>
  <c r="AD5" i="192"/>
  <c r="AE5" i="192"/>
  <c r="AJ5" i="192"/>
  <c r="AG5" i="192"/>
  <c r="AB5" i="192"/>
  <c r="AK5" i="192"/>
  <c r="AC5" i="192"/>
  <c r="AH5" i="192"/>
  <c r="AD5" i="202"/>
  <c r="AH5" i="202"/>
  <c r="AG5" i="202"/>
  <c r="AI5" i="202"/>
  <c r="AK5" i="202"/>
  <c r="AC5" i="202"/>
  <c r="AJ5" i="202"/>
  <c r="AE5" i="202"/>
  <c r="AB5" i="202"/>
  <c r="AF5" i="202"/>
  <c r="AJ5" i="206"/>
  <c r="AG5" i="206"/>
  <c r="AD5" i="206"/>
  <c r="AF5" i="206"/>
  <c r="AC5" i="206"/>
  <c r="AB5" i="206"/>
  <c r="AE5" i="206"/>
  <c r="AK5" i="206"/>
  <c r="AI5" i="206"/>
  <c r="AH5" i="206"/>
  <c r="AB5" i="194"/>
  <c r="AC5" i="194"/>
  <c r="AJ5" i="194"/>
  <c r="AF5" i="194"/>
  <c r="AD5" i="194"/>
  <c r="AE5" i="194"/>
  <c r="AI5" i="194"/>
  <c r="AG5" i="194"/>
  <c r="AH5" i="194"/>
  <c r="AK5" i="194"/>
  <c r="AJ5" i="196"/>
  <c r="AG5" i="196"/>
  <c r="AI5" i="196"/>
  <c r="AF5" i="196"/>
  <c r="AE5" i="196"/>
  <c r="AD5" i="196"/>
  <c r="AH5" i="196"/>
  <c r="AK5" i="196"/>
  <c r="AB5" i="196"/>
  <c r="AC5" i="196"/>
  <c r="AD5" i="207"/>
  <c r="AE5" i="207"/>
  <c r="AI5" i="207"/>
  <c r="AG5" i="207"/>
  <c r="AH5" i="207"/>
  <c r="AF5" i="207"/>
  <c r="AK5" i="207"/>
  <c r="AJ5" i="207"/>
  <c r="AC5" i="207"/>
  <c r="AB5" i="207"/>
  <c r="AC5" i="37"/>
  <c r="AI5" i="37"/>
  <c r="AB5" i="37"/>
  <c r="AH5" i="37"/>
  <c r="AD5" i="37"/>
  <c r="AF5" i="37"/>
  <c r="AE5" i="37"/>
  <c r="AJ5" i="37"/>
  <c r="AG5" i="37"/>
  <c r="AK5" i="37"/>
  <c r="AF17" i="205"/>
  <c r="AG17" i="205"/>
  <c r="AJ17" i="205"/>
  <c r="AI17" i="205"/>
  <c r="AC17" i="205"/>
  <c r="AH17" i="205"/>
  <c r="AD17" i="205"/>
  <c r="AB17" i="205"/>
  <c r="AE17" i="205"/>
  <c r="AK17" i="205"/>
  <c r="AH17" i="213"/>
  <c r="AK17" i="213"/>
  <c r="AG17" i="213"/>
  <c r="AB17" i="213"/>
  <c r="AJ17" i="213"/>
  <c r="AD17" i="213"/>
  <c r="AI17" i="213"/>
  <c r="AC17" i="213"/>
  <c r="AF17" i="213"/>
  <c r="AE17" i="213"/>
  <c r="AF17" i="209"/>
  <c r="AK17" i="209"/>
  <c r="AJ17" i="209"/>
  <c r="AB17" i="209"/>
  <c r="AD17" i="209"/>
  <c r="AI17" i="209"/>
  <c r="AC17" i="209"/>
  <c r="AH17" i="209"/>
  <c r="AG17" i="209"/>
  <c r="AE17" i="209"/>
  <c r="AF17" i="199"/>
  <c r="AI17" i="199"/>
  <c r="AB17" i="199"/>
  <c r="AJ17" i="199"/>
  <c r="AC17" i="199"/>
  <c r="AK17" i="199"/>
  <c r="AE17" i="199"/>
  <c r="AH17" i="199"/>
  <c r="AD17" i="199"/>
  <c r="AG17" i="199"/>
  <c r="AB17" i="193"/>
  <c r="AJ17" i="193"/>
  <c r="AG17" i="193"/>
  <c r="AD17" i="193"/>
  <c r="AI17" i="193"/>
  <c r="AC17" i="193"/>
  <c r="AE17" i="193"/>
  <c r="AH17" i="193"/>
  <c r="AF17" i="193"/>
  <c r="AK17" i="193"/>
  <c r="AK17" i="200"/>
  <c r="AJ17" i="200"/>
  <c r="AH17" i="200"/>
  <c r="AB17" i="200"/>
  <c r="AG17" i="200"/>
  <c r="AF17" i="200"/>
  <c r="AI17" i="200"/>
  <c r="AE17" i="200"/>
  <c r="AC17" i="200"/>
  <c r="AD17" i="200"/>
  <c r="AH9" i="195"/>
  <c r="AK9" i="195"/>
  <c r="AI9" i="195"/>
  <c r="AJ9" i="195"/>
  <c r="AF9" i="195"/>
  <c r="AB9" i="195"/>
  <c r="AD9" i="195"/>
  <c r="AC9" i="195"/>
  <c r="AG9" i="195"/>
  <c r="AE9" i="195"/>
  <c r="AE9" i="206"/>
  <c r="AC9" i="206"/>
  <c r="AI9" i="206"/>
  <c r="AK9" i="206"/>
  <c r="AG9" i="206"/>
  <c r="AD9" i="206"/>
  <c r="AF9" i="206"/>
  <c r="AB9" i="206"/>
  <c r="AJ9" i="206"/>
  <c r="AH9" i="206"/>
  <c r="AG9" i="37"/>
  <c r="AE9" i="37"/>
  <c r="AB9" i="37"/>
  <c r="AC9" i="37"/>
  <c r="AF9" i="37"/>
  <c r="AK9" i="37"/>
  <c r="AJ9" i="37"/>
  <c r="AD9" i="37"/>
  <c r="AI9" i="37"/>
  <c r="AH9" i="37"/>
  <c r="AE9" i="191"/>
  <c r="AB9" i="191"/>
  <c r="AJ9" i="191"/>
  <c r="AK9" i="191"/>
  <c r="AC9" i="191"/>
  <c r="AI9" i="191"/>
  <c r="AH9" i="191"/>
  <c r="AG9" i="191"/>
  <c r="AD9" i="191"/>
  <c r="AF9" i="191"/>
  <c r="AH9" i="202"/>
  <c r="AC9" i="202"/>
  <c r="AK9" i="202"/>
  <c r="AI9" i="202"/>
  <c r="AJ9" i="202"/>
  <c r="AF9" i="202"/>
  <c r="AB9" i="202"/>
  <c r="AG9" i="202"/>
  <c r="AE9" i="202"/>
  <c r="AD9" i="202"/>
  <c r="AF9" i="193"/>
  <c r="AD9" i="193"/>
  <c r="AG9" i="193"/>
  <c r="AE9" i="193"/>
  <c r="AC9" i="193"/>
  <c r="AI9" i="193"/>
  <c r="AK9" i="193"/>
  <c r="AJ9" i="193"/>
  <c r="AB9" i="193"/>
  <c r="AH9" i="193"/>
  <c r="AH4" i="205"/>
  <c r="AK4" i="205"/>
  <c r="AD4" i="205"/>
  <c r="AE4" i="205"/>
  <c r="AF4" i="205"/>
  <c r="AJ4" i="205"/>
  <c r="AC4" i="205"/>
  <c r="AG4" i="205"/>
  <c r="AB4" i="205"/>
  <c r="AI4" i="205"/>
  <c r="AE4" i="213"/>
  <c r="AB4" i="213"/>
  <c r="AK4" i="213"/>
  <c r="AG4" i="213"/>
  <c r="AI4" i="213"/>
  <c r="AH4" i="213"/>
  <c r="AJ4" i="213"/>
  <c r="AF4" i="213"/>
  <c r="AD4" i="213"/>
  <c r="AC4" i="213"/>
  <c r="AD4" i="210"/>
  <c r="AJ4" i="210"/>
  <c r="AI4" i="210"/>
  <c r="AH4" i="210"/>
  <c r="AE4" i="210"/>
  <c r="AB4" i="210"/>
  <c r="AG4" i="210"/>
  <c r="AC4" i="210"/>
  <c r="AF4" i="210"/>
  <c r="AK4" i="210"/>
  <c r="AG4" i="209"/>
  <c r="AF4" i="209"/>
  <c r="AK4" i="209"/>
  <c r="AB4" i="209"/>
  <c r="AH4" i="209"/>
  <c r="AE4" i="209"/>
  <c r="AJ4" i="209"/>
  <c r="AI4" i="209"/>
  <c r="AD4" i="209"/>
  <c r="AC4" i="209"/>
  <c r="AC4" i="206"/>
  <c r="AG4" i="206"/>
  <c r="AD4" i="206"/>
  <c r="AJ4" i="206"/>
  <c r="AK4" i="206"/>
  <c r="AH4" i="206"/>
  <c r="AB4" i="206"/>
  <c r="AI4" i="206"/>
  <c r="AF4" i="206"/>
  <c r="AE4" i="206"/>
  <c r="AG4" i="193"/>
  <c r="AE4" i="193"/>
  <c r="AK4" i="193"/>
  <c r="AI4" i="193"/>
  <c r="AH4" i="193"/>
  <c r="AF4" i="193"/>
  <c r="AJ4" i="193"/>
  <c r="AC4" i="193"/>
  <c r="AD4" i="193"/>
  <c r="AB4" i="193"/>
  <c r="AF22" i="209"/>
  <c r="AK22" i="209"/>
  <c r="AI22" i="209"/>
  <c r="AJ22" i="209"/>
  <c r="AC22" i="209"/>
  <c r="AD22" i="209"/>
  <c r="AB22" i="209"/>
  <c r="AG22" i="209"/>
  <c r="AE22" i="209"/>
  <c r="AH22" i="209"/>
  <c r="AC22" i="210"/>
  <c r="AG22" i="210"/>
  <c r="AK22" i="210"/>
  <c r="AD22" i="210"/>
  <c r="AE22" i="210"/>
  <c r="AB22" i="210"/>
  <c r="AF22" i="210"/>
  <c r="AJ22" i="210"/>
  <c r="AH22" i="210"/>
  <c r="AI22" i="210"/>
  <c r="AG22" i="194"/>
  <c r="AH22" i="194"/>
  <c r="AK22" i="194"/>
  <c r="AF22" i="194"/>
  <c r="AI22" i="194"/>
  <c r="AC22" i="194"/>
  <c r="AE22" i="194"/>
  <c r="AB22" i="194"/>
  <c r="AJ22" i="194"/>
  <c r="AD22" i="194"/>
  <c r="AG22" i="195"/>
  <c r="AH22" i="195"/>
  <c r="AC22" i="195"/>
  <c r="AI22" i="195"/>
  <c r="AF22" i="195"/>
  <c r="AJ22" i="195"/>
  <c r="AK22" i="195"/>
  <c r="AB22" i="195"/>
  <c r="AD22" i="195"/>
  <c r="AE22" i="195"/>
  <c r="AI22" i="200"/>
  <c r="AE22" i="200"/>
  <c r="AG22" i="200"/>
  <c r="AK22" i="200"/>
  <c r="AD22" i="200"/>
  <c r="AC22" i="200"/>
  <c r="AH22" i="200"/>
  <c r="AJ22" i="200"/>
  <c r="AB22" i="200"/>
  <c r="AF22" i="200"/>
  <c r="AG22" i="208"/>
  <c r="AH22" i="208"/>
  <c r="AJ22" i="208"/>
  <c r="AI22" i="208"/>
  <c r="AK22" i="208"/>
  <c r="AB22" i="208"/>
  <c r="AD22" i="208"/>
  <c r="AC22" i="208"/>
  <c r="AE22" i="208"/>
  <c r="AF22" i="208"/>
  <c r="AF22" i="213"/>
  <c r="AI22" i="213"/>
  <c r="AC22" i="213"/>
  <c r="AB22" i="213"/>
  <c r="AH22" i="213"/>
  <c r="AK22" i="213"/>
  <c r="AJ22" i="213"/>
  <c r="AG22" i="213"/>
  <c r="AE22" i="213"/>
  <c r="AD22" i="213"/>
  <c r="AE8" i="194"/>
  <c r="AG8" i="194"/>
  <c r="AF8" i="194"/>
  <c r="AD8" i="194"/>
  <c r="AH8" i="194"/>
  <c r="AK8" i="194"/>
  <c r="AI8" i="194"/>
  <c r="AJ8" i="194"/>
  <c r="AB8" i="194"/>
  <c r="AC8" i="194"/>
  <c r="AB8" i="200"/>
  <c r="AG8" i="200"/>
  <c r="AD8" i="200"/>
  <c r="AJ8" i="200"/>
  <c r="AE8" i="200"/>
  <c r="AH8" i="200"/>
  <c r="AC8" i="200"/>
  <c r="AI8" i="200"/>
  <c r="AK8" i="200"/>
  <c r="AF8" i="200"/>
  <c r="AB8" i="195"/>
  <c r="AF8" i="195"/>
  <c r="AE8" i="195"/>
  <c r="AG8" i="195"/>
  <c r="AD8" i="195"/>
  <c r="AJ8" i="195"/>
  <c r="AK8" i="195"/>
  <c r="AH8" i="195"/>
  <c r="AC8" i="195"/>
  <c r="AI8" i="195"/>
  <c r="AF8" i="209"/>
  <c r="AE8" i="209"/>
  <c r="AB8" i="209"/>
  <c r="AI8" i="209"/>
  <c r="AH8" i="209"/>
  <c r="AJ8" i="209"/>
  <c r="AG8" i="209"/>
  <c r="AC8" i="209"/>
  <c r="AD8" i="209"/>
  <c r="AK8" i="209"/>
  <c r="AE8" i="213"/>
  <c r="AB8" i="213"/>
  <c r="AC8" i="213"/>
  <c r="AF8" i="213"/>
  <c r="AG8" i="213"/>
  <c r="AK8" i="213"/>
  <c r="AH8" i="213"/>
  <c r="AD8" i="213"/>
  <c r="AI8" i="213"/>
  <c r="AJ8" i="213"/>
  <c r="AC8" i="212"/>
  <c r="AJ8" i="212"/>
  <c r="AF8" i="212"/>
  <c r="AD8" i="212"/>
  <c r="AG8" i="212"/>
  <c r="AH8" i="212"/>
  <c r="AK8" i="212"/>
  <c r="AE8" i="212"/>
  <c r="AI8" i="212"/>
  <c r="AB8" i="212"/>
  <c r="AI14" i="208"/>
  <c r="AK14" i="208"/>
  <c r="AD14" i="208"/>
  <c r="AC14" i="208"/>
  <c r="AF14" i="208"/>
  <c r="AB14" i="208"/>
  <c r="AG14" i="208"/>
  <c r="AH14" i="208"/>
  <c r="AJ14" i="208"/>
  <c r="AE14" i="208"/>
  <c r="AE14" i="193"/>
  <c r="AD14" i="193"/>
  <c r="AK14" i="193"/>
  <c r="AH14" i="193"/>
  <c r="AJ14" i="193"/>
  <c r="AG14" i="193"/>
  <c r="AB14" i="193"/>
  <c r="AF14" i="193"/>
  <c r="AI14" i="193"/>
  <c r="AC14" i="193"/>
  <c r="AF14" i="37"/>
  <c r="AK14" i="37"/>
  <c r="AC14" i="37"/>
  <c r="AH14" i="37"/>
  <c r="AG14" i="37"/>
  <c r="AI14" i="37"/>
  <c r="AB14" i="37"/>
  <c r="AJ14" i="37"/>
  <c r="AD14" i="37"/>
  <c r="AE14" i="37"/>
  <c r="AD14" i="210"/>
  <c r="AF14" i="210"/>
  <c r="AB14" i="210"/>
  <c r="AG14" i="210"/>
  <c r="AK14" i="210"/>
  <c r="AH14" i="210"/>
  <c r="AC14" i="210"/>
  <c r="AJ14" i="210"/>
  <c r="AI14" i="210"/>
  <c r="AE14" i="210"/>
  <c r="AF14" i="213"/>
  <c r="AC14" i="213"/>
  <c r="AG14" i="213"/>
  <c r="AB14" i="213"/>
  <c r="AJ14" i="213"/>
  <c r="AD14" i="213"/>
  <c r="AH14" i="213"/>
  <c r="AK14" i="213"/>
  <c r="AE14" i="213"/>
  <c r="AI14" i="213"/>
  <c r="AC14" i="199"/>
  <c r="AG14" i="199"/>
  <c r="AB14" i="199"/>
  <c r="AH14" i="199"/>
  <c r="AD14" i="199"/>
  <c r="AI14" i="199"/>
  <c r="AJ14" i="199"/>
  <c r="AF14" i="199"/>
  <c r="AE14" i="199"/>
  <c r="AK14" i="199"/>
  <c r="AD7" i="203"/>
  <c r="AC7" i="203"/>
  <c r="AJ7" i="203"/>
  <c r="AE7" i="203"/>
  <c r="AI7" i="203"/>
  <c r="AF7" i="203"/>
  <c r="AK7" i="203"/>
  <c r="AB7" i="203"/>
  <c r="AH7" i="203"/>
  <c r="AG7" i="203"/>
  <c r="AB7" i="193"/>
  <c r="AG7" i="193"/>
  <c r="AC7" i="193"/>
  <c r="AE7" i="193"/>
  <c r="AJ7" i="193"/>
  <c r="AI7" i="193"/>
  <c r="AF7" i="193"/>
  <c r="AK7" i="193"/>
  <c r="AH7" i="193"/>
  <c r="AD7" i="193"/>
  <c r="AK7" i="204"/>
  <c r="AG7" i="204"/>
  <c r="AJ7" i="204"/>
  <c r="AI7" i="204"/>
  <c r="AH7" i="204"/>
  <c r="AF7" i="204"/>
  <c r="AB7" i="204"/>
  <c r="AD7" i="204"/>
  <c r="AC7" i="204"/>
  <c r="AE7" i="204"/>
  <c r="AI7" i="212"/>
  <c r="AF7" i="212"/>
  <c r="AJ7" i="212"/>
  <c r="AH7" i="212"/>
  <c r="AC7" i="212"/>
  <c r="AK7" i="212"/>
  <c r="AD7" i="212"/>
  <c r="AB7" i="212"/>
  <c r="AE7" i="212"/>
  <c r="AG7" i="212"/>
  <c r="AK7" i="205"/>
  <c r="AE7" i="205"/>
  <c r="AI7" i="205"/>
  <c r="AG7" i="205"/>
  <c r="AF7" i="205"/>
  <c r="AC7" i="205"/>
  <c r="AH7" i="205"/>
  <c r="AB7" i="205"/>
  <c r="AJ7" i="205"/>
  <c r="AD7" i="205"/>
  <c r="AC7" i="199"/>
  <c r="AB7" i="199"/>
  <c r="AF7" i="199"/>
  <c r="AE7" i="199"/>
  <c r="AI7" i="199"/>
  <c r="AD7" i="199"/>
  <c r="AK7" i="199"/>
  <c r="AH7" i="199"/>
  <c r="AJ7" i="199"/>
  <c r="AG7" i="199"/>
  <c r="AI13" i="209"/>
  <c r="AJ13" i="209"/>
  <c r="AF13" i="209"/>
  <c r="AB13" i="209"/>
  <c r="AE13" i="209"/>
  <c r="AK13" i="209"/>
  <c r="AG13" i="209"/>
  <c r="AD13" i="209"/>
  <c r="AH13" i="209"/>
  <c r="AC13" i="209"/>
  <c r="AD13" i="202"/>
  <c r="AE13" i="202"/>
  <c r="AI13" i="202"/>
  <c r="AB13" i="202"/>
  <c r="AC13" i="202"/>
  <c r="AJ13" i="202"/>
  <c r="AK13" i="202"/>
  <c r="AG13" i="202"/>
  <c r="AF13" i="202"/>
  <c r="AH13" i="202"/>
  <c r="AK13" i="213"/>
  <c r="AG13" i="213"/>
  <c r="AE13" i="213"/>
  <c r="AB13" i="213"/>
  <c r="AJ13" i="213"/>
  <c r="AD13" i="213"/>
  <c r="AH13" i="213"/>
  <c r="AI13" i="213"/>
  <c r="AF13" i="213"/>
  <c r="AC13" i="213"/>
  <c r="AD13" i="210"/>
  <c r="AC13" i="210"/>
  <c r="AG13" i="210"/>
  <c r="AK13" i="210"/>
  <c r="AB13" i="210"/>
  <c r="AH13" i="210"/>
  <c r="AF13" i="210"/>
  <c r="AJ13" i="210"/>
  <c r="AE13" i="210"/>
  <c r="AI13" i="210"/>
  <c r="AE13" i="195"/>
  <c r="AJ13" i="195"/>
  <c r="AF13" i="195"/>
  <c r="AD13" i="195"/>
  <c r="AB13" i="195"/>
  <c r="AG13" i="195"/>
  <c r="AC13" i="195"/>
  <c r="AH13" i="195"/>
  <c r="AK13" i="195"/>
  <c r="AI13" i="195"/>
  <c r="AI13" i="211"/>
  <c r="AH13" i="211"/>
  <c r="AD13" i="211"/>
  <c r="AJ13" i="211"/>
  <c r="AF13" i="211"/>
  <c r="AB13" i="211"/>
  <c r="AC13" i="211"/>
  <c r="AG13" i="211"/>
  <c r="AE13" i="211"/>
  <c r="AK13" i="211"/>
  <c r="AD13" i="199"/>
  <c r="AE13" i="199"/>
  <c r="AJ13" i="199"/>
  <c r="AH13" i="199"/>
  <c r="AK13" i="199"/>
  <c r="AB13" i="199"/>
  <c r="AI13" i="199"/>
  <c r="AF13" i="199"/>
  <c r="AC13" i="199"/>
  <c r="AG13" i="199"/>
  <c r="AE37" i="204"/>
  <c r="AH37" i="204"/>
  <c r="AG37" i="204"/>
  <c r="AK37" i="204"/>
  <c r="AJ37" i="204"/>
  <c r="AD37" i="204"/>
  <c r="AF37" i="204"/>
  <c r="AB37" i="204"/>
  <c r="AC37" i="204"/>
  <c r="AI37" i="204"/>
  <c r="AJ37" i="192"/>
  <c r="AK37" i="192"/>
  <c r="AD37" i="192"/>
  <c r="AB37" i="192"/>
  <c r="AG37" i="192"/>
  <c r="AH37" i="192"/>
  <c r="AE37" i="192"/>
  <c r="AI37" i="192"/>
  <c r="AC37" i="192"/>
  <c r="AF37" i="192"/>
  <c r="AK37" i="202"/>
  <c r="AB37" i="202"/>
  <c r="AD37" i="202"/>
  <c r="AG37" i="202"/>
  <c r="AE37" i="202"/>
  <c r="AJ37" i="202"/>
  <c r="AH37" i="202"/>
  <c r="AF37" i="202"/>
  <c r="AI37" i="202"/>
  <c r="AC37" i="202"/>
  <c r="AD37" i="207"/>
  <c r="AC37" i="207"/>
  <c r="AF37" i="207"/>
  <c r="AK37" i="207"/>
  <c r="AE37" i="207"/>
  <c r="AJ37" i="207"/>
  <c r="AG37" i="207"/>
  <c r="AI37" i="207"/>
  <c r="AH37" i="207"/>
  <c r="AB37" i="207"/>
  <c r="AE37" i="203"/>
  <c r="AI37" i="203"/>
  <c r="AF37" i="203"/>
  <c r="AH37" i="203"/>
  <c r="AD37" i="203"/>
  <c r="AJ37" i="203"/>
  <c r="AC37" i="203"/>
  <c r="AB37" i="203"/>
  <c r="AG37" i="203"/>
  <c r="AK37" i="203"/>
  <c r="AB37" i="196"/>
  <c r="AD37" i="196"/>
  <c r="AH37" i="196"/>
  <c r="AJ37" i="196"/>
  <c r="AI37" i="196"/>
  <c r="AC37" i="196"/>
  <c r="AE37" i="196"/>
  <c r="AK37" i="196"/>
  <c r="AG37" i="196"/>
  <c r="AF37" i="196"/>
  <c r="AF3" i="198"/>
  <c r="AC3" i="198"/>
  <c r="AE3" i="198"/>
  <c r="AB3" i="198"/>
  <c r="AK3" i="198"/>
  <c r="AD3" i="198"/>
  <c r="AI3" i="198"/>
  <c r="AG3" i="198"/>
  <c r="AH3" i="198"/>
  <c r="AJ3" i="198"/>
  <c r="AD3" i="201"/>
  <c r="AB3" i="201"/>
  <c r="AJ3" i="201"/>
  <c r="AC3" i="201"/>
  <c r="AF3" i="201"/>
  <c r="AE3" i="201"/>
  <c r="AG3" i="201"/>
  <c r="AK3" i="201"/>
  <c r="AI3" i="201"/>
  <c r="AH3" i="201"/>
  <c r="AD3" i="37"/>
  <c r="AK3" i="37"/>
  <c r="AH3" i="37"/>
  <c r="AG3" i="37"/>
  <c r="AF3" i="37"/>
  <c r="AI3" i="37"/>
  <c r="AB3" i="37"/>
  <c r="AE3" i="37"/>
  <c r="AJ3" i="37"/>
  <c r="AC3" i="37"/>
  <c r="AB3" i="209"/>
  <c r="AI3" i="209"/>
  <c r="AD3" i="209"/>
  <c r="AF3" i="209"/>
  <c r="AG3" i="209"/>
  <c r="AK3" i="209"/>
  <c r="AJ3" i="209"/>
  <c r="AE3" i="209"/>
  <c r="AC3" i="209"/>
  <c r="AH3" i="209"/>
  <c r="AC3" i="204"/>
  <c r="AG3" i="204"/>
  <c r="AJ3" i="204"/>
  <c r="AB3" i="204"/>
  <c r="AE3" i="204"/>
  <c r="AH3" i="204"/>
  <c r="AD3" i="204"/>
  <c r="AI3" i="204"/>
  <c r="AK3" i="204"/>
  <c r="AF3" i="204"/>
  <c r="AJ3" i="196"/>
  <c r="AH3" i="196"/>
  <c r="AI3" i="196"/>
  <c r="AF3" i="196"/>
  <c r="AK3" i="196"/>
  <c r="AB3" i="196"/>
  <c r="AG3" i="196"/>
  <c r="AC3" i="196"/>
  <c r="AE3" i="196"/>
  <c r="AD3" i="196"/>
  <c r="AC20" i="37"/>
  <c r="AD20" i="37"/>
  <c r="AE20" i="37"/>
  <c r="AK20" i="37"/>
  <c r="AH20" i="37"/>
  <c r="AI20" i="37"/>
  <c r="AF20" i="37"/>
  <c r="AJ20" i="37"/>
  <c r="AG20" i="37"/>
  <c r="AB20" i="37"/>
  <c r="AH20" i="205"/>
  <c r="AB20" i="205"/>
  <c r="AE20" i="205"/>
  <c r="AF20" i="205"/>
  <c r="AI20" i="205"/>
  <c r="AD20" i="205"/>
  <c r="AG20" i="205"/>
  <c r="AJ20" i="205"/>
  <c r="AC20" i="205"/>
  <c r="AK20" i="205"/>
  <c r="AC20" i="197"/>
  <c r="AK20" i="197"/>
  <c r="AE20" i="197"/>
  <c r="AH20" i="197"/>
  <c r="AB20" i="197"/>
  <c r="AG20" i="197"/>
  <c r="AJ20" i="197"/>
  <c r="AI20" i="197"/>
  <c r="AF20" i="197"/>
  <c r="AD20" i="197"/>
  <c r="AI20" i="192"/>
  <c r="AC20" i="192"/>
  <c r="AD20" i="192"/>
  <c r="AK20" i="192"/>
  <c r="AB20" i="192"/>
  <c r="AG20" i="192"/>
  <c r="AH20" i="192"/>
  <c r="AE20" i="192"/>
  <c r="AF20" i="192"/>
  <c r="AJ20" i="192"/>
  <c r="AJ20" i="195"/>
  <c r="AE20" i="195"/>
  <c r="AG20" i="195"/>
  <c r="AH20" i="195"/>
  <c r="AF20" i="195"/>
  <c r="AD20" i="195"/>
  <c r="AB20" i="195"/>
  <c r="AI20" i="195"/>
  <c r="AK20" i="195"/>
  <c r="AC20" i="195"/>
  <c r="AB20" i="203"/>
  <c r="AG20" i="203"/>
  <c r="AH20" i="203"/>
  <c r="AF20" i="203"/>
  <c r="AJ20" i="203"/>
  <c r="AK20" i="203"/>
  <c r="AE20" i="203"/>
  <c r="AC20" i="203"/>
  <c r="AI20" i="203"/>
  <c r="AD20" i="203"/>
  <c r="AB15" i="191"/>
  <c r="AC15" i="191"/>
  <c r="AI15" i="191"/>
  <c r="AF15" i="191"/>
  <c r="AJ15" i="191"/>
  <c r="AG15" i="191"/>
  <c r="AK15" i="191"/>
  <c r="AE15" i="191"/>
  <c r="AH15" i="191"/>
  <c r="AD15" i="191"/>
  <c r="AF15" i="201"/>
  <c r="AB15" i="201"/>
  <c r="AH15" i="201"/>
  <c r="AE15" i="201"/>
  <c r="AI15" i="201"/>
  <c r="AD15" i="201"/>
  <c r="AC15" i="201"/>
  <c r="AJ15" i="201"/>
  <c r="AK15" i="201"/>
  <c r="AG15" i="201"/>
  <c r="AE15" i="209"/>
  <c r="AH15" i="209"/>
  <c r="AD15" i="209"/>
  <c r="AB15" i="209"/>
  <c r="AK15" i="209"/>
  <c r="AG15" i="209"/>
  <c r="AF15" i="209"/>
  <c r="AJ15" i="209"/>
  <c r="AC15" i="209"/>
  <c r="AI15" i="209"/>
  <c r="AE15" i="37"/>
  <c r="AD15" i="37"/>
  <c r="AI15" i="37"/>
  <c r="AK15" i="37"/>
  <c r="AG15" i="37"/>
  <c r="AJ15" i="37"/>
  <c r="AB15" i="37"/>
  <c r="AC15" i="37"/>
  <c r="AH15" i="37"/>
  <c r="AF15" i="37"/>
  <c r="AC15" i="199"/>
  <c r="AD15" i="199"/>
  <c r="AJ15" i="199"/>
  <c r="AF15" i="199"/>
  <c r="AG15" i="199"/>
  <c r="AH15" i="199"/>
  <c r="AE15" i="199"/>
  <c r="AI15" i="199"/>
  <c r="AK15" i="199"/>
  <c r="AB15" i="199"/>
  <c r="AK15" i="196"/>
  <c r="AJ15" i="196"/>
  <c r="AI15" i="196"/>
  <c r="AH15" i="196"/>
  <c r="AC15" i="196"/>
  <c r="AG15" i="196"/>
  <c r="AB15" i="196"/>
  <c r="AE15" i="196"/>
  <c r="AD15" i="196"/>
  <c r="AF15" i="196"/>
  <c r="AC15" i="210"/>
  <c r="AH15" i="210"/>
  <c r="AK15" i="210"/>
  <c r="AD15" i="210"/>
  <c r="AF15" i="210"/>
  <c r="AB15" i="210"/>
  <c r="AI15" i="210"/>
  <c r="AE15" i="210"/>
  <c r="AJ15" i="210"/>
  <c r="AG15" i="210"/>
  <c r="AF36" i="211"/>
  <c r="AK36" i="211"/>
  <c r="AD36" i="211"/>
  <c r="AJ36" i="211"/>
  <c r="AC36" i="211"/>
  <c r="AH36" i="211"/>
  <c r="AE36" i="211"/>
  <c r="AI36" i="211"/>
  <c r="AB36" i="211"/>
  <c r="AG36" i="211"/>
  <c r="AB36" i="192"/>
  <c r="AK36" i="192"/>
  <c r="AD36" i="192"/>
  <c r="AG36" i="192"/>
  <c r="AE36" i="192"/>
  <c r="AI36" i="192"/>
  <c r="AH36" i="192"/>
  <c r="AJ36" i="192"/>
  <c r="AC36" i="192"/>
  <c r="AF36" i="192"/>
  <c r="AJ36" i="191"/>
  <c r="AG36" i="191"/>
  <c r="AC36" i="191"/>
  <c r="AE36" i="191"/>
  <c r="AK36" i="191"/>
  <c r="AD36" i="191"/>
  <c r="AF36" i="191"/>
  <c r="AH36" i="191"/>
  <c r="AB36" i="191"/>
  <c r="AI36" i="191"/>
  <c r="AH36" i="212"/>
  <c r="AI36" i="212"/>
  <c r="AB36" i="212"/>
  <c r="AD36" i="212"/>
  <c r="AC36" i="212"/>
  <c r="AG36" i="212"/>
  <c r="AK36" i="212"/>
  <c r="AF36" i="212"/>
  <c r="AJ36" i="212"/>
  <c r="AE36" i="212"/>
  <c r="AJ36" i="209"/>
  <c r="AH36" i="209"/>
  <c r="AB36" i="209"/>
  <c r="AD36" i="209"/>
  <c r="AF36" i="209"/>
  <c r="AI36" i="209"/>
  <c r="AC36" i="209"/>
  <c r="AG36" i="209"/>
  <c r="AE36" i="209"/>
  <c r="AK36" i="209"/>
  <c r="AB36" i="196"/>
  <c r="AD36" i="196"/>
  <c r="AC36" i="196"/>
  <c r="AG36" i="196"/>
  <c r="AK36" i="196"/>
  <c r="AE36" i="196"/>
  <c r="AI36" i="196"/>
  <c r="AJ36" i="196"/>
  <c r="AF36" i="196"/>
  <c r="AH36" i="196"/>
  <c r="AF12" i="196"/>
  <c r="AC12" i="196"/>
  <c r="AI12" i="196"/>
  <c r="AE12" i="196"/>
  <c r="AB12" i="196"/>
  <c r="AJ12" i="196"/>
  <c r="AK12" i="196"/>
  <c r="AG12" i="196"/>
  <c r="AH12" i="196"/>
  <c r="AD12" i="196"/>
  <c r="AB12" i="195"/>
  <c r="AK12" i="195"/>
  <c r="AD12" i="195"/>
  <c r="AE12" i="195"/>
  <c r="AC12" i="195"/>
  <c r="AH12" i="195"/>
  <c r="AF12" i="195"/>
  <c r="AG12" i="195"/>
  <c r="AI12" i="195"/>
  <c r="AJ12" i="195"/>
  <c r="AC12" i="208"/>
  <c r="AE12" i="208"/>
  <c r="AF12" i="208"/>
  <c r="AD12" i="208"/>
  <c r="AH12" i="208"/>
  <c r="AK12" i="208"/>
  <c r="AJ12" i="208"/>
  <c r="AB12" i="208"/>
  <c r="AG12" i="208"/>
  <c r="AI12" i="208"/>
  <c r="AH12" i="205"/>
  <c r="AK12" i="205"/>
  <c r="AG12" i="205"/>
  <c r="AF12" i="205"/>
  <c r="AD12" i="205"/>
  <c r="AC12" i="205"/>
  <c r="AE12" i="205"/>
  <c r="AI12" i="205"/>
  <c r="AJ12" i="205"/>
  <c r="AB12" i="205"/>
  <c r="AE12" i="211"/>
  <c r="AI12" i="211"/>
  <c r="AJ12" i="211"/>
  <c r="AF12" i="211"/>
  <c r="AG12" i="211"/>
  <c r="AH12" i="211"/>
  <c r="AB12" i="211"/>
  <c r="AK12" i="211"/>
  <c r="AD12" i="211"/>
  <c r="AC12" i="211"/>
  <c r="AC12" i="198"/>
  <c r="AF12" i="198"/>
  <c r="AD12" i="198"/>
  <c r="AB12" i="198"/>
  <c r="AK12" i="198"/>
  <c r="AI12" i="198"/>
  <c r="AJ12" i="198"/>
  <c r="AG12" i="198"/>
  <c r="AH12" i="198"/>
  <c r="AE12" i="198"/>
  <c r="AH27" i="193"/>
  <c r="AG27" i="193"/>
  <c r="AC27" i="193"/>
  <c r="AJ27" i="193"/>
  <c r="AI27" i="193"/>
  <c r="AE27" i="193"/>
  <c r="AF27" i="193"/>
  <c r="AK27" i="193"/>
  <c r="AD27" i="193"/>
  <c r="AB27" i="193"/>
  <c r="AB27" i="195"/>
  <c r="AE27" i="195"/>
  <c r="AK27" i="195"/>
  <c r="AG27" i="195"/>
  <c r="AC27" i="195"/>
  <c r="AD27" i="195"/>
  <c r="AJ27" i="195"/>
  <c r="AF27" i="195"/>
  <c r="AH27" i="195"/>
  <c r="AI27" i="195"/>
  <c r="AF27" i="205"/>
  <c r="AI27" i="205"/>
  <c r="AD27" i="205"/>
  <c r="AJ27" i="205"/>
  <c r="AB27" i="205"/>
  <c r="AH27" i="205"/>
  <c r="AK27" i="205"/>
  <c r="AE27" i="205"/>
  <c r="AC27" i="205"/>
  <c r="AG27" i="205"/>
  <c r="AI27" i="200"/>
  <c r="AF27" i="200"/>
  <c r="AC27" i="200"/>
  <c r="AK27" i="200"/>
  <c r="AD27" i="200"/>
  <c r="AB27" i="200"/>
  <c r="AG27" i="200"/>
  <c r="AE27" i="200"/>
  <c r="AH27" i="200"/>
  <c r="AJ27" i="200"/>
  <c r="AD27" i="207"/>
  <c r="AG27" i="207"/>
  <c r="AI27" i="207"/>
  <c r="AB27" i="207"/>
  <c r="AF27" i="207"/>
  <c r="AE27" i="207"/>
  <c r="AH27" i="207"/>
  <c r="AK27" i="207"/>
  <c r="AJ27" i="207"/>
  <c r="AC27" i="207"/>
  <c r="AG27" i="197"/>
  <c r="AH27" i="197"/>
  <c r="AK27" i="197"/>
  <c r="AB27" i="197"/>
  <c r="AF27" i="197"/>
  <c r="AJ27" i="197"/>
  <c r="AD27" i="197"/>
  <c r="AI27" i="197"/>
  <c r="AC27" i="197"/>
  <c r="AE27" i="197"/>
  <c r="AI21" i="191"/>
  <c r="AB21" i="191"/>
  <c r="AK21" i="191"/>
  <c r="AH21" i="191"/>
  <c r="AG21" i="191"/>
  <c r="AJ21" i="191"/>
  <c r="AD21" i="191"/>
  <c r="AC21" i="191"/>
  <c r="AF21" i="191"/>
  <c r="AE21" i="191"/>
  <c r="AJ21" i="201"/>
  <c r="AK21" i="201"/>
  <c r="AC21" i="201"/>
  <c r="AF21" i="201"/>
  <c r="AB21" i="201"/>
  <c r="AG21" i="201"/>
  <c r="AE21" i="201"/>
  <c r="AI21" i="201"/>
  <c r="AD21" i="201"/>
  <c r="AH21" i="201"/>
  <c r="AI21" i="195"/>
  <c r="AH21" i="195"/>
  <c r="AF21" i="195"/>
  <c r="AJ21" i="195"/>
  <c r="AG21" i="195"/>
  <c r="AD21" i="195"/>
  <c r="AB21" i="195"/>
  <c r="AE21" i="195"/>
  <c r="AK21" i="195"/>
  <c r="AC21" i="195"/>
  <c r="AD21" i="214"/>
  <c r="AF21" i="214"/>
  <c r="AK21" i="214"/>
  <c r="AG21" i="214"/>
  <c r="AI21" i="214"/>
  <c r="AE21" i="214"/>
  <c r="AC21" i="214"/>
  <c r="AB21" i="214"/>
  <c r="AJ21" i="214"/>
  <c r="AH21" i="214"/>
  <c r="AH21" i="202"/>
  <c r="AJ21" i="202"/>
  <c r="AK21" i="202"/>
  <c r="AE21" i="202"/>
  <c r="AI21" i="202"/>
  <c r="AF21" i="202"/>
  <c r="AD21" i="202"/>
  <c r="AG21" i="202"/>
  <c r="AB21" i="202"/>
  <c r="AC21" i="202"/>
  <c r="AD21" i="197"/>
  <c r="AJ21" i="197"/>
  <c r="AI21" i="197"/>
  <c r="AE21" i="197"/>
  <c r="AK21" i="197"/>
  <c r="AG21" i="197"/>
  <c r="AC21" i="197"/>
  <c r="AH21" i="197"/>
  <c r="AF21" i="197"/>
  <c r="AB21" i="197"/>
  <c r="AD21" i="204"/>
  <c r="AB21" i="204"/>
  <c r="AG21" i="204"/>
  <c r="AI21" i="204"/>
  <c r="AE21" i="204"/>
  <c r="AF21" i="204"/>
  <c r="AK21" i="204"/>
  <c r="AC21" i="204"/>
  <c r="AJ21" i="204"/>
  <c r="AH21" i="204"/>
  <c r="AF18" i="191"/>
  <c r="AI18" i="191"/>
  <c r="AH18" i="191"/>
  <c r="AK18" i="191"/>
  <c r="AG18" i="191"/>
  <c r="AE18" i="191"/>
  <c r="AB18" i="191"/>
  <c r="AC18" i="191"/>
  <c r="AD18" i="191"/>
  <c r="AJ18" i="191"/>
  <c r="AD18" i="201"/>
  <c r="AG18" i="201"/>
  <c r="AB18" i="201"/>
  <c r="AH18" i="201"/>
  <c r="AE18" i="201"/>
  <c r="AK18" i="201"/>
  <c r="AI18" i="201"/>
  <c r="AJ18" i="201"/>
  <c r="AC18" i="201"/>
  <c r="AF18" i="201"/>
  <c r="AE18" i="211"/>
  <c r="AB18" i="211"/>
  <c r="AG18" i="211"/>
  <c r="AJ18" i="211"/>
  <c r="AH18" i="211"/>
  <c r="AC18" i="211"/>
  <c r="AD18" i="211"/>
  <c r="AI18" i="211"/>
  <c r="AF18" i="211"/>
  <c r="AK18" i="211"/>
  <c r="AC18" i="196"/>
  <c r="AF18" i="196"/>
  <c r="AD18" i="196"/>
  <c r="AK18" i="196"/>
  <c r="AG18" i="196"/>
  <c r="AH18" i="196"/>
  <c r="AB18" i="196"/>
  <c r="AE18" i="196"/>
  <c r="AJ18" i="196"/>
  <c r="AI18" i="196"/>
  <c r="AK18" i="203"/>
  <c r="AG18" i="203"/>
  <c r="AB18" i="203"/>
  <c r="AD18" i="203"/>
  <c r="AJ18" i="203"/>
  <c r="AI18" i="203"/>
  <c r="AC18" i="203"/>
  <c r="AE18" i="203"/>
  <c r="AH18" i="203"/>
  <c r="AF18" i="203"/>
  <c r="AK18" i="37"/>
  <c r="AE18" i="37"/>
  <c r="AC18" i="37"/>
  <c r="AF18" i="37"/>
  <c r="AJ18" i="37"/>
  <c r="AH18" i="37"/>
  <c r="AB18" i="37"/>
  <c r="AI18" i="37"/>
  <c r="AG18" i="37"/>
  <c r="AD18" i="37"/>
  <c r="AK29" i="209"/>
  <c r="AF29" i="209"/>
  <c r="AB29" i="209"/>
  <c r="AG29" i="209"/>
  <c r="AI29" i="209"/>
  <c r="AE29" i="209"/>
  <c r="AD29" i="209"/>
  <c r="AH29" i="209"/>
  <c r="AJ29" i="209"/>
  <c r="AC29" i="209"/>
  <c r="AI29" i="212"/>
  <c r="AD29" i="212"/>
  <c r="AK29" i="212"/>
  <c r="AB29" i="212"/>
  <c r="AC29" i="212"/>
  <c r="AJ29" i="212"/>
  <c r="AF29" i="212"/>
  <c r="AE29" i="212"/>
  <c r="AG29" i="212"/>
  <c r="AH29" i="212"/>
  <c r="AJ29" i="197"/>
  <c r="AD29" i="197"/>
  <c r="AB29" i="197"/>
  <c r="AH29" i="197"/>
  <c r="AK29" i="197"/>
  <c r="AC29" i="197"/>
  <c r="AG29" i="197"/>
  <c r="AE29" i="197"/>
  <c r="AI29" i="197"/>
  <c r="AF29" i="197"/>
  <c r="AH29" i="194"/>
  <c r="AJ29" i="194"/>
  <c r="AB29" i="194"/>
  <c r="AE29" i="194"/>
  <c r="AK29" i="194"/>
  <c r="AC29" i="194"/>
  <c r="AI29" i="194"/>
  <c r="AF29" i="194"/>
  <c r="AD29" i="194"/>
  <c r="AG29" i="194"/>
  <c r="AG29" i="198"/>
  <c r="AC29" i="198"/>
  <c r="AJ29" i="198"/>
  <c r="AH29" i="198"/>
  <c r="AB29" i="198"/>
  <c r="AD29" i="198"/>
  <c r="AI29" i="198"/>
  <c r="AF29" i="198"/>
  <c r="AE29" i="198"/>
  <c r="AK29" i="198"/>
  <c r="AF29" i="208"/>
  <c r="AI29" i="208"/>
  <c r="AC29" i="208"/>
  <c r="AH29" i="208"/>
  <c r="AE29" i="208"/>
  <c r="AD29" i="208"/>
  <c r="AJ29" i="208"/>
  <c r="AB29" i="208"/>
  <c r="AK29" i="208"/>
  <c r="AG29" i="208"/>
  <c r="AG11" i="197"/>
  <c r="AK11" i="197"/>
  <c r="AJ11" i="197"/>
  <c r="AD11" i="197"/>
  <c r="AH11" i="197"/>
  <c r="AC11" i="197"/>
  <c r="AE11" i="197"/>
  <c r="AI11" i="197"/>
  <c r="AF11" i="197"/>
  <c r="AB11" i="197"/>
  <c r="AI11" i="202"/>
  <c r="AB11" i="202"/>
  <c r="AG11" i="202"/>
  <c r="AE11" i="202"/>
  <c r="AF11" i="202"/>
  <c r="AK11" i="202"/>
  <c r="AJ11" i="202"/>
  <c r="AH11" i="202"/>
  <c r="AC11" i="202"/>
  <c r="AD11" i="202"/>
  <c r="AD11" i="212"/>
  <c r="AG11" i="212"/>
  <c r="AB11" i="212"/>
  <c r="AF11" i="212"/>
  <c r="AJ11" i="212"/>
  <c r="AI11" i="212"/>
  <c r="AC11" i="212"/>
  <c r="AK11" i="212"/>
  <c r="AE11" i="212"/>
  <c r="AH11" i="212"/>
  <c r="AK11" i="205"/>
  <c r="AD11" i="205"/>
  <c r="AH11" i="205"/>
  <c r="AJ11" i="205"/>
  <c r="AF11" i="205"/>
  <c r="AC11" i="205"/>
  <c r="AE11" i="205"/>
  <c r="AG11" i="205"/>
  <c r="AI11" i="205"/>
  <c r="AB11" i="205"/>
  <c r="AI11" i="207"/>
  <c r="AB11" i="207"/>
  <c r="AF11" i="207"/>
  <c r="AG11" i="207"/>
  <c r="AC11" i="207"/>
  <c r="AD11" i="207"/>
  <c r="AK11" i="207"/>
  <c r="AJ11" i="207"/>
  <c r="AE11" i="207"/>
  <c r="AH11" i="207"/>
  <c r="AB11" i="198"/>
  <c r="AI11" i="198"/>
  <c r="AG11" i="198"/>
  <c r="AD11" i="198"/>
  <c r="AJ11" i="198"/>
  <c r="AF11" i="198"/>
  <c r="AC11" i="198"/>
  <c r="AH11" i="198"/>
  <c r="AK11" i="198"/>
  <c r="AE11" i="198"/>
  <c r="AD28" i="209"/>
  <c r="AI28" i="209"/>
  <c r="AB28" i="209"/>
  <c r="AC28" i="209"/>
  <c r="AG28" i="209"/>
  <c r="AF28" i="209"/>
  <c r="AE28" i="209"/>
  <c r="AH28" i="209"/>
  <c r="AK28" i="209"/>
  <c r="AJ28" i="209"/>
  <c r="AI28" i="202"/>
  <c r="AF28" i="202"/>
  <c r="AE28" i="202"/>
  <c r="AH28" i="202"/>
  <c r="AB28" i="202"/>
  <c r="AG28" i="202"/>
  <c r="AJ28" i="202"/>
  <c r="AK28" i="202"/>
  <c r="AC28" i="202"/>
  <c r="AD28" i="202"/>
  <c r="AI28" i="210"/>
  <c r="AC28" i="210"/>
  <c r="AB28" i="210"/>
  <c r="AF28" i="210"/>
  <c r="AK28" i="210"/>
  <c r="AD28" i="210"/>
  <c r="AH28" i="210"/>
  <c r="AE28" i="210"/>
  <c r="AG28" i="210"/>
  <c r="AJ28" i="210"/>
  <c r="AH28" i="195"/>
  <c r="AI28" i="195"/>
  <c r="AB28" i="195"/>
  <c r="AD28" i="195"/>
  <c r="AC28" i="195"/>
  <c r="AJ28" i="195"/>
  <c r="AK28" i="195"/>
  <c r="AG28" i="195"/>
  <c r="AE28" i="195"/>
  <c r="AF28" i="195"/>
  <c r="AI28" i="204"/>
  <c r="AK28" i="204"/>
  <c r="AJ28" i="204"/>
  <c r="AF28" i="204"/>
  <c r="AC28" i="204"/>
  <c r="AD28" i="204"/>
  <c r="AG28" i="204"/>
  <c r="AB28" i="204"/>
  <c r="AH28" i="204"/>
  <c r="AE28" i="204"/>
  <c r="AH28" i="193"/>
  <c r="AJ28" i="193"/>
  <c r="AC28" i="193"/>
  <c r="AF28" i="193"/>
  <c r="AB28" i="193"/>
  <c r="AD28" i="193"/>
  <c r="AE28" i="193"/>
  <c r="AG28" i="193"/>
  <c r="AK28" i="193"/>
  <c r="AI28" i="193"/>
  <c r="AJ28" i="205"/>
  <c r="AD28" i="205"/>
  <c r="AH28" i="205"/>
  <c r="AF28" i="205"/>
  <c r="AE28" i="205"/>
  <c r="AC28" i="205"/>
  <c r="AK28" i="205"/>
  <c r="AI28" i="205"/>
  <c r="AB28" i="205"/>
  <c r="AG28" i="205"/>
  <c r="AJ26" i="197"/>
  <c r="AI26" i="197"/>
  <c r="AE26" i="197"/>
  <c r="AD26" i="197"/>
  <c r="AB26" i="197"/>
  <c r="AK26" i="197"/>
  <c r="AF26" i="197"/>
  <c r="AC26" i="197"/>
  <c r="AG26" i="197"/>
  <c r="AH26" i="197"/>
  <c r="AG26" i="191"/>
  <c r="AE26" i="191"/>
  <c r="AD26" i="191"/>
  <c r="AC26" i="191"/>
  <c r="AK26" i="191"/>
  <c r="AH26" i="191"/>
  <c r="AB26" i="191"/>
  <c r="AF26" i="191"/>
  <c r="AI26" i="191"/>
  <c r="AJ26" i="191"/>
  <c r="AB26" i="208"/>
  <c r="AF26" i="208"/>
  <c r="AH26" i="208"/>
  <c r="AC26" i="208"/>
  <c r="AJ26" i="208"/>
  <c r="AG26" i="208"/>
  <c r="AI26" i="208"/>
  <c r="AK26" i="208"/>
  <c r="AD26" i="208"/>
  <c r="AE26" i="208"/>
  <c r="AK26" i="204"/>
  <c r="AG26" i="204"/>
  <c r="AD26" i="204"/>
  <c r="AB26" i="204"/>
  <c r="AF26" i="204"/>
  <c r="AJ26" i="204"/>
  <c r="AC26" i="204"/>
  <c r="AI26" i="204"/>
  <c r="AE26" i="204"/>
  <c r="AH26" i="204"/>
  <c r="AH26" i="206"/>
  <c r="AF26" i="206"/>
  <c r="AD26" i="206"/>
  <c r="AG26" i="206"/>
  <c r="AK26" i="206"/>
  <c r="AJ26" i="206"/>
  <c r="AE26" i="206"/>
  <c r="AB26" i="206"/>
  <c r="AI26" i="206"/>
  <c r="AC26" i="206"/>
  <c r="AD26" i="209"/>
  <c r="AE26" i="209"/>
  <c r="AG26" i="209"/>
  <c r="AH26" i="209"/>
  <c r="AI26" i="209"/>
  <c r="AK26" i="209"/>
  <c r="AB26" i="209"/>
  <c r="AJ26" i="209"/>
  <c r="AF26" i="209"/>
  <c r="AC26" i="209"/>
  <c r="AI23" i="212"/>
  <c r="AH23" i="212"/>
  <c r="AD23" i="212"/>
  <c r="AC23" i="212"/>
  <c r="AG23" i="212"/>
  <c r="AE23" i="212"/>
  <c r="AF23" i="212"/>
  <c r="AJ23" i="212"/>
  <c r="AK23" i="212"/>
  <c r="AB23" i="212"/>
  <c r="AJ23" i="211"/>
  <c r="AK23" i="211"/>
  <c r="AC23" i="211"/>
  <c r="AI23" i="211"/>
  <c r="AG23" i="211"/>
  <c r="AE23" i="211"/>
  <c r="AH23" i="211"/>
  <c r="AD23" i="211"/>
  <c r="AB23" i="211"/>
  <c r="AF23" i="211"/>
  <c r="AE23" i="197"/>
  <c r="AC23" i="197"/>
  <c r="AK23" i="197"/>
  <c r="AH23" i="197"/>
  <c r="AG23" i="197"/>
  <c r="AB23" i="197"/>
  <c r="AD23" i="197"/>
  <c r="AI23" i="197"/>
  <c r="AF23" i="197"/>
  <c r="AJ23" i="197"/>
  <c r="AK23" i="194"/>
  <c r="AD23" i="194"/>
  <c r="AG23" i="194"/>
  <c r="AJ23" i="194"/>
  <c r="AC23" i="194"/>
  <c r="AE23" i="194"/>
  <c r="AH23" i="194"/>
  <c r="AF23" i="194"/>
  <c r="AI23" i="194"/>
  <c r="AB23" i="194"/>
  <c r="AD23" i="201"/>
  <c r="AB23" i="201"/>
  <c r="AK23" i="201"/>
  <c r="AF23" i="201"/>
  <c r="AH23" i="201"/>
  <c r="AJ23" i="201"/>
  <c r="AI23" i="201"/>
  <c r="AG23" i="201"/>
  <c r="AE23" i="201"/>
  <c r="AC23" i="201"/>
  <c r="AH23" i="199"/>
  <c r="AF23" i="199"/>
  <c r="AD23" i="199"/>
  <c r="AE23" i="199"/>
  <c r="AB23" i="199"/>
  <c r="AI23" i="199"/>
  <c r="AG23" i="199"/>
  <c r="AK23" i="199"/>
  <c r="AJ23" i="199"/>
  <c r="AC23" i="199"/>
  <c r="AE30" i="199"/>
  <c r="AB30" i="199"/>
  <c r="AG30" i="199"/>
  <c r="AI30" i="199"/>
  <c r="AJ30" i="199"/>
  <c r="AC30" i="199"/>
  <c r="AK30" i="199"/>
  <c r="AH30" i="199"/>
  <c r="AF30" i="199"/>
  <c r="AD30" i="199"/>
  <c r="AB30" i="212"/>
  <c r="AJ30" i="212"/>
  <c r="AD30" i="212"/>
  <c r="AG30" i="212"/>
  <c r="AF30" i="212"/>
  <c r="AE30" i="212"/>
  <c r="AK30" i="212"/>
  <c r="AC30" i="212"/>
  <c r="AI30" i="212"/>
  <c r="AH30" i="212"/>
  <c r="AF30" i="208"/>
  <c r="AB30" i="208"/>
  <c r="AG30" i="208"/>
  <c r="AJ30" i="208"/>
  <c r="AC30" i="208"/>
  <c r="AK30" i="208"/>
  <c r="AH30" i="208"/>
  <c r="AE30" i="208"/>
  <c r="AD30" i="208"/>
  <c r="AI30" i="208"/>
  <c r="AF30" i="213"/>
  <c r="AK30" i="213"/>
  <c r="AI30" i="213"/>
  <c r="AH30" i="213"/>
  <c r="AE30" i="213"/>
  <c r="AD30" i="213"/>
  <c r="AC30" i="213"/>
  <c r="AB30" i="213"/>
  <c r="AG30" i="213"/>
  <c r="AJ30" i="213"/>
  <c r="AD30" i="207"/>
  <c r="AJ30" i="207"/>
  <c r="AC30" i="207"/>
  <c r="AF30" i="207"/>
  <c r="AB30" i="207"/>
  <c r="AK30" i="207"/>
  <c r="AI30" i="207"/>
  <c r="AE30" i="207"/>
  <c r="AH30" i="207"/>
  <c r="AG30" i="207"/>
  <c r="AH30" i="195"/>
  <c r="AG30" i="195"/>
  <c r="AK30" i="195"/>
  <c r="AJ30" i="195"/>
  <c r="AI30" i="195"/>
  <c r="AD30" i="195"/>
  <c r="AC30" i="195"/>
  <c r="AF30" i="195"/>
  <c r="AE30" i="195"/>
  <c r="AB30" i="195"/>
  <c r="AK32" i="206"/>
  <c r="AB32" i="206"/>
  <c r="AH32" i="206"/>
  <c r="AF32" i="206"/>
  <c r="AG32" i="206"/>
  <c r="AC32" i="206"/>
  <c r="AJ32" i="206"/>
  <c r="AD32" i="206"/>
  <c r="AE32" i="206"/>
  <c r="AI32" i="206"/>
  <c r="AK32" i="209"/>
  <c r="AB32" i="209"/>
  <c r="AJ32" i="209"/>
  <c r="AH32" i="209"/>
  <c r="AC32" i="209"/>
  <c r="AF32" i="209"/>
  <c r="AI32" i="209"/>
  <c r="AE32" i="209"/>
  <c r="AG32" i="209"/>
  <c r="AD32" i="209"/>
  <c r="AK32" i="199"/>
  <c r="AG32" i="199"/>
  <c r="AI32" i="199"/>
  <c r="AJ32" i="199"/>
  <c r="AE32" i="199"/>
  <c r="AC32" i="199"/>
  <c r="AF32" i="199"/>
  <c r="AB32" i="199"/>
  <c r="AD32" i="199"/>
  <c r="AH32" i="199"/>
  <c r="AE32" i="205"/>
  <c r="AG32" i="205"/>
  <c r="AK32" i="205"/>
  <c r="AH32" i="205"/>
  <c r="AD32" i="205"/>
  <c r="AI32" i="205"/>
  <c r="AF32" i="205"/>
  <c r="AC32" i="205"/>
  <c r="AB32" i="205"/>
  <c r="AJ32" i="205"/>
  <c r="AC32" i="202"/>
  <c r="AE32" i="202"/>
  <c r="AI32" i="202"/>
  <c r="AK32" i="202"/>
  <c r="AD32" i="202"/>
  <c r="AG32" i="202"/>
  <c r="AB32" i="202"/>
  <c r="AJ32" i="202"/>
  <c r="AH32" i="202"/>
  <c r="AF32" i="202"/>
  <c r="AK32" i="191"/>
  <c r="AH32" i="191"/>
  <c r="AB32" i="191"/>
  <c r="AD32" i="191"/>
  <c r="AI32" i="191"/>
  <c r="AC32" i="191"/>
  <c r="AF32" i="191"/>
  <c r="AG32" i="191"/>
  <c r="AE32" i="191"/>
  <c r="AJ32" i="191"/>
  <c r="AD32" i="37"/>
  <c r="AB32" i="37"/>
  <c r="AH32" i="37"/>
  <c r="AE32" i="37"/>
  <c r="AC32" i="37"/>
  <c r="AF32" i="37"/>
  <c r="AI32" i="37"/>
  <c r="AK32" i="37"/>
  <c r="AJ32" i="37"/>
  <c r="AG32" i="37"/>
  <c r="AH16" i="194"/>
  <c r="AG16" i="194"/>
  <c r="AE16" i="194"/>
  <c r="AJ16" i="194"/>
  <c r="AC16" i="194"/>
  <c r="AK16" i="194"/>
  <c r="AF16" i="194"/>
  <c r="AD16" i="194"/>
  <c r="AI16" i="194"/>
  <c r="AB16" i="194"/>
  <c r="AC16" i="209"/>
  <c r="AB16" i="209"/>
  <c r="AJ16" i="209"/>
  <c r="AE16" i="209"/>
  <c r="AG16" i="209"/>
  <c r="AK16" i="209"/>
  <c r="AI16" i="209"/>
  <c r="AF16" i="209"/>
  <c r="AH16" i="209"/>
  <c r="AD16" i="209"/>
  <c r="AI16" i="208"/>
  <c r="AE16" i="208"/>
  <c r="AD16" i="208"/>
  <c r="AG16" i="208"/>
  <c r="AF16" i="208"/>
  <c r="AH16" i="208"/>
  <c r="AK16" i="208"/>
  <c r="AB16" i="208"/>
  <c r="AJ16" i="208"/>
  <c r="AC16" i="208"/>
  <c r="AJ16" i="193"/>
  <c r="AD16" i="193"/>
  <c r="AI16" i="193"/>
  <c r="AB16" i="193"/>
  <c r="AK16" i="193"/>
  <c r="AF16" i="193"/>
  <c r="AE16" i="193"/>
  <c r="AG16" i="193"/>
  <c r="AH16" i="193"/>
  <c r="AC16" i="193"/>
  <c r="AB16" i="214"/>
  <c r="AI16" i="214"/>
  <c r="AD16" i="214"/>
  <c r="AJ16" i="214"/>
  <c r="AK16" i="214"/>
  <c r="AH16" i="214"/>
  <c r="AC16" i="214"/>
  <c r="AE16" i="214"/>
  <c r="AG16" i="214"/>
  <c r="AF16" i="214"/>
  <c r="AH16" i="196"/>
  <c r="AE16" i="196"/>
  <c r="AB16" i="196"/>
  <c r="AK16" i="196"/>
  <c r="AF16" i="196"/>
  <c r="AD16" i="196"/>
  <c r="AJ16" i="196"/>
  <c r="AI16" i="196"/>
  <c r="AG16" i="196"/>
  <c r="AC16" i="196"/>
  <c r="AB33" i="199"/>
  <c r="AD33" i="199"/>
  <c r="AE33" i="199"/>
  <c r="AJ33" i="199"/>
  <c r="AK33" i="199"/>
  <c r="AG33" i="199"/>
  <c r="AI33" i="199"/>
  <c r="AH33" i="199"/>
  <c r="AC33" i="199"/>
  <c r="AF33" i="199"/>
  <c r="AF33" i="202"/>
  <c r="AC33" i="202"/>
  <c r="AK33" i="202"/>
  <c r="AH33" i="202"/>
  <c r="AG33" i="202"/>
  <c r="AJ33" i="202"/>
  <c r="AB33" i="202"/>
  <c r="AI33" i="202"/>
  <c r="AE33" i="202"/>
  <c r="AD33" i="202"/>
  <c r="AG33" i="205"/>
  <c r="AI33" i="205"/>
  <c r="AF33" i="205"/>
  <c r="AB33" i="205"/>
  <c r="AC33" i="205"/>
  <c r="AJ33" i="205"/>
  <c r="AH33" i="205"/>
  <c r="AD33" i="205"/>
  <c r="AE33" i="205"/>
  <c r="AK33" i="205"/>
  <c r="AI33" i="192"/>
  <c r="AD33" i="192"/>
  <c r="AH33" i="192"/>
  <c r="AJ33" i="192"/>
  <c r="AE33" i="192"/>
  <c r="AF33" i="192"/>
  <c r="AG33" i="192"/>
  <c r="AK33" i="192"/>
  <c r="AC33" i="192"/>
  <c r="AB33" i="192"/>
  <c r="AC33" i="197"/>
  <c r="AG33" i="197"/>
  <c r="AE33" i="197"/>
  <c r="AB33" i="197"/>
  <c r="AF33" i="197"/>
  <c r="AK33" i="197"/>
  <c r="AJ33" i="197"/>
  <c r="AH33" i="197"/>
  <c r="AI33" i="197"/>
  <c r="AD33" i="197"/>
  <c r="AI33" i="204"/>
  <c r="AC33" i="204"/>
  <c r="AK33" i="204"/>
  <c r="AE33" i="204"/>
  <c r="AG33" i="204"/>
  <c r="AF33" i="204"/>
  <c r="AD33" i="204"/>
  <c r="AJ33" i="204"/>
  <c r="AH33" i="204"/>
  <c r="AB33" i="204"/>
  <c r="AK31" i="193"/>
  <c r="AD31" i="193"/>
  <c r="AG31" i="193"/>
  <c r="AH31" i="193"/>
  <c r="AI31" i="193"/>
  <c r="AC31" i="193"/>
  <c r="AF31" i="193"/>
  <c r="AJ31" i="193"/>
  <c r="AE31" i="193"/>
  <c r="AB31" i="193"/>
  <c r="AK31" i="198"/>
  <c r="AH31" i="198"/>
  <c r="AJ31" i="198"/>
  <c r="AD31" i="198"/>
  <c r="AF31" i="198"/>
  <c r="AB31" i="198"/>
  <c r="AE31" i="198"/>
  <c r="AI31" i="198"/>
  <c r="AC31" i="198"/>
  <c r="AG31" i="198"/>
  <c r="AD31" i="214"/>
  <c r="AH31" i="214"/>
  <c r="AC31" i="214"/>
  <c r="AI31" i="214"/>
  <c r="AG31" i="214"/>
  <c r="AE31" i="214"/>
  <c r="AJ31" i="214"/>
  <c r="AF31" i="214"/>
  <c r="AB31" i="214"/>
  <c r="AK31" i="214"/>
  <c r="AJ31" i="210"/>
  <c r="AG31" i="210"/>
  <c r="AC31" i="210"/>
  <c r="AE31" i="210"/>
  <c r="AK31" i="210"/>
  <c r="AB31" i="210"/>
  <c r="AD31" i="210"/>
  <c r="AH31" i="210"/>
  <c r="AI31" i="210"/>
  <c r="AF31" i="210"/>
  <c r="AK31" i="199"/>
  <c r="AJ31" i="199"/>
  <c r="AI31" i="199"/>
  <c r="AB31" i="199"/>
  <c r="AE31" i="199"/>
  <c r="AF31" i="199"/>
  <c r="AG31" i="199"/>
  <c r="AH31" i="199"/>
  <c r="AD31" i="199"/>
  <c r="AC31" i="199"/>
  <c r="AK31" i="201"/>
  <c r="AC31" i="201"/>
  <c r="AH31" i="201"/>
  <c r="AF31" i="201"/>
  <c r="AE31" i="201"/>
  <c r="AJ31" i="201"/>
  <c r="AD31" i="201"/>
  <c r="AG31" i="201"/>
  <c r="AI31" i="201"/>
  <c r="AB31" i="201"/>
  <c r="AC34" i="197"/>
  <c r="AJ34" i="197"/>
  <c r="AK34" i="197"/>
  <c r="AG34" i="197"/>
  <c r="AE34" i="197"/>
  <c r="AF34" i="197"/>
  <c r="AH34" i="197"/>
  <c r="AB34" i="197"/>
  <c r="AI34" i="197"/>
  <c r="AD34" i="197"/>
  <c r="AJ34" i="214"/>
  <c r="AI34" i="214"/>
  <c r="AK34" i="214"/>
  <c r="AG34" i="214"/>
  <c r="AH34" i="214"/>
  <c r="AF34" i="214"/>
  <c r="AB34" i="214"/>
  <c r="AE34" i="214"/>
  <c r="AD34" i="214"/>
  <c r="AC34" i="214"/>
  <c r="AD34" i="212"/>
  <c r="AG34" i="212"/>
  <c r="AF34" i="212"/>
  <c r="AJ34" i="212"/>
  <c r="AH34" i="212"/>
  <c r="AB34" i="212"/>
  <c r="AI34" i="212"/>
  <c r="AE34" i="212"/>
  <c r="AK34" i="212"/>
  <c r="AC34" i="212"/>
  <c r="AF34" i="194"/>
  <c r="AC34" i="194"/>
  <c r="AI34" i="194"/>
  <c r="AH34" i="194"/>
  <c r="AJ34" i="194"/>
  <c r="AD34" i="194"/>
  <c r="AG34" i="194"/>
  <c r="AB34" i="194"/>
  <c r="AK34" i="194"/>
  <c r="AE34" i="194"/>
  <c r="AH34" i="195"/>
  <c r="AE34" i="195"/>
  <c r="AG34" i="195"/>
  <c r="AF34" i="195"/>
  <c r="AD34" i="195"/>
  <c r="AI34" i="195"/>
  <c r="AC34" i="195"/>
  <c r="AJ34" i="195"/>
  <c r="AK34" i="195"/>
  <c r="AB34" i="195"/>
  <c r="AC34" i="198"/>
  <c r="AG34" i="198"/>
  <c r="AH34" i="198"/>
  <c r="AE34" i="198"/>
  <c r="AI34" i="198"/>
  <c r="AB34" i="198"/>
  <c r="AK34" i="198"/>
  <c r="AJ34" i="198"/>
  <c r="AF34" i="198"/>
  <c r="AD34" i="198"/>
  <c r="AB34" i="37"/>
  <c r="AE34" i="37"/>
  <c r="AH34" i="37"/>
  <c r="AI34" i="37"/>
  <c r="AF34" i="37"/>
  <c r="AG34" i="37"/>
  <c r="AK34" i="37"/>
  <c r="AD34" i="37"/>
  <c r="AJ34" i="37"/>
  <c r="AC34" i="37"/>
  <c r="AC10" i="203"/>
  <c r="AK10" i="203"/>
  <c r="AB10" i="203"/>
  <c r="AE10" i="203"/>
  <c r="AD10" i="203"/>
  <c r="AH10" i="203"/>
  <c r="AG10" i="203"/>
  <c r="AJ10" i="203"/>
  <c r="AF10" i="203"/>
  <c r="AI10" i="203"/>
  <c r="AG10" i="204"/>
  <c r="AD10" i="204"/>
  <c r="AH10" i="204"/>
  <c r="AK10" i="204"/>
  <c r="AF10" i="204"/>
  <c r="AB10" i="204"/>
  <c r="AC10" i="204"/>
  <c r="AE10" i="204"/>
  <c r="AI10" i="204"/>
  <c r="AJ10" i="204"/>
  <c r="AH10" i="199"/>
  <c r="AF10" i="199"/>
  <c r="AB10" i="199"/>
  <c r="AE10" i="199"/>
  <c r="AJ10" i="199"/>
  <c r="AD10" i="199"/>
  <c r="AK10" i="199"/>
  <c r="AC10" i="199"/>
  <c r="AI10" i="199"/>
  <c r="AG10" i="199"/>
  <c r="AF10" i="192"/>
  <c r="AE10" i="192"/>
  <c r="AB10" i="192"/>
  <c r="AH10" i="192"/>
  <c r="AJ10" i="192"/>
  <c r="AD10" i="192"/>
  <c r="AG10" i="192"/>
  <c r="AK10" i="192"/>
  <c r="AC10" i="192"/>
  <c r="AI10" i="192"/>
  <c r="AG10" i="201"/>
  <c r="AB10" i="201"/>
  <c r="AE10" i="201"/>
  <c r="AI10" i="201"/>
  <c r="AD10" i="201"/>
  <c r="AJ10" i="201"/>
  <c r="AH10" i="201"/>
  <c r="AK10" i="201"/>
  <c r="AC10" i="201"/>
  <c r="AF10" i="201"/>
  <c r="AH10" i="193"/>
  <c r="AK10" i="193"/>
  <c r="AJ10" i="193"/>
  <c r="AC10" i="193"/>
  <c r="AF10" i="193"/>
  <c r="AE10" i="193"/>
  <c r="AB10" i="193"/>
  <c r="AG10" i="193"/>
  <c r="AD10" i="193"/>
  <c r="AI10" i="193"/>
  <c r="AD25" i="192"/>
  <c r="AJ25" i="192"/>
  <c r="AE25" i="192"/>
  <c r="AG25" i="192"/>
  <c r="AK25" i="192"/>
  <c r="AB25" i="192"/>
  <c r="AC25" i="192"/>
  <c r="AF25" i="192"/>
  <c r="AH25" i="192"/>
  <c r="AI25" i="192"/>
  <c r="AI25" i="204"/>
  <c r="AD25" i="204"/>
  <c r="AG25" i="204"/>
  <c r="AE25" i="204"/>
  <c r="AK25" i="204"/>
  <c r="AB25" i="204"/>
  <c r="AF25" i="204"/>
  <c r="AJ25" i="204"/>
  <c r="AH25" i="204"/>
  <c r="AC25" i="204"/>
  <c r="AJ25" i="208"/>
  <c r="AC25" i="208"/>
  <c r="AH25" i="208"/>
  <c r="AG25" i="208"/>
  <c r="AK25" i="208"/>
  <c r="AB25" i="208"/>
  <c r="AE25" i="208"/>
  <c r="AD25" i="208"/>
  <c r="AI25" i="208"/>
  <c r="AF25" i="208"/>
  <c r="AH25" i="195"/>
  <c r="AB25" i="195"/>
  <c r="AF25" i="195"/>
  <c r="AI25" i="195"/>
  <c r="AD25" i="195"/>
  <c r="AJ25" i="195"/>
  <c r="AG25" i="195"/>
  <c r="AK25" i="195"/>
  <c r="AC25" i="195"/>
  <c r="AE25" i="195"/>
  <c r="AJ25" i="203"/>
  <c r="AC25" i="203"/>
  <c r="AF25" i="203"/>
  <c r="AE25" i="203"/>
  <c r="AB25" i="203"/>
  <c r="AK25" i="203"/>
  <c r="AI25" i="203"/>
  <c r="AG25" i="203"/>
  <c r="AH25" i="203"/>
  <c r="AD25" i="203"/>
  <c r="AF25" i="198"/>
  <c r="AI25" i="198"/>
  <c r="AH25" i="198"/>
  <c r="AJ25" i="198"/>
  <c r="AD25" i="198"/>
  <c r="AC25" i="198"/>
  <c r="AK25" i="198"/>
  <c r="AE25" i="198"/>
  <c r="AG25" i="198"/>
  <c r="AB25" i="198"/>
  <c r="AE35" i="194"/>
  <c r="AC35" i="194"/>
  <c r="AK35" i="194"/>
  <c r="AI35" i="194"/>
  <c r="AG35" i="194"/>
  <c r="AB35" i="194"/>
  <c r="AH35" i="194"/>
  <c r="AF35" i="194"/>
  <c r="AD35" i="194"/>
  <c r="AJ35" i="194"/>
  <c r="AB35" i="204"/>
  <c r="AC35" i="204"/>
  <c r="AE35" i="204"/>
  <c r="AJ35" i="204"/>
  <c r="AI35" i="204"/>
  <c r="AH35" i="204"/>
  <c r="AD35" i="204"/>
  <c r="AG35" i="204"/>
  <c r="AF35" i="204"/>
  <c r="AK35" i="204"/>
  <c r="AE35" i="209"/>
  <c r="AD35" i="209"/>
  <c r="AK35" i="209"/>
  <c r="AH35" i="209"/>
  <c r="AB35" i="209"/>
  <c r="AJ35" i="209"/>
  <c r="AG35" i="209"/>
  <c r="AF35" i="209"/>
  <c r="AC35" i="209"/>
  <c r="AI35" i="209"/>
  <c r="AD35" i="191"/>
  <c r="AC35" i="191"/>
  <c r="AB35" i="191"/>
  <c r="AH35" i="191"/>
  <c r="AE35" i="191"/>
  <c r="AI35" i="191"/>
  <c r="AF35" i="191"/>
  <c r="AG35" i="191"/>
  <c r="AK35" i="191"/>
  <c r="AJ35" i="191"/>
  <c r="AF35" i="199"/>
  <c r="AD35" i="199"/>
  <c r="AK35" i="199"/>
  <c r="AJ35" i="199"/>
  <c r="AE35" i="199"/>
  <c r="AI35" i="199"/>
  <c r="AH35" i="199"/>
  <c r="AB35" i="199"/>
  <c r="AG35" i="199"/>
  <c r="AC35" i="199"/>
  <c r="AK35" i="195"/>
  <c r="AF35" i="195"/>
  <c r="AH35" i="195"/>
  <c r="AG35" i="195"/>
  <c r="AI35" i="195"/>
  <c r="AJ35" i="195"/>
  <c r="AE35" i="195"/>
  <c r="AC35" i="195"/>
  <c r="AD35" i="195"/>
  <c r="AB35" i="195"/>
  <c r="AB2" i="191"/>
  <c r="AG2" i="191"/>
  <c r="AK2" i="191"/>
  <c r="AE2" i="191"/>
  <c r="AH2" i="191"/>
  <c r="AI2" i="191"/>
  <c r="AD2" i="191"/>
  <c r="AC2" i="191"/>
  <c r="AF2" i="191"/>
  <c r="AJ2" i="191"/>
  <c r="AF2" i="199"/>
  <c r="AJ2" i="199"/>
  <c r="AD2" i="199"/>
  <c r="AI2" i="199"/>
  <c r="AG2" i="199"/>
  <c r="AE2" i="199"/>
  <c r="AK2" i="199"/>
  <c r="AC2" i="199"/>
  <c r="AH2" i="199"/>
  <c r="AB2" i="199"/>
  <c r="AE2" i="205"/>
  <c r="AB2" i="205"/>
  <c r="AH2" i="205"/>
  <c r="AI2" i="205"/>
  <c r="AJ2" i="205"/>
  <c r="AF2" i="205"/>
  <c r="AK2" i="205"/>
  <c r="AD2" i="205"/>
  <c r="AG2" i="205"/>
  <c r="AC2" i="205"/>
  <c r="AG2" i="200"/>
  <c r="AE2" i="200"/>
  <c r="AH2" i="200"/>
  <c r="AD2" i="200"/>
  <c r="AI2" i="200"/>
  <c r="AC2" i="200"/>
  <c r="AB2" i="200"/>
  <c r="AF2" i="200"/>
  <c r="AJ2" i="200"/>
  <c r="AK2" i="200"/>
  <c r="AH2" i="210"/>
  <c r="AF2" i="210"/>
  <c r="AE2" i="210"/>
  <c r="AK2" i="210"/>
  <c r="AB2" i="210"/>
  <c r="AG2" i="210"/>
  <c r="AC2" i="210"/>
  <c r="AD2" i="210"/>
  <c r="AJ2" i="210"/>
  <c r="AI2" i="210"/>
  <c r="AE2" i="204"/>
  <c r="AF2" i="204"/>
  <c r="AC2" i="204"/>
  <c r="AJ2" i="204"/>
  <c r="AG2" i="204"/>
  <c r="AI2" i="204"/>
  <c r="AB2" i="204"/>
  <c r="AK2" i="204"/>
  <c r="AD2" i="204"/>
  <c r="AH2" i="204"/>
  <c r="AB2" i="214"/>
  <c r="AJ2" i="214"/>
  <c r="AH2" i="214"/>
  <c r="AF2" i="214"/>
  <c r="AC2" i="214"/>
  <c r="AG2" i="214"/>
  <c r="AE2" i="214"/>
  <c r="AD2" i="214"/>
  <c r="AI2" i="214"/>
  <c r="AK2" i="214"/>
  <c r="AK24" i="207"/>
  <c r="AE24" i="207"/>
  <c r="AB24" i="207"/>
  <c r="AG24" i="207"/>
  <c r="AC24" i="207"/>
  <c r="AJ24" i="207"/>
  <c r="AI24" i="207"/>
  <c r="AF24" i="207"/>
  <c r="AD24" i="207"/>
  <c r="AH24" i="207"/>
  <c r="AE24" i="196"/>
  <c r="AH24" i="196"/>
  <c r="AI24" i="196"/>
  <c r="AK24" i="196"/>
  <c r="AJ24" i="196"/>
  <c r="AG24" i="196"/>
  <c r="AF24" i="196"/>
  <c r="AD24" i="196"/>
  <c r="AC24" i="196"/>
  <c r="AB24" i="196"/>
  <c r="AH24" i="209"/>
  <c r="AI24" i="209"/>
  <c r="AF24" i="209"/>
  <c r="AD24" i="209"/>
  <c r="AB24" i="209"/>
  <c r="AK24" i="209"/>
  <c r="AG24" i="209"/>
  <c r="AJ24" i="209"/>
  <c r="AC24" i="209"/>
  <c r="AE24" i="209"/>
  <c r="AF24" i="195"/>
  <c r="AB24" i="195"/>
  <c r="AH24" i="195"/>
  <c r="AE24" i="195"/>
  <c r="AC24" i="195"/>
  <c r="AK24" i="195"/>
  <c r="AJ24" i="195"/>
  <c r="AD24" i="195"/>
  <c r="AG24" i="195"/>
  <c r="AI24" i="195"/>
  <c r="AG24" i="211"/>
  <c r="AC24" i="211"/>
  <c r="AH24" i="211"/>
  <c r="AF24" i="211"/>
  <c r="AE24" i="211"/>
  <c r="AK24" i="211"/>
  <c r="AI24" i="211"/>
  <c r="AD24" i="211"/>
  <c r="AB24" i="211"/>
  <c r="AJ24" i="211"/>
  <c r="AD24" i="197"/>
  <c r="AK24" i="197"/>
  <c r="AE24" i="197"/>
  <c r="AB24" i="197"/>
  <c r="AC24" i="197"/>
  <c r="AF24" i="197"/>
  <c r="AH24" i="197"/>
  <c r="AJ24" i="197"/>
  <c r="AG24" i="197"/>
  <c r="AI24" i="197"/>
  <c r="AC19" i="213"/>
  <c r="AG19" i="213"/>
  <c r="AJ19" i="213"/>
  <c r="AB19" i="213"/>
  <c r="AF19" i="213"/>
  <c r="AK19" i="213"/>
  <c r="AH19" i="213"/>
  <c r="AI19" i="213"/>
  <c r="AD19" i="213"/>
  <c r="AE19" i="213"/>
  <c r="AG19" i="199"/>
  <c r="AF19" i="199"/>
  <c r="AI19" i="199"/>
  <c r="AC19" i="199"/>
  <c r="AD19" i="199"/>
  <c r="AJ19" i="199"/>
  <c r="AH19" i="199"/>
  <c r="AB19" i="199"/>
  <c r="AK19" i="199"/>
  <c r="AE19" i="199"/>
  <c r="AG6" i="202"/>
  <c r="AH6" i="202"/>
  <c r="AI6" i="202"/>
  <c r="AE6" i="202"/>
  <c r="AJ6" i="202"/>
  <c r="AK6" i="202"/>
  <c r="AD6" i="202"/>
  <c r="AF6" i="202"/>
  <c r="AB6" i="202"/>
  <c r="AC6" i="202"/>
  <c r="AJ6" i="212"/>
  <c r="AH6" i="212"/>
  <c r="AK6" i="212"/>
  <c r="AB6" i="212"/>
  <c r="AE6" i="212"/>
  <c r="AC6" i="212"/>
  <c r="AD6" i="212"/>
  <c r="AF6" i="212"/>
  <c r="AI6" i="212"/>
  <c r="AG6" i="212"/>
  <c r="AD6" i="205"/>
  <c r="AB6" i="205"/>
  <c r="AH6" i="205"/>
  <c r="AJ6" i="205"/>
  <c r="AI6" i="205"/>
  <c r="AK6" i="205"/>
  <c r="AE6" i="205"/>
  <c r="AC6" i="205"/>
  <c r="AG6" i="205"/>
  <c r="AF6" i="205"/>
  <c r="AF6" i="37"/>
  <c r="AH6" i="37"/>
  <c r="AJ6" i="37"/>
  <c r="AB6" i="37"/>
  <c r="AC6" i="37"/>
  <c r="AG6" i="37"/>
  <c r="AK6" i="37"/>
  <c r="AI6" i="37"/>
  <c r="AD6" i="37"/>
  <c r="AE6" i="37"/>
  <c r="AE6" i="203"/>
  <c r="AJ6" i="203"/>
  <c r="AD6" i="203"/>
  <c r="AI6" i="203"/>
  <c r="AB6" i="203"/>
  <c r="AH6" i="203"/>
  <c r="AF6" i="203"/>
  <c r="AC6" i="203"/>
  <c r="AG6" i="203"/>
  <c r="AK6" i="203"/>
  <c r="AE6" i="199"/>
  <c r="AK6" i="199"/>
  <c r="AF6" i="199"/>
  <c r="AB6" i="199"/>
  <c r="AH6" i="199"/>
  <c r="AI6" i="199"/>
  <c r="AJ6" i="199"/>
  <c r="AG6" i="199"/>
  <c r="AC6" i="199"/>
  <c r="AD6" i="199"/>
  <c r="AJ5" i="213"/>
  <c r="AH5" i="213"/>
  <c r="AD5" i="213"/>
  <c r="AI5" i="213"/>
  <c r="AC5" i="213"/>
  <c r="AF5" i="213"/>
  <c r="AE5" i="213"/>
  <c r="AB5" i="213"/>
  <c r="AK5" i="213"/>
  <c r="AG5" i="213"/>
  <c r="AC5" i="199"/>
  <c r="AD5" i="199"/>
  <c r="AK5" i="199"/>
  <c r="AB5" i="199"/>
  <c r="AG5" i="199"/>
  <c r="AE5" i="199"/>
  <c r="AI5" i="199"/>
  <c r="AJ5" i="199"/>
  <c r="AF5" i="199"/>
  <c r="AH5" i="199"/>
  <c r="AC5" i="200"/>
  <c r="AB5" i="200"/>
  <c r="AJ5" i="200"/>
  <c r="AF5" i="200"/>
  <c r="AK5" i="200"/>
  <c r="AD5" i="200"/>
  <c r="AH5" i="200"/>
  <c r="AG5" i="200"/>
  <c r="AI5" i="200"/>
  <c r="AE5" i="200"/>
  <c r="AI5" i="203"/>
  <c r="AH5" i="203"/>
  <c r="AB5" i="203"/>
  <c r="AG5" i="203"/>
  <c r="AD5" i="203"/>
  <c r="AE5" i="203"/>
  <c r="AC5" i="203"/>
  <c r="AF5" i="203"/>
  <c r="AJ5" i="203"/>
  <c r="AK5" i="203"/>
  <c r="AI5" i="214"/>
  <c r="AD5" i="214"/>
  <c r="AK5" i="214"/>
  <c r="AB5" i="214"/>
  <c r="AC5" i="214"/>
  <c r="AH5" i="214"/>
  <c r="AF5" i="214"/>
  <c r="AG5" i="214"/>
  <c r="AE5" i="214"/>
  <c r="AJ5" i="214"/>
  <c r="AD5" i="197"/>
  <c r="AF5" i="197"/>
  <c r="AG5" i="197"/>
  <c r="AK5" i="197"/>
  <c r="AE5" i="197"/>
  <c r="AC5" i="197"/>
  <c r="AB5" i="197"/>
  <c r="AJ5" i="197"/>
  <c r="AH5" i="197"/>
  <c r="AI5" i="197"/>
  <c r="AI17" i="195"/>
  <c r="AF17" i="195"/>
  <c r="AC17" i="195"/>
  <c r="AD17" i="195"/>
  <c r="AJ17" i="195"/>
  <c r="AB17" i="195"/>
  <c r="AG17" i="195"/>
  <c r="AE17" i="195"/>
  <c r="AH17" i="195"/>
  <c r="AK17" i="195"/>
  <c r="AB17" i="203"/>
  <c r="AE17" i="203"/>
  <c r="AC17" i="203"/>
  <c r="AI17" i="203"/>
  <c r="AK17" i="203"/>
  <c r="AJ17" i="203"/>
  <c r="AH17" i="203"/>
  <c r="AD17" i="203"/>
  <c r="AG17" i="203"/>
  <c r="AF17" i="203"/>
  <c r="AF17" i="198"/>
  <c r="AB17" i="198"/>
  <c r="AC17" i="198"/>
  <c r="AK17" i="198"/>
  <c r="AJ17" i="198"/>
  <c r="AE17" i="198"/>
  <c r="AH17" i="198"/>
  <c r="AI17" i="198"/>
  <c r="AD17" i="198"/>
  <c r="AG17" i="198"/>
  <c r="AK17" i="197"/>
  <c r="AB17" i="197"/>
  <c r="AH17" i="197"/>
  <c r="AD17" i="197"/>
  <c r="AI17" i="197"/>
  <c r="AF17" i="197"/>
  <c r="AC17" i="197"/>
  <c r="AE17" i="197"/>
  <c r="AJ17" i="197"/>
  <c r="AG17" i="197"/>
  <c r="AF17" i="214"/>
  <c r="AI17" i="214"/>
  <c r="AK17" i="214"/>
  <c r="AG17" i="214"/>
  <c r="AE17" i="214"/>
  <c r="AC17" i="214"/>
  <c r="AJ17" i="214"/>
  <c r="AB17" i="214"/>
  <c r="AD17" i="214"/>
  <c r="AH17" i="214"/>
  <c r="AC17" i="208"/>
  <c r="AH17" i="208"/>
  <c r="AI17" i="208"/>
  <c r="AJ17" i="208"/>
  <c r="AB17" i="208"/>
  <c r="AD17" i="208"/>
  <c r="AK17" i="208"/>
  <c r="AE17" i="208"/>
  <c r="AF17" i="208"/>
  <c r="AG17" i="208"/>
  <c r="AK17" i="207"/>
  <c r="AC17" i="207"/>
  <c r="AD17" i="207"/>
  <c r="AI17" i="207"/>
  <c r="AH17" i="207"/>
  <c r="AE17" i="207"/>
  <c r="AF17" i="207"/>
  <c r="AJ17" i="207"/>
  <c r="AB17" i="207"/>
  <c r="AG17" i="207"/>
  <c r="AE9" i="200"/>
  <c r="AC9" i="200"/>
  <c r="AD9" i="200"/>
  <c r="AJ9" i="200"/>
  <c r="AK9" i="200"/>
  <c r="AI9" i="200"/>
  <c r="AH9" i="200"/>
  <c r="AB9" i="200"/>
  <c r="AG9" i="200"/>
  <c r="AF9" i="200"/>
  <c r="AK9" i="213"/>
  <c r="AG9" i="213"/>
  <c r="AC9" i="213"/>
  <c r="AF9" i="213"/>
  <c r="AD9" i="213"/>
  <c r="AH9" i="213"/>
  <c r="AI9" i="213"/>
  <c r="AE9" i="213"/>
  <c r="AJ9" i="213"/>
  <c r="AB9" i="213"/>
  <c r="AG9" i="204"/>
  <c r="AB9" i="204"/>
  <c r="AC9" i="204"/>
  <c r="AE9" i="204"/>
  <c r="AJ9" i="204"/>
  <c r="AF9" i="204"/>
  <c r="AH9" i="204"/>
  <c r="AK9" i="204"/>
  <c r="AI9" i="204"/>
  <c r="AD9" i="204"/>
  <c r="AG9" i="209"/>
  <c r="AE9" i="209"/>
  <c r="AF9" i="209"/>
  <c r="AH9" i="209"/>
  <c r="AC9" i="209"/>
  <c r="AI9" i="209"/>
  <c r="AK9" i="209"/>
  <c r="AJ9" i="209"/>
  <c r="AB9" i="209"/>
  <c r="AD9" i="209"/>
  <c r="AB9" i="194"/>
  <c r="AK9" i="194"/>
  <c r="AF9" i="194"/>
  <c r="AJ9" i="194"/>
  <c r="AG9" i="194"/>
  <c r="AD9" i="194"/>
  <c r="AE9" i="194"/>
  <c r="AI9" i="194"/>
  <c r="AH9" i="194"/>
  <c r="AC9" i="194"/>
  <c r="AD9" i="196"/>
  <c r="AG9" i="196"/>
  <c r="AC9" i="196"/>
  <c r="AE9" i="196"/>
  <c r="AI9" i="196"/>
  <c r="AH9" i="196"/>
  <c r="AB9" i="196"/>
  <c r="AK9" i="196"/>
  <c r="AJ9" i="196"/>
  <c r="AF9" i="196"/>
  <c r="AC4" i="212"/>
  <c r="AG4" i="212"/>
  <c r="AJ4" i="212"/>
  <c r="AH4" i="212"/>
  <c r="AI4" i="212"/>
  <c r="AF4" i="212"/>
  <c r="AD4" i="212"/>
  <c r="AE4" i="212"/>
  <c r="AK4" i="212"/>
  <c r="AB4" i="212"/>
  <c r="AD4" i="194"/>
  <c r="AF4" i="194"/>
  <c r="AE4" i="194"/>
  <c r="AC4" i="194"/>
  <c r="AB4" i="194"/>
  <c r="AG4" i="194"/>
  <c r="AJ4" i="194"/>
  <c r="AH4" i="194"/>
  <c r="AK4" i="194"/>
  <c r="AI4" i="194"/>
  <c r="AC4" i="196"/>
  <c r="AD4" i="196"/>
  <c r="AG4" i="196"/>
  <c r="AK4" i="196"/>
  <c r="AB4" i="196"/>
  <c r="AH4" i="196"/>
  <c r="AE4" i="196"/>
  <c r="AJ4" i="196"/>
  <c r="AI4" i="196"/>
  <c r="AF4" i="196"/>
  <c r="AH4" i="207"/>
  <c r="AE4" i="207"/>
  <c r="AK4" i="207"/>
  <c r="AF4" i="207"/>
  <c r="AC4" i="207"/>
  <c r="AD4" i="207"/>
  <c r="AJ4" i="207"/>
  <c r="AG4" i="207"/>
  <c r="AB4" i="207"/>
  <c r="AI4" i="207"/>
  <c r="AD4" i="204"/>
  <c r="AE4" i="204"/>
  <c r="AI4" i="204"/>
  <c r="AG4" i="204"/>
  <c r="AH4" i="204"/>
  <c r="AK4" i="204"/>
  <c r="AC4" i="204"/>
  <c r="AF4" i="204"/>
  <c r="AJ4" i="204"/>
  <c r="AB4" i="204"/>
  <c r="AB4" i="203"/>
  <c r="AG4" i="203"/>
  <c r="AF4" i="203"/>
  <c r="AK4" i="203"/>
  <c r="AH4" i="203"/>
  <c r="AJ4" i="203"/>
  <c r="AC4" i="203"/>
  <c r="AE4" i="203"/>
  <c r="AI4" i="203"/>
  <c r="AD4" i="203"/>
  <c r="AB22" i="201"/>
  <c r="AF22" i="201"/>
  <c r="AK22" i="201"/>
  <c r="AC22" i="201"/>
  <c r="AJ22" i="201"/>
  <c r="AG22" i="201"/>
  <c r="AD22" i="201"/>
  <c r="AI22" i="201"/>
  <c r="AE22" i="201"/>
  <c r="AH22" i="201"/>
  <c r="AK22" i="191"/>
  <c r="AI22" i="191"/>
  <c r="AH22" i="191"/>
  <c r="AJ22" i="191"/>
  <c r="AG22" i="191"/>
  <c r="AB22" i="191"/>
  <c r="AE22" i="191"/>
  <c r="AD22" i="191"/>
  <c r="AC22" i="191"/>
  <c r="AF22" i="191"/>
  <c r="AH22" i="199"/>
  <c r="AC22" i="199"/>
  <c r="AB22" i="199"/>
  <c r="AE22" i="199"/>
  <c r="AD22" i="199"/>
  <c r="AG22" i="199"/>
  <c r="AJ22" i="199"/>
  <c r="AF22" i="199"/>
  <c r="AI22" i="199"/>
  <c r="AK22" i="199"/>
  <c r="AC22" i="196"/>
  <c r="AD22" i="196"/>
  <c r="AH22" i="196"/>
  <c r="AB22" i="196"/>
  <c r="AJ22" i="196"/>
  <c r="AK22" i="196"/>
  <c r="AE22" i="196"/>
  <c r="AF22" i="196"/>
  <c r="AG22" i="196"/>
  <c r="AI22" i="196"/>
  <c r="AH22" i="205"/>
  <c r="AG22" i="205"/>
  <c r="AK22" i="205"/>
  <c r="AF22" i="205"/>
  <c r="AC22" i="205"/>
  <c r="AE22" i="205"/>
  <c r="AJ22" i="205"/>
  <c r="AI22" i="205"/>
  <c r="AB22" i="205"/>
  <c r="AD22" i="205"/>
  <c r="AK22" i="37"/>
  <c r="AC22" i="37"/>
  <c r="AF22" i="37"/>
  <c r="AB22" i="37"/>
  <c r="AD22" i="37"/>
  <c r="AJ22" i="37"/>
  <c r="AG22" i="37"/>
  <c r="AI22" i="37"/>
  <c r="AH22" i="37"/>
  <c r="AE22" i="37"/>
  <c r="AC8" i="205"/>
  <c r="AD8" i="205"/>
  <c r="AI8" i="205"/>
  <c r="AG8" i="205"/>
  <c r="AE8" i="205"/>
  <c r="AH8" i="205"/>
  <c r="AF8" i="205"/>
  <c r="AK8" i="205"/>
  <c r="AB8" i="205"/>
  <c r="AJ8" i="205"/>
  <c r="AB8" i="198"/>
  <c r="AK8" i="198"/>
  <c r="AC8" i="198"/>
  <c r="AH8" i="198"/>
  <c r="AD8" i="198"/>
  <c r="AJ8" i="198"/>
  <c r="AF8" i="198"/>
  <c r="AG8" i="198"/>
  <c r="AE8" i="198"/>
  <c r="AI8" i="198"/>
  <c r="AF8" i="191"/>
  <c r="AB8" i="191"/>
  <c r="AG8" i="191"/>
  <c r="AH8" i="191"/>
  <c r="AC8" i="191"/>
  <c r="AE8" i="191"/>
  <c r="AJ8" i="191"/>
  <c r="AK8" i="191"/>
  <c r="AD8" i="191"/>
  <c r="AI8" i="191"/>
  <c r="AE8" i="211"/>
  <c r="AF8" i="211"/>
  <c r="AC8" i="211"/>
  <c r="AD8" i="211"/>
  <c r="AK8" i="211"/>
  <c r="AI8" i="211"/>
  <c r="AH8" i="211"/>
  <c r="AB8" i="211"/>
  <c r="AG8" i="211"/>
  <c r="AJ8" i="211"/>
  <c r="AH8" i="208"/>
  <c r="AI8" i="208"/>
  <c r="AK8" i="208"/>
  <c r="AE8" i="208"/>
  <c r="AG8" i="208"/>
  <c r="AJ8" i="208"/>
  <c r="AC8" i="208"/>
  <c r="AB8" i="208"/>
  <c r="AD8" i="208"/>
  <c r="AF8" i="208"/>
  <c r="AK8" i="196"/>
  <c r="AH8" i="196"/>
  <c r="AF8" i="196"/>
  <c r="AJ8" i="196"/>
  <c r="AD8" i="196"/>
  <c r="AE8" i="196"/>
  <c r="AB8" i="196"/>
  <c r="AI8" i="196"/>
  <c r="AG8" i="196"/>
  <c r="AC8" i="196"/>
  <c r="AE8" i="199"/>
  <c r="AC8" i="199"/>
  <c r="AH8" i="199"/>
  <c r="AB8" i="199"/>
  <c r="AK8" i="199"/>
  <c r="AD8" i="199"/>
  <c r="AI8" i="199"/>
  <c r="AF8" i="199"/>
  <c r="AG8" i="199"/>
  <c r="AJ8" i="199"/>
  <c r="AB14" i="197"/>
  <c r="AJ14" i="197"/>
  <c r="AD14" i="197"/>
  <c r="AE14" i="197"/>
  <c r="AI14" i="197"/>
  <c r="AG14" i="197"/>
  <c r="AC14" i="197"/>
  <c r="AF14" i="197"/>
  <c r="AH14" i="197"/>
  <c r="AK14" i="197"/>
  <c r="AF14" i="212"/>
  <c r="AJ14" i="212"/>
  <c r="AI14" i="212"/>
  <c r="AD14" i="212"/>
  <c r="AB14" i="212"/>
  <c r="AH14" i="212"/>
  <c r="AG14" i="212"/>
  <c r="AK14" i="212"/>
  <c r="AE14" i="212"/>
  <c r="AC14" i="212"/>
  <c r="AE14" i="203"/>
  <c r="AG14" i="203"/>
  <c r="AK14" i="203"/>
  <c r="AI14" i="203"/>
  <c r="AC14" i="203"/>
  <c r="AB14" i="203"/>
  <c r="AD14" i="203"/>
  <c r="AH14" i="203"/>
  <c r="AJ14" i="203"/>
  <c r="AF14" i="203"/>
  <c r="AD14" i="204"/>
  <c r="AH14" i="204"/>
  <c r="AC14" i="204"/>
  <c r="AE14" i="204"/>
  <c r="AF14" i="204"/>
  <c r="AB14" i="204"/>
  <c r="AG14" i="204"/>
  <c r="AK14" i="204"/>
  <c r="AJ14" i="204"/>
  <c r="AI14" i="204"/>
  <c r="AF14" i="192"/>
  <c r="AC14" i="192"/>
  <c r="AD14" i="192"/>
  <c r="AB14" i="192"/>
  <c r="AH14" i="192"/>
  <c r="AK14" i="192"/>
  <c r="AI14" i="192"/>
  <c r="AG14" i="192"/>
  <c r="AE14" i="192"/>
  <c r="AJ14" i="192"/>
  <c r="AC14" i="214"/>
  <c r="AG14" i="214"/>
  <c r="AB14" i="214"/>
  <c r="AK14" i="214"/>
  <c r="AE14" i="214"/>
  <c r="AD14" i="214"/>
  <c r="AF14" i="214"/>
  <c r="AH14" i="214"/>
  <c r="AJ14" i="214"/>
  <c r="AI14" i="214"/>
  <c r="AJ7" i="198"/>
  <c r="AF7" i="198"/>
  <c r="AH7" i="198"/>
  <c r="AD7" i="198"/>
  <c r="AB7" i="198"/>
  <c r="AI7" i="198"/>
  <c r="AG7" i="198"/>
  <c r="AE7" i="198"/>
  <c r="AK7" i="198"/>
  <c r="AC7" i="198"/>
  <c r="AE7" i="207"/>
  <c r="AH7" i="207"/>
  <c r="AD7" i="207"/>
  <c r="AG7" i="207"/>
  <c r="AC7" i="207"/>
  <c r="AF7" i="207"/>
  <c r="AB7" i="207"/>
  <c r="AJ7" i="207"/>
  <c r="AK7" i="207"/>
  <c r="AI7" i="207"/>
  <c r="AK7" i="194"/>
  <c r="AJ7" i="194"/>
  <c r="AF7" i="194"/>
  <c r="AE7" i="194"/>
  <c r="AH7" i="194"/>
  <c r="AD7" i="194"/>
  <c r="AC7" i="194"/>
  <c r="AG7" i="194"/>
  <c r="AI7" i="194"/>
  <c r="AB7" i="194"/>
  <c r="AF7" i="195"/>
  <c r="AG7" i="195"/>
  <c r="AH7" i="195"/>
  <c r="AB7" i="195"/>
  <c r="AC7" i="195"/>
  <c r="AI7" i="195"/>
  <c r="AJ7" i="195"/>
  <c r="AD7" i="195"/>
  <c r="AK7" i="195"/>
  <c r="AE7" i="195"/>
  <c r="AK7" i="209"/>
  <c r="AG7" i="209"/>
  <c r="AH7" i="209"/>
  <c r="AI7" i="209"/>
  <c r="AJ7" i="209"/>
  <c r="AB7" i="209"/>
  <c r="AF7" i="209"/>
  <c r="AE7" i="209"/>
  <c r="AC7" i="209"/>
  <c r="AD7" i="209"/>
  <c r="AD7" i="214"/>
  <c r="AG7" i="214"/>
  <c r="AH7" i="214"/>
  <c r="AI7" i="214"/>
  <c r="AJ7" i="214"/>
  <c r="AE7" i="214"/>
  <c r="AF7" i="214"/>
  <c r="AB7" i="214"/>
  <c r="AK7" i="214"/>
  <c r="AC7" i="214"/>
  <c r="AD13" i="204"/>
  <c r="AK13" i="204"/>
  <c r="AH13" i="204"/>
  <c r="AE13" i="204"/>
  <c r="AB13" i="204"/>
  <c r="AI13" i="204"/>
  <c r="AG13" i="204"/>
  <c r="AC13" i="204"/>
  <c r="AF13" i="204"/>
  <c r="AJ13" i="204"/>
  <c r="AC13" i="212"/>
  <c r="AF13" i="212"/>
  <c r="AB13" i="212"/>
  <c r="AJ13" i="212"/>
  <c r="AD13" i="212"/>
  <c r="AH13" i="212"/>
  <c r="AG13" i="212"/>
  <c r="AE13" i="212"/>
  <c r="AI13" i="212"/>
  <c r="AK13" i="212"/>
  <c r="AC13" i="198"/>
  <c r="AJ13" i="198"/>
  <c r="AI13" i="198"/>
  <c r="AD13" i="198"/>
  <c r="AK13" i="198"/>
  <c r="AF13" i="198"/>
  <c r="AB13" i="198"/>
  <c r="AG13" i="198"/>
  <c r="AE13" i="198"/>
  <c r="AH13" i="198"/>
  <c r="AK13" i="200"/>
  <c r="AB13" i="200"/>
  <c r="AJ13" i="200"/>
  <c r="AH13" i="200"/>
  <c r="AF13" i="200"/>
  <c r="AE13" i="200"/>
  <c r="AI13" i="200"/>
  <c r="AC13" i="200"/>
  <c r="AG13" i="200"/>
  <c r="AD13" i="200"/>
  <c r="AB13" i="205"/>
  <c r="AK13" i="205"/>
  <c r="AE13" i="205"/>
  <c r="AH13" i="205"/>
  <c r="AJ13" i="205"/>
  <c r="AC13" i="205"/>
  <c r="AD13" i="205"/>
  <c r="AG13" i="205"/>
  <c r="AF13" i="205"/>
  <c r="AI13" i="205"/>
  <c r="AK13" i="206"/>
  <c r="AH13" i="206"/>
  <c r="AD13" i="206"/>
  <c r="AE13" i="206"/>
  <c r="AB13" i="206"/>
  <c r="AI13" i="206"/>
  <c r="AJ13" i="206"/>
  <c r="AF13" i="206"/>
  <c r="AG13" i="206"/>
  <c r="AC13" i="206"/>
  <c r="AC37" i="213"/>
  <c r="AE37" i="213"/>
  <c r="AG37" i="213"/>
  <c r="AJ37" i="213"/>
  <c r="AD37" i="213"/>
  <c r="AI37" i="213"/>
  <c r="AK37" i="213"/>
  <c r="AH37" i="213"/>
  <c r="AF37" i="213"/>
  <c r="AB37" i="213"/>
  <c r="AK37" i="191"/>
  <c r="AE37" i="191"/>
  <c r="AD37" i="191"/>
  <c r="AF37" i="191"/>
  <c r="AI37" i="191"/>
  <c r="AJ37" i="191"/>
  <c r="AC37" i="191"/>
  <c r="AG37" i="191"/>
  <c r="AH37" i="191"/>
  <c r="AB37" i="191"/>
  <c r="AB37" i="201"/>
  <c r="AD37" i="201"/>
  <c r="AH37" i="201"/>
  <c r="AJ37" i="201"/>
  <c r="AE37" i="201"/>
  <c r="AI37" i="201"/>
  <c r="AK37" i="201"/>
  <c r="AC37" i="201"/>
  <c r="AF37" i="201"/>
  <c r="AG37" i="201"/>
  <c r="AE37" i="214"/>
  <c r="AG37" i="214"/>
  <c r="AJ37" i="214"/>
  <c r="AI37" i="214"/>
  <c r="AF37" i="214"/>
  <c r="AK37" i="214"/>
  <c r="AB37" i="214"/>
  <c r="AD37" i="214"/>
  <c r="AC37" i="214"/>
  <c r="AH37" i="214"/>
  <c r="AG37" i="209"/>
  <c r="AF37" i="209"/>
  <c r="AB37" i="209"/>
  <c r="AE37" i="209"/>
  <c r="AC37" i="209"/>
  <c r="AK37" i="209"/>
  <c r="AH37" i="209"/>
  <c r="AD37" i="209"/>
  <c r="AI37" i="209"/>
  <c r="AJ37" i="209"/>
  <c r="AD37" i="37"/>
  <c r="AE37" i="37"/>
  <c r="AH37" i="37"/>
  <c r="AF37" i="37"/>
  <c r="AG37" i="37"/>
  <c r="AJ37" i="37"/>
  <c r="AK37" i="37"/>
  <c r="AI37" i="37"/>
  <c r="AC37" i="37"/>
  <c r="AB37" i="37"/>
  <c r="AG37" i="195"/>
  <c r="AF37" i="195"/>
  <c r="AH37" i="195"/>
  <c r="AK37" i="195"/>
  <c r="AD37" i="195"/>
  <c r="AE37" i="195"/>
  <c r="AB37" i="195"/>
  <c r="AJ37" i="195"/>
  <c r="AI37" i="195"/>
  <c r="AC37" i="195"/>
  <c r="AC3" i="203"/>
  <c r="AG3" i="203"/>
  <c r="AB3" i="203"/>
  <c r="AK3" i="203"/>
  <c r="AI3" i="203"/>
  <c r="AH3" i="203"/>
  <c r="AJ3" i="203"/>
  <c r="AE3" i="203"/>
  <c r="AD3" i="203"/>
  <c r="AF3" i="203"/>
  <c r="AG3" i="214"/>
  <c r="AE3" i="214"/>
  <c r="AF3" i="214"/>
  <c r="AD3" i="214"/>
  <c r="AH3" i="214"/>
  <c r="AB3" i="214"/>
  <c r="AK3" i="214"/>
  <c r="AJ3" i="214"/>
  <c r="AI3" i="214"/>
  <c r="AC3" i="214"/>
  <c r="AC3" i="208"/>
  <c r="AK3" i="208"/>
  <c r="AF3" i="208"/>
  <c r="AG3" i="208"/>
  <c r="AB3" i="208"/>
  <c r="AH3" i="208"/>
  <c r="AJ3" i="208"/>
  <c r="AE3" i="208"/>
  <c r="AD3" i="208"/>
  <c r="AI3" i="208"/>
  <c r="AB3" i="197"/>
  <c r="AJ3" i="197"/>
  <c r="AF3" i="197"/>
  <c r="AK3" i="197"/>
  <c r="AH3" i="197"/>
  <c r="AI3" i="197"/>
  <c r="AG3" i="197"/>
  <c r="AE3" i="197"/>
  <c r="AC3" i="197"/>
  <c r="AD3" i="197"/>
  <c r="AB3" i="191"/>
  <c r="AC3" i="191"/>
  <c r="AG3" i="191"/>
  <c r="AI3" i="191"/>
  <c r="AJ3" i="191"/>
  <c r="AF3" i="191"/>
  <c r="AD3" i="191"/>
  <c r="AE3" i="191"/>
  <c r="AH3" i="191"/>
  <c r="AK3" i="191"/>
  <c r="AB3" i="193"/>
  <c r="AF3" i="193"/>
  <c r="AC3" i="193"/>
  <c r="AK3" i="193"/>
  <c r="AD3" i="193"/>
  <c r="AG3" i="193"/>
  <c r="AE3" i="193"/>
  <c r="AI3" i="193"/>
  <c r="AJ3" i="193"/>
  <c r="AH3" i="193"/>
  <c r="AJ20" i="211"/>
  <c r="AI20" i="211"/>
  <c r="AC20" i="211"/>
  <c r="AE20" i="211"/>
  <c r="AD20" i="211"/>
  <c r="AK20" i="211"/>
  <c r="AG20" i="211"/>
  <c r="AB20" i="211"/>
  <c r="AH20" i="211"/>
  <c r="AF20" i="211"/>
  <c r="AE20" i="212"/>
  <c r="AG20" i="212"/>
  <c r="AC20" i="212"/>
  <c r="AJ20" i="212"/>
  <c r="AF20" i="212"/>
  <c r="AH20" i="212"/>
  <c r="AK20" i="212"/>
  <c r="AD20" i="212"/>
  <c r="AI20" i="212"/>
  <c r="AB20" i="212"/>
  <c r="AD20" i="201"/>
  <c r="AG20" i="201"/>
  <c r="AF20" i="201"/>
  <c r="AH20" i="201"/>
  <c r="AK20" i="201"/>
  <c r="AC20" i="201"/>
  <c r="AB20" i="201"/>
  <c r="AE20" i="201"/>
  <c r="AJ20" i="201"/>
  <c r="AI20" i="201"/>
  <c r="AI20" i="191"/>
  <c r="AG20" i="191"/>
  <c r="AK20" i="191"/>
  <c r="AD20" i="191"/>
  <c r="AF20" i="191"/>
  <c r="AJ20" i="191"/>
  <c r="AH20" i="191"/>
  <c r="AB20" i="191"/>
  <c r="AE20" i="191"/>
  <c r="AC20" i="191"/>
  <c r="AD20" i="199"/>
  <c r="AK20" i="199"/>
  <c r="AC20" i="199"/>
  <c r="AJ20" i="199"/>
  <c r="AG20" i="199"/>
  <c r="AI20" i="199"/>
  <c r="AH20" i="199"/>
  <c r="AF20" i="199"/>
  <c r="AE20" i="199"/>
  <c r="AB20" i="199"/>
  <c r="AB20" i="210"/>
  <c r="AD20" i="210"/>
  <c r="AG20" i="210"/>
  <c r="AK20" i="210"/>
  <c r="AH20" i="210"/>
  <c r="AI20" i="210"/>
  <c r="AC20" i="210"/>
  <c r="AJ20" i="210"/>
  <c r="AE20" i="210"/>
  <c r="AF20" i="210"/>
  <c r="AK15" i="214"/>
  <c r="AE15" i="214"/>
  <c r="AJ15" i="214"/>
  <c r="AI15" i="214"/>
  <c r="AB15" i="214"/>
  <c r="AD15" i="214"/>
  <c r="AG15" i="214"/>
  <c r="AH15" i="214"/>
  <c r="AC15" i="214"/>
  <c r="AF15" i="214"/>
  <c r="AF15" i="204"/>
  <c r="AC15" i="204"/>
  <c r="AJ15" i="204"/>
  <c r="AE15" i="204"/>
  <c r="AD15" i="204"/>
  <c r="AH15" i="204"/>
  <c r="AK15" i="204"/>
  <c r="AG15" i="204"/>
  <c r="AB15" i="204"/>
  <c r="AI15" i="204"/>
  <c r="AD15" i="198"/>
  <c r="AC15" i="198"/>
  <c r="AK15" i="198"/>
  <c r="AG15" i="198"/>
  <c r="AI15" i="198"/>
  <c r="AH15" i="198"/>
  <c r="AJ15" i="198"/>
  <c r="AF15" i="198"/>
  <c r="AB15" i="198"/>
  <c r="AE15" i="198"/>
  <c r="AC15" i="195"/>
  <c r="AK15" i="195"/>
  <c r="AI15" i="195"/>
  <c r="AJ15" i="195"/>
  <c r="AF15" i="195"/>
  <c r="AG15" i="195"/>
  <c r="AB15" i="195"/>
  <c r="AH15" i="195"/>
  <c r="AD15" i="195"/>
  <c r="AE15" i="195"/>
  <c r="AI15" i="211"/>
  <c r="AJ15" i="211"/>
  <c r="AH15" i="211"/>
  <c r="AC15" i="211"/>
  <c r="AB15" i="211"/>
  <c r="AD15" i="211"/>
  <c r="AF15" i="211"/>
  <c r="AK15" i="211"/>
  <c r="AE15" i="211"/>
  <c r="AG15" i="211"/>
  <c r="AF15" i="208"/>
  <c r="AC15" i="208"/>
  <c r="AB15" i="208"/>
  <c r="AK15" i="208"/>
  <c r="AJ15" i="208"/>
  <c r="AE15" i="208"/>
  <c r="AI15" i="208"/>
  <c r="AD15" i="208"/>
  <c r="AH15" i="208"/>
  <c r="AG15" i="208"/>
  <c r="AI36" i="207"/>
  <c r="AB36" i="207"/>
  <c r="AK36" i="207"/>
  <c r="AG36" i="207"/>
  <c r="AD36" i="207"/>
  <c r="AF36" i="207"/>
  <c r="AH36" i="207"/>
  <c r="AC36" i="207"/>
  <c r="AE36" i="207"/>
  <c r="AJ36" i="207"/>
  <c r="AJ36" i="37"/>
  <c r="AC36" i="37"/>
  <c r="AE36" i="37"/>
  <c r="AG36" i="37"/>
  <c r="AK36" i="37"/>
  <c r="AD36" i="37"/>
  <c r="AI36" i="37"/>
  <c r="AF36" i="37"/>
  <c r="AH36" i="37"/>
  <c r="AB36" i="37"/>
  <c r="AK36" i="204"/>
  <c r="AH36" i="204"/>
  <c r="AD36" i="204"/>
  <c r="AJ36" i="204"/>
  <c r="AF36" i="204"/>
  <c r="AB36" i="204"/>
  <c r="AC36" i="204"/>
  <c r="AI36" i="204"/>
  <c r="AG36" i="204"/>
  <c r="AE36" i="204"/>
  <c r="AI36" i="213"/>
  <c r="AD36" i="213"/>
  <c r="AB36" i="213"/>
  <c r="AH36" i="213"/>
  <c r="AF36" i="213"/>
  <c r="AC36" i="213"/>
  <c r="AE36" i="213"/>
  <c r="AK36" i="213"/>
  <c r="AJ36" i="213"/>
  <c r="AG36" i="213"/>
  <c r="AH36" i="202"/>
  <c r="AF36" i="202"/>
  <c r="AG36" i="202"/>
  <c r="AJ36" i="202"/>
  <c r="AK36" i="202"/>
  <c r="AC36" i="202"/>
  <c r="AD36" i="202"/>
  <c r="AB36" i="202"/>
  <c r="AE36" i="202"/>
  <c r="AI36" i="202"/>
  <c r="AF36" i="199"/>
  <c r="AH36" i="199"/>
  <c r="AD36" i="199"/>
  <c r="AI36" i="199"/>
  <c r="AG36" i="199"/>
  <c r="AJ36" i="199"/>
  <c r="AE36" i="199"/>
  <c r="AC36" i="199"/>
  <c r="AK36" i="199"/>
  <c r="AB36" i="199"/>
  <c r="AI36" i="194"/>
  <c r="AE36" i="194"/>
  <c r="AJ36" i="194"/>
  <c r="AG36" i="194"/>
  <c r="AB36" i="194"/>
  <c r="AF36" i="194"/>
  <c r="AD36" i="194"/>
  <c r="AK36" i="194"/>
  <c r="AH36" i="194"/>
  <c r="AC36" i="194"/>
  <c r="AK12" i="191"/>
  <c r="AF12" i="191"/>
  <c r="AC12" i="191"/>
  <c r="AB12" i="191"/>
  <c r="AE12" i="191"/>
  <c r="AI12" i="191"/>
  <c r="AH12" i="191"/>
  <c r="AD12" i="191"/>
  <c r="AJ12" i="191"/>
  <c r="AG12" i="191"/>
  <c r="AF12" i="201"/>
  <c r="AK12" i="201"/>
  <c r="AD12" i="201"/>
  <c r="AJ12" i="201"/>
  <c r="AG12" i="201"/>
  <c r="AC12" i="201"/>
  <c r="AB12" i="201"/>
  <c r="AE12" i="201"/>
  <c r="AI12" i="201"/>
  <c r="AH12" i="201"/>
  <c r="AD12" i="210"/>
  <c r="AI12" i="210"/>
  <c r="AB12" i="210"/>
  <c r="AG12" i="210"/>
  <c r="AJ12" i="210"/>
  <c r="AE12" i="210"/>
  <c r="AH12" i="210"/>
  <c r="AC12" i="210"/>
  <c r="AK12" i="210"/>
  <c r="AF12" i="210"/>
  <c r="AF12" i="37"/>
  <c r="AC12" i="37"/>
  <c r="AD12" i="37"/>
  <c r="AK12" i="37"/>
  <c r="AH12" i="37"/>
  <c r="AJ12" i="37"/>
  <c r="AI12" i="37"/>
  <c r="AG12" i="37"/>
  <c r="AB12" i="37"/>
  <c r="AE12" i="37"/>
  <c r="AG12" i="199"/>
  <c r="AI12" i="199"/>
  <c r="AH12" i="199"/>
  <c r="AD12" i="199"/>
  <c r="AC12" i="199"/>
  <c r="AF12" i="199"/>
  <c r="AB12" i="199"/>
  <c r="AE12" i="199"/>
  <c r="AK12" i="199"/>
  <c r="AJ12" i="199"/>
  <c r="AK12" i="193"/>
  <c r="AG12" i="193"/>
  <c r="AH12" i="193"/>
  <c r="AJ12" i="193"/>
  <c r="AC12" i="193"/>
  <c r="AE12" i="193"/>
  <c r="AI12" i="193"/>
  <c r="AF12" i="193"/>
  <c r="AB12" i="193"/>
  <c r="AD12" i="193"/>
  <c r="AG27" i="203"/>
  <c r="AC27" i="203"/>
  <c r="AK27" i="203"/>
  <c r="AH27" i="203"/>
  <c r="AE27" i="203"/>
  <c r="AF27" i="203"/>
  <c r="AJ27" i="203"/>
  <c r="AD27" i="203"/>
  <c r="AI27" i="203"/>
  <c r="AB27" i="203"/>
  <c r="AC27" i="204"/>
  <c r="AF27" i="204"/>
  <c r="AD27" i="204"/>
  <c r="AE27" i="204"/>
  <c r="AH27" i="204"/>
  <c r="AG27" i="204"/>
  <c r="AB27" i="204"/>
  <c r="AJ27" i="204"/>
  <c r="AK27" i="204"/>
  <c r="AI27" i="204"/>
  <c r="AH27" i="214"/>
  <c r="AE27" i="214"/>
  <c r="AI27" i="214"/>
  <c r="AK27" i="214"/>
  <c r="AJ27" i="214"/>
  <c r="AD27" i="214"/>
  <c r="AG27" i="214"/>
  <c r="AB27" i="214"/>
  <c r="AF27" i="214"/>
  <c r="AC27" i="214"/>
  <c r="AI27" i="209"/>
  <c r="AJ27" i="209"/>
  <c r="AK27" i="209"/>
  <c r="AG27" i="209"/>
  <c r="AE27" i="209"/>
  <c r="AD27" i="209"/>
  <c r="AB27" i="209"/>
  <c r="AC27" i="209"/>
  <c r="AF27" i="209"/>
  <c r="AH27" i="209"/>
  <c r="AE27" i="192"/>
  <c r="AC27" i="192"/>
  <c r="AI27" i="192"/>
  <c r="AK27" i="192"/>
  <c r="AG27" i="192"/>
  <c r="AF27" i="192"/>
  <c r="AH27" i="192"/>
  <c r="AD27" i="192"/>
  <c r="AJ27" i="192"/>
  <c r="AB27" i="192"/>
  <c r="AF27" i="208"/>
  <c r="AB27" i="208"/>
  <c r="AK27" i="208"/>
  <c r="AD27" i="208"/>
  <c r="AE27" i="208"/>
  <c r="AG27" i="208"/>
  <c r="AC27" i="208"/>
  <c r="AH27" i="208"/>
  <c r="AI27" i="208"/>
  <c r="AJ27" i="208"/>
  <c r="AD21" i="196"/>
  <c r="AH21" i="196"/>
  <c r="AI21" i="196"/>
  <c r="AC21" i="196"/>
  <c r="AJ21" i="196"/>
  <c r="AB21" i="196"/>
  <c r="AG21" i="196"/>
  <c r="AF21" i="196"/>
  <c r="AE21" i="196"/>
  <c r="AK21" i="196"/>
  <c r="AJ21" i="213"/>
  <c r="AK21" i="213"/>
  <c r="AH21" i="213"/>
  <c r="AF21" i="213"/>
  <c r="AB21" i="213"/>
  <c r="AC21" i="213"/>
  <c r="AE21" i="213"/>
  <c r="AI21" i="213"/>
  <c r="AG21" i="213"/>
  <c r="AD21" i="213"/>
  <c r="AE21" i="198"/>
  <c r="AC21" i="198"/>
  <c r="AB21" i="198"/>
  <c r="AK21" i="198"/>
  <c r="AJ21" i="198"/>
  <c r="AH21" i="198"/>
  <c r="AI21" i="198"/>
  <c r="AF21" i="198"/>
  <c r="AD21" i="198"/>
  <c r="AG21" i="198"/>
  <c r="AF21" i="37"/>
  <c r="AK21" i="37"/>
  <c r="AI21" i="37"/>
  <c r="AJ21" i="37"/>
  <c r="AG21" i="37"/>
  <c r="AH21" i="37"/>
  <c r="AD21" i="37"/>
  <c r="AB21" i="37"/>
  <c r="AE21" i="37"/>
  <c r="AC21" i="37"/>
  <c r="AH21" i="210"/>
  <c r="AF21" i="210"/>
  <c r="AD21" i="210"/>
  <c r="AC21" i="210"/>
  <c r="AE21" i="210"/>
  <c r="AG21" i="210"/>
  <c r="AK21" i="210"/>
  <c r="AI21" i="210"/>
  <c r="AB21" i="210"/>
  <c r="AJ21" i="210"/>
  <c r="AG21" i="212"/>
  <c r="AJ21" i="212"/>
  <c r="AI21" i="212"/>
  <c r="AC21" i="212"/>
  <c r="AB21" i="212"/>
  <c r="AF21" i="212"/>
  <c r="AE21" i="212"/>
  <c r="AH21" i="212"/>
  <c r="AD21" i="212"/>
  <c r="AK21" i="212"/>
  <c r="AB18" i="197"/>
  <c r="AI18" i="197"/>
  <c r="AG18" i="197"/>
  <c r="AE18" i="197"/>
  <c r="AH18" i="197"/>
  <c r="AC18" i="197"/>
  <c r="AJ18" i="197"/>
  <c r="AF18" i="197"/>
  <c r="AD18" i="197"/>
  <c r="AK18" i="197"/>
  <c r="AH18" i="199"/>
  <c r="AF18" i="199"/>
  <c r="AG18" i="199"/>
  <c r="AI18" i="199"/>
  <c r="AC18" i="199"/>
  <c r="AD18" i="199"/>
  <c r="AJ18" i="199"/>
  <c r="AE18" i="199"/>
  <c r="AB18" i="199"/>
  <c r="AK18" i="199"/>
  <c r="AK18" i="208"/>
  <c r="AD18" i="208"/>
  <c r="AE18" i="208"/>
  <c r="AG18" i="208"/>
  <c r="AC18" i="208"/>
  <c r="AJ18" i="208"/>
  <c r="AF18" i="208"/>
  <c r="AB18" i="208"/>
  <c r="AH18" i="208"/>
  <c r="AI18" i="208"/>
  <c r="AC18" i="194"/>
  <c r="AF18" i="194"/>
  <c r="AG18" i="194"/>
  <c r="AI18" i="194"/>
  <c r="AD18" i="194"/>
  <c r="AB18" i="194"/>
  <c r="AK18" i="194"/>
  <c r="AH18" i="194"/>
  <c r="AJ18" i="194"/>
  <c r="AE18" i="194"/>
  <c r="AE18" i="205"/>
  <c r="AI18" i="205"/>
  <c r="AG18" i="205"/>
  <c r="AB18" i="205"/>
  <c r="AD18" i="205"/>
  <c r="AJ18" i="205"/>
  <c r="AF18" i="205"/>
  <c r="AH18" i="205"/>
  <c r="AK18" i="205"/>
  <c r="AC18" i="205"/>
  <c r="AK18" i="204"/>
  <c r="AE18" i="204"/>
  <c r="AJ18" i="204"/>
  <c r="AF18" i="204"/>
  <c r="AD18" i="204"/>
  <c r="AG18" i="204"/>
  <c r="AC18" i="204"/>
  <c r="AH18" i="204"/>
  <c r="AB18" i="204"/>
  <c r="AI18" i="204"/>
  <c r="AK18" i="209"/>
  <c r="AJ18" i="209"/>
  <c r="AH18" i="209"/>
  <c r="AD18" i="209"/>
  <c r="AC18" i="209"/>
  <c r="AI18" i="209"/>
  <c r="AF18" i="209"/>
  <c r="AB18" i="209"/>
  <c r="AE18" i="209"/>
  <c r="AG18" i="209"/>
  <c r="AF29" i="195"/>
  <c r="AH29" i="195"/>
  <c r="AK29" i="195"/>
  <c r="AI29" i="195"/>
  <c r="AG29" i="195"/>
  <c r="AD29" i="195"/>
  <c r="AJ29" i="195"/>
  <c r="AB29" i="195"/>
  <c r="AE29" i="195"/>
  <c r="AC29" i="195"/>
  <c r="AH29" i="205"/>
  <c r="AF29" i="205"/>
  <c r="AI29" i="205"/>
  <c r="AB29" i="205"/>
  <c r="AJ29" i="205"/>
  <c r="AE29" i="205"/>
  <c r="AC29" i="205"/>
  <c r="AG29" i="205"/>
  <c r="AD29" i="205"/>
  <c r="AK29" i="205"/>
  <c r="AF29" i="192"/>
  <c r="AB29" i="192"/>
  <c r="AK29" i="192"/>
  <c r="AE29" i="192"/>
  <c r="AI29" i="192"/>
  <c r="AJ29" i="192"/>
  <c r="AD29" i="192"/>
  <c r="AG29" i="192"/>
  <c r="AH29" i="192"/>
  <c r="AC29" i="192"/>
  <c r="AB29" i="200"/>
  <c r="AK29" i="200"/>
  <c r="AF29" i="200"/>
  <c r="AG29" i="200"/>
  <c r="AE29" i="200"/>
  <c r="AJ29" i="200"/>
  <c r="AD29" i="200"/>
  <c r="AH29" i="200"/>
  <c r="AI29" i="200"/>
  <c r="AC29" i="200"/>
  <c r="AF29" i="193"/>
  <c r="AC29" i="193"/>
  <c r="AK29" i="193"/>
  <c r="AJ29" i="193"/>
  <c r="AE29" i="193"/>
  <c r="AB29" i="193"/>
  <c r="AG29" i="193"/>
  <c r="AI29" i="193"/>
  <c r="AH29" i="193"/>
  <c r="AD29" i="193"/>
  <c r="AB29" i="201"/>
  <c r="AG29" i="201"/>
  <c r="AH29" i="201"/>
  <c r="AK29" i="201"/>
  <c r="AI29" i="201"/>
  <c r="AD29" i="201"/>
  <c r="AE29" i="201"/>
  <c r="AJ29" i="201"/>
  <c r="AC29" i="201"/>
  <c r="AF29" i="201"/>
  <c r="AJ11" i="209"/>
  <c r="AF11" i="209"/>
  <c r="AG11" i="209"/>
  <c r="AE11" i="209"/>
  <c r="AB11" i="209"/>
  <c r="AH11" i="209"/>
  <c r="AI11" i="209"/>
  <c r="AK11" i="209"/>
  <c r="AC11" i="209"/>
  <c r="AD11" i="209"/>
  <c r="AI11" i="203"/>
  <c r="AJ11" i="203"/>
  <c r="AB11" i="203"/>
  <c r="AF11" i="203"/>
  <c r="AH11" i="203"/>
  <c r="AK11" i="203"/>
  <c r="AD11" i="203"/>
  <c r="AC11" i="203"/>
  <c r="AE11" i="203"/>
  <c r="AG11" i="203"/>
  <c r="AB11" i="200"/>
  <c r="AF11" i="200"/>
  <c r="AH11" i="200"/>
  <c r="AE11" i="200"/>
  <c r="AG11" i="200"/>
  <c r="AD11" i="200"/>
  <c r="AC11" i="200"/>
  <c r="AJ11" i="200"/>
  <c r="AI11" i="200"/>
  <c r="AK11" i="200"/>
  <c r="AJ11" i="195"/>
  <c r="AH11" i="195"/>
  <c r="AG11" i="195"/>
  <c r="AE11" i="195"/>
  <c r="AK11" i="195"/>
  <c r="AB11" i="195"/>
  <c r="AD11" i="195"/>
  <c r="AC11" i="195"/>
  <c r="AI11" i="195"/>
  <c r="AF11" i="195"/>
  <c r="AH11" i="211"/>
  <c r="AJ11" i="211"/>
  <c r="AF11" i="211"/>
  <c r="AK11" i="211"/>
  <c r="AG11" i="211"/>
  <c r="AI11" i="211"/>
  <c r="AD11" i="211"/>
  <c r="AB11" i="211"/>
  <c r="AC11" i="211"/>
  <c r="AE11" i="211"/>
  <c r="AJ11" i="206"/>
  <c r="AC11" i="206"/>
  <c r="AH11" i="206"/>
  <c r="AF11" i="206"/>
  <c r="AG11" i="206"/>
  <c r="AB11" i="206"/>
  <c r="AD11" i="206"/>
  <c r="AE11" i="206"/>
  <c r="AK11" i="206"/>
  <c r="AI11" i="206"/>
  <c r="AE28" i="212"/>
  <c r="AK28" i="212"/>
  <c r="AD28" i="212"/>
  <c r="AF28" i="212"/>
  <c r="AI28" i="212"/>
  <c r="AB28" i="212"/>
  <c r="AG28" i="212"/>
  <c r="AH28" i="212"/>
  <c r="AC28" i="212"/>
  <c r="AJ28" i="212"/>
  <c r="AE28" i="37"/>
  <c r="AI28" i="37"/>
  <c r="AF28" i="37"/>
  <c r="AK28" i="37"/>
  <c r="AG28" i="37"/>
  <c r="AJ28" i="37"/>
  <c r="AH28" i="37"/>
  <c r="AD28" i="37"/>
  <c r="AB28" i="37"/>
  <c r="AC28" i="37"/>
  <c r="AB28" i="198"/>
  <c r="AG28" i="198"/>
  <c r="AK28" i="198"/>
  <c r="AD28" i="198"/>
  <c r="AE28" i="198"/>
  <c r="AF28" i="198"/>
  <c r="AJ28" i="198"/>
  <c r="AH28" i="198"/>
  <c r="AI28" i="198"/>
  <c r="AC28" i="198"/>
  <c r="AC28" i="197"/>
  <c r="AH28" i="197"/>
  <c r="AE28" i="197"/>
  <c r="AK28" i="197"/>
  <c r="AB28" i="197"/>
  <c r="AD28" i="197"/>
  <c r="AJ28" i="197"/>
  <c r="AI28" i="197"/>
  <c r="AF28" i="197"/>
  <c r="AG28" i="197"/>
  <c r="AD28" i="213"/>
  <c r="AG28" i="213"/>
  <c r="AH28" i="213"/>
  <c r="AC28" i="213"/>
  <c r="AJ28" i="213"/>
  <c r="AF28" i="213"/>
  <c r="AE28" i="213"/>
  <c r="AI28" i="213"/>
  <c r="AB28" i="213"/>
  <c r="AK28" i="213"/>
  <c r="AC28" i="207"/>
  <c r="AH28" i="207"/>
  <c r="AJ28" i="207"/>
  <c r="AF28" i="207"/>
  <c r="AK28" i="207"/>
  <c r="AG28" i="207"/>
  <c r="AI28" i="207"/>
  <c r="AB28" i="207"/>
  <c r="AE28" i="207"/>
  <c r="AD28" i="207"/>
  <c r="AJ26" i="200"/>
  <c r="AD26" i="200"/>
  <c r="AF26" i="200"/>
  <c r="AK26" i="200"/>
  <c r="AB26" i="200"/>
  <c r="AG26" i="200"/>
  <c r="AH26" i="200"/>
  <c r="AI26" i="200"/>
  <c r="AE26" i="200"/>
  <c r="AC26" i="200"/>
  <c r="AD26" i="214"/>
  <c r="AH26" i="214"/>
  <c r="AI26" i="214"/>
  <c r="AE26" i="214"/>
  <c r="AF26" i="214"/>
  <c r="AB26" i="214"/>
  <c r="AJ26" i="214"/>
  <c r="AG26" i="214"/>
  <c r="AK26" i="214"/>
  <c r="AC26" i="214"/>
  <c r="AK26" i="211"/>
  <c r="AC26" i="211"/>
  <c r="AJ26" i="211"/>
  <c r="AH26" i="211"/>
  <c r="AB26" i="211"/>
  <c r="AE26" i="211"/>
  <c r="AI26" i="211"/>
  <c r="AF26" i="211"/>
  <c r="AG26" i="211"/>
  <c r="AD26" i="211"/>
  <c r="AH26" i="192"/>
  <c r="AI26" i="192"/>
  <c r="AF26" i="192"/>
  <c r="AK26" i="192"/>
  <c r="AC26" i="192"/>
  <c r="AJ26" i="192"/>
  <c r="AE26" i="192"/>
  <c r="AB26" i="192"/>
  <c r="AG26" i="192"/>
  <c r="AD26" i="192"/>
  <c r="AC26" i="207"/>
  <c r="AB26" i="207"/>
  <c r="AK26" i="207"/>
  <c r="AH26" i="207"/>
  <c r="AF26" i="207"/>
  <c r="AE26" i="207"/>
  <c r="AG26" i="207"/>
  <c r="AI26" i="207"/>
  <c r="AD26" i="207"/>
  <c r="AJ26" i="207"/>
  <c r="AG26" i="37"/>
  <c r="AI26" i="37"/>
  <c r="AJ26" i="37"/>
  <c r="AC26" i="37"/>
  <c r="AK26" i="37"/>
  <c r="AF26" i="37"/>
  <c r="AD26" i="37"/>
  <c r="AB26" i="37"/>
  <c r="AE26" i="37"/>
  <c r="AH26" i="37"/>
  <c r="AF26" i="202"/>
  <c r="AK26" i="202"/>
  <c r="AI26" i="202"/>
  <c r="AD26" i="202"/>
  <c r="AE26" i="202"/>
  <c r="AJ26" i="202"/>
  <c r="AG26" i="202"/>
  <c r="AB26" i="202"/>
  <c r="AH26" i="202"/>
  <c r="AC26" i="202"/>
  <c r="AK23" i="198"/>
  <c r="AI23" i="198"/>
  <c r="AD23" i="198"/>
  <c r="AG23" i="198"/>
  <c r="AB23" i="198"/>
  <c r="AH23" i="198"/>
  <c r="AE23" i="198"/>
  <c r="AC23" i="198"/>
  <c r="AF23" i="198"/>
  <c r="AJ23" i="198"/>
  <c r="AC23" i="195"/>
  <c r="AH23" i="195"/>
  <c r="AB23" i="195"/>
  <c r="AF23" i="195"/>
  <c r="AD23" i="195"/>
  <c r="AI23" i="195"/>
  <c r="AG23" i="195"/>
  <c r="AE23" i="195"/>
  <c r="AK23" i="195"/>
  <c r="AJ23" i="195"/>
  <c r="AF23" i="208"/>
  <c r="AI23" i="208"/>
  <c r="AE23" i="208"/>
  <c r="AK23" i="208"/>
  <c r="AG23" i="208"/>
  <c r="AD23" i="208"/>
  <c r="AH23" i="208"/>
  <c r="AC23" i="208"/>
  <c r="AB23" i="208"/>
  <c r="AJ23" i="208"/>
  <c r="AI23" i="206"/>
  <c r="AH23" i="206"/>
  <c r="AC23" i="206"/>
  <c r="AG23" i="206"/>
  <c r="AB23" i="206"/>
  <c r="AE23" i="206"/>
  <c r="AD23" i="206"/>
  <c r="AK23" i="206"/>
  <c r="AJ23" i="206"/>
  <c r="AF23" i="206"/>
  <c r="AK23" i="193"/>
  <c r="AF23" i="193"/>
  <c r="AJ23" i="193"/>
  <c r="AB23" i="193"/>
  <c r="AD23" i="193"/>
  <c r="AC23" i="193"/>
  <c r="AH23" i="193"/>
  <c r="AE23" i="193"/>
  <c r="AG23" i="193"/>
  <c r="AI23" i="193"/>
  <c r="AF23" i="209"/>
  <c r="AB23" i="209"/>
  <c r="AD23" i="209"/>
  <c r="AH23" i="209"/>
  <c r="AK23" i="209"/>
  <c r="AJ23" i="209"/>
  <c r="AI23" i="209"/>
  <c r="AE23" i="209"/>
  <c r="AC23" i="209"/>
  <c r="AG23" i="209"/>
  <c r="AI30" i="205"/>
  <c r="AK30" i="205"/>
  <c r="AC30" i="205"/>
  <c r="AF30" i="205"/>
  <c r="AE30" i="205"/>
  <c r="AG30" i="205"/>
  <c r="AD30" i="205"/>
  <c r="AB30" i="205"/>
  <c r="AJ30" i="205"/>
  <c r="AH30" i="205"/>
  <c r="AC30" i="37"/>
  <c r="AF30" i="37"/>
  <c r="AH30" i="37"/>
  <c r="AD30" i="37"/>
  <c r="AB30" i="37"/>
  <c r="AK30" i="37"/>
  <c r="AG30" i="37"/>
  <c r="AI30" i="37"/>
  <c r="AJ30" i="37"/>
  <c r="AE30" i="37"/>
  <c r="AC30" i="202"/>
  <c r="AG30" i="202"/>
  <c r="AB30" i="202"/>
  <c r="AI30" i="202"/>
  <c r="AK30" i="202"/>
  <c r="AE30" i="202"/>
  <c r="AJ30" i="202"/>
  <c r="AF30" i="202"/>
  <c r="AH30" i="202"/>
  <c r="AD30" i="202"/>
  <c r="AB30" i="204"/>
  <c r="AF30" i="204"/>
  <c r="AH30" i="204"/>
  <c r="AD30" i="204"/>
  <c r="AC30" i="204"/>
  <c r="AG30" i="204"/>
  <c r="AK30" i="204"/>
  <c r="AJ30" i="204"/>
  <c r="AE30" i="204"/>
  <c r="AI30" i="204"/>
  <c r="AH30" i="210"/>
  <c r="AK30" i="210"/>
  <c r="AJ30" i="210"/>
  <c r="AB30" i="210"/>
  <c r="AF30" i="210"/>
  <c r="AI30" i="210"/>
  <c r="AG30" i="210"/>
  <c r="AC30" i="210"/>
  <c r="AE30" i="210"/>
  <c r="AD30" i="210"/>
  <c r="AE30" i="203"/>
  <c r="AI30" i="203"/>
  <c r="AK30" i="203"/>
  <c r="AG30" i="203"/>
  <c r="AC30" i="203"/>
  <c r="AH30" i="203"/>
  <c r="AJ30" i="203"/>
  <c r="AF30" i="203"/>
  <c r="AB30" i="203"/>
  <c r="AD30" i="203"/>
  <c r="AI32" i="195"/>
  <c r="AK32" i="195"/>
  <c r="AE32" i="195"/>
  <c r="AH32" i="195"/>
  <c r="AB32" i="195"/>
  <c r="AJ32" i="195"/>
  <c r="AC32" i="195"/>
  <c r="AD32" i="195"/>
  <c r="AG32" i="195"/>
  <c r="AF32" i="195"/>
  <c r="AG32" i="204"/>
  <c r="AJ32" i="204"/>
  <c r="AH32" i="204"/>
  <c r="AB32" i="204"/>
  <c r="AE32" i="204"/>
  <c r="AC32" i="204"/>
  <c r="AF32" i="204"/>
  <c r="AI32" i="204"/>
  <c r="AK32" i="204"/>
  <c r="AD32" i="204"/>
  <c r="AJ32" i="207"/>
  <c r="AK32" i="207"/>
  <c r="AH32" i="207"/>
  <c r="AI32" i="207"/>
  <c r="AC32" i="207"/>
  <c r="AB32" i="207"/>
  <c r="AG32" i="207"/>
  <c r="AD32" i="207"/>
  <c r="AE32" i="207"/>
  <c r="AF32" i="207"/>
  <c r="AC32" i="208"/>
  <c r="AB32" i="208"/>
  <c r="AK32" i="208"/>
  <c r="AE32" i="208"/>
  <c r="AF32" i="208"/>
  <c r="AD32" i="208"/>
  <c r="AI32" i="208"/>
  <c r="AG32" i="208"/>
  <c r="AH32" i="208"/>
  <c r="AJ32" i="208"/>
  <c r="AH32" i="210"/>
  <c r="AI32" i="210"/>
  <c r="AD32" i="210"/>
  <c r="AJ32" i="210"/>
  <c r="AG32" i="210"/>
  <c r="AB32" i="210"/>
  <c r="AE32" i="210"/>
  <c r="AC32" i="210"/>
  <c r="AK32" i="210"/>
  <c r="AF32" i="210"/>
  <c r="AH32" i="201"/>
  <c r="AC32" i="201"/>
  <c r="AF32" i="201"/>
  <c r="AJ32" i="201"/>
  <c r="AE32" i="201"/>
  <c r="AI32" i="201"/>
  <c r="AG32" i="201"/>
  <c r="AB32" i="201"/>
  <c r="AK32" i="201"/>
  <c r="AD32" i="201"/>
  <c r="AG16" i="200"/>
  <c r="AB16" i="200"/>
  <c r="AH16" i="200"/>
  <c r="AF16" i="200"/>
  <c r="AC16" i="200"/>
  <c r="AI16" i="200"/>
  <c r="AJ16" i="200"/>
  <c r="AD16" i="200"/>
  <c r="AE16" i="200"/>
  <c r="AK16" i="200"/>
  <c r="AB16" i="210"/>
  <c r="AH16" i="210"/>
  <c r="AG16" i="210"/>
  <c r="AI16" i="210"/>
  <c r="AC16" i="210"/>
  <c r="AF16" i="210"/>
  <c r="AJ16" i="210"/>
  <c r="AD16" i="210"/>
  <c r="AE16" i="210"/>
  <c r="AK16" i="210"/>
  <c r="AJ16" i="207"/>
  <c r="AH16" i="207"/>
  <c r="AD16" i="207"/>
  <c r="AE16" i="207"/>
  <c r="AB16" i="207"/>
  <c r="AF16" i="207"/>
  <c r="AC16" i="207"/>
  <c r="AK16" i="207"/>
  <c r="AI16" i="207"/>
  <c r="AG16" i="207"/>
  <c r="AB16" i="37"/>
  <c r="AF16" i="37"/>
  <c r="AE16" i="37"/>
  <c r="AJ16" i="37"/>
  <c r="AC16" i="37"/>
  <c r="AH16" i="37"/>
  <c r="AG16" i="37"/>
  <c r="AI16" i="37"/>
  <c r="AD16" i="37"/>
  <c r="AK16" i="37"/>
  <c r="AG16" i="198"/>
  <c r="AF16" i="198"/>
  <c r="AB16" i="198"/>
  <c r="AD16" i="198"/>
  <c r="AE16" i="198"/>
  <c r="AC16" i="198"/>
  <c r="AI16" i="198"/>
  <c r="AK16" i="198"/>
  <c r="AJ16" i="198"/>
  <c r="AH16" i="198"/>
  <c r="AH16" i="213"/>
  <c r="AD16" i="213"/>
  <c r="AE16" i="213"/>
  <c r="AJ16" i="213"/>
  <c r="AC16" i="213"/>
  <c r="AB16" i="213"/>
  <c r="AG16" i="213"/>
  <c r="AI16" i="213"/>
  <c r="AF16" i="213"/>
  <c r="AK16" i="213"/>
  <c r="AK16" i="212"/>
  <c r="AH16" i="212"/>
  <c r="AC16" i="212"/>
  <c r="AB16" i="212"/>
  <c r="AF16" i="212"/>
  <c r="AE16" i="212"/>
  <c r="AG16" i="212"/>
  <c r="AD16" i="212"/>
  <c r="AI16" i="212"/>
  <c r="AJ16" i="212"/>
  <c r="AB33" i="196"/>
  <c r="AC33" i="196"/>
  <c r="AJ33" i="196"/>
  <c r="AK33" i="196"/>
  <c r="AI33" i="196"/>
  <c r="AG33" i="196"/>
  <c r="AH33" i="196"/>
  <c r="AF33" i="196"/>
  <c r="AD33" i="196"/>
  <c r="AE33" i="196"/>
  <c r="AB33" i="203"/>
  <c r="AF33" i="203"/>
  <c r="AH33" i="203"/>
  <c r="AE33" i="203"/>
  <c r="AD33" i="203"/>
  <c r="AK33" i="203"/>
  <c r="AG33" i="203"/>
  <c r="AJ33" i="203"/>
  <c r="AC33" i="203"/>
  <c r="AI33" i="203"/>
  <c r="AD33" i="213"/>
  <c r="AC33" i="213"/>
  <c r="AJ33" i="213"/>
  <c r="AG33" i="213"/>
  <c r="AF33" i="213"/>
  <c r="AB33" i="213"/>
  <c r="AK33" i="213"/>
  <c r="AI33" i="213"/>
  <c r="AE33" i="213"/>
  <c r="AH33" i="213"/>
  <c r="AC33" i="206"/>
  <c r="AD33" i="206"/>
  <c r="AF33" i="206"/>
  <c r="AE33" i="206"/>
  <c r="AH33" i="206"/>
  <c r="AK33" i="206"/>
  <c r="AG33" i="206"/>
  <c r="AB33" i="206"/>
  <c r="AJ33" i="206"/>
  <c r="AI33" i="206"/>
  <c r="AE33" i="37"/>
  <c r="AJ33" i="37"/>
  <c r="AK33" i="37"/>
  <c r="AB33" i="37"/>
  <c r="AI33" i="37"/>
  <c r="AD33" i="37"/>
  <c r="AC33" i="37"/>
  <c r="AG33" i="37"/>
  <c r="AH33" i="37"/>
  <c r="AF33" i="37"/>
  <c r="AG33" i="198"/>
  <c r="AI33" i="198"/>
  <c r="AH33" i="198"/>
  <c r="AB33" i="198"/>
  <c r="AE33" i="198"/>
  <c r="AC33" i="198"/>
  <c r="AJ33" i="198"/>
  <c r="AK33" i="198"/>
  <c r="AF33" i="198"/>
  <c r="AD33" i="198"/>
  <c r="AE31" i="206"/>
  <c r="AG31" i="206"/>
  <c r="AF31" i="206"/>
  <c r="AI31" i="206"/>
  <c r="AC31" i="206"/>
  <c r="AB31" i="206"/>
  <c r="AH31" i="206"/>
  <c r="AD31" i="206"/>
  <c r="AK31" i="206"/>
  <c r="AJ31" i="206"/>
  <c r="AH31" i="207"/>
  <c r="AE31" i="207"/>
  <c r="AK31" i="207"/>
  <c r="AF31" i="207"/>
  <c r="AB31" i="207"/>
  <c r="AC31" i="207"/>
  <c r="AJ31" i="207"/>
  <c r="AG31" i="207"/>
  <c r="AI31" i="207"/>
  <c r="AD31" i="207"/>
  <c r="AH31" i="196"/>
  <c r="AD31" i="196"/>
  <c r="AI31" i="196"/>
  <c r="AG31" i="196"/>
  <c r="AB31" i="196"/>
  <c r="AC31" i="196"/>
  <c r="AF31" i="196"/>
  <c r="AJ31" i="196"/>
  <c r="AE31" i="196"/>
  <c r="AK31" i="196"/>
  <c r="AI31" i="203"/>
  <c r="AG31" i="203"/>
  <c r="AK31" i="203"/>
  <c r="AD31" i="203"/>
  <c r="AC31" i="203"/>
  <c r="AE31" i="203"/>
  <c r="AJ31" i="203"/>
  <c r="AB31" i="203"/>
  <c r="AH31" i="203"/>
  <c r="AF31" i="203"/>
  <c r="AI31" i="191"/>
  <c r="AB31" i="191"/>
  <c r="AE31" i="191"/>
  <c r="AG31" i="191"/>
  <c r="AK31" i="191"/>
  <c r="AH31" i="191"/>
  <c r="AD31" i="191"/>
  <c r="AJ31" i="191"/>
  <c r="AC31" i="191"/>
  <c r="AF31" i="191"/>
  <c r="AE31" i="204"/>
  <c r="AG31" i="204"/>
  <c r="AJ31" i="204"/>
  <c r="AK31" i="204"/>
  <c r="AB31" i="204"/>
  <c r="AH31" i="204"/>
  <c r="AI31" i="204"/>
  <c r="AC31" i="204"/>
  <c r="AD31" i="204"/>
  <c r="AF31" i="204"/>
  <c r="AC34" i="207"/>
  <c r="AG34" i="207"/>
  <c r="AJ34" i="207"/>
  <c r="AK34" i="207"/>
  <c r="AF34" i="207"/>
  <c r="AE34" i="207"/>
  <c r="AB34" i="207"/>
  <c r="AD34" i="207"/>
  <c r="AI34" i="207"/>
  <c r="AH34" i="207"/>
  <c r="AF34" i="211"/>
  <c r="AB34" i="211"/>
  <c r="AC34" i="211"/>
  <c r="AG34" i="211"/>
  <c r="AJ34" i="211"/>
  <c r="AE34" i="211"/>
  <c r="AI34" i="211"/>
  <c r="AH34" i="211"/>
  <c r="AD34" i="211"/>
  <c r="AK34" i="211"/>
  <c r="AF34" i="203"/>
  <c r="AI34" i="203"/>
  <c r="AB34" i="203"/>
  <c r="AJ34" i="203"/>
  <c r="AE34" i="203"/>
  <c r="AC34" i="203"/>
  <c r="AK34" i="203"/>
  <c r="AH34" i="203"/>
  <c r="AD34" i="203"/>
  <c r="AG34" i="203"/>
  <c r="AH34" i="191"/>
  <c r="AK34" i="191"/>
  <c r="AE34" i="191"/>
  <c r="AF34" i="191"/>
  <c r="AB34" i="191"/>
  <c r="AC34" i="191"/>
  <c r="AI34" i="191"/>
  <c r="AJ34" i="191"/>
  <c r="AG34" i="191"/>
  <c r="AD34" i="191"/>
  <c r="AE34" i="213"/>
  <c r="AK34" i="213"/>
  <c r="AD34" i="213"/>
  <c r="AH34" i="213"/>
  <c r="AG34" i="213"/>
  <c r="AC34" i="213"/>
  <c r="AI34" i="213"/>
  <c r="AB34" i="213"/>
  <c r="AJ34" i="213"/>
  <c r="AF34" i="213"/>
  <c r="AH34" i="192"/>
  <c r="AB34" i="192"/>
  <c r="AF34" i="192"/>
  <c r="AI34" i="192"/>
  <c r="AJ34" i="192"/>
  <c r="AC34" i="192"/>
  <c r="AE34" i="192"/>
  <c r="AD34" i="192"/>
  <c r="AG34" i="192"/>
  <c r="AK34" i="192"/>
  <c r="AG10" i="37"/>
  <c r="AI10" i="37"/>
  <c r="AF10" i="37"/>
  <c r="AE10" i="37"/>
  <c r="AB10" i="37"/>
  <c r="AK10" i="37"/>
  <c r="AD10" i="37"/>
  <c r="AJ10" i="37"/>
  <c r="AH10" i="37"/>
  <c r="AC10" i="37"/>
  <c r="AE10" i="212"/>
  <c r="AK10" i="212"/>
  <c r="AD10" i="212"/>
  <c r="AH10" i="212"/>
  <c r="AC10" i="212"/>
  <c r="AB10" i="212"/>
  <c r="AJ10" i="212"/>
  <c r="AG10" i="212"/>
  <c r="AF10" i="212"/>
  <c r="AI10" i="212"/>
  <c r="AK10" i="202"/>
  <c r="AF10" i="202"/>
  <c r="AE10" i="202"/>
  <c r="AJ10" i="202"/>
  <c r="AG10" i="202"/>
  <c r="AD10" i="202"/>
  <c r="AH10" i="202"/>
  <c r="AI10" i="202"/>
  <c r="AC10" i="202"/>
  <c r="AB10" i="202"/>
  <c r="AG10" i="206"/>
  <c r="AF10" i="206"/>
  <c r="AE10" i="206"/>
  <c r="AH10" i="206"/>
  <c r="AK10" i="206"/>
  <c r="AB10" i="206"/>
  <c r="AJ10" i="206"/>
  <c r="AI10" i="206"/>
  <c r="AD10" i="206"/>
  <c r="AC10" i="206"/>
  <c r="AJ10" i="213"/>
  <c r="AG10" i="213"/>
  <c r="AK10" i="213"/>
  <c r="AF10" i="213"/>
  <c r="AI10" i="213"/>
  <c r="AD10" i="213"/>
  <c r="AC10" i="213"/>
  <c r="AE10" i="213"/>
  <c r="AB10" i="213"/>
  <c r="AH10" i="213"/>
  <c r="AG10" i="209"/>
  <c r="AB10" i="209"/>
  <c r="AI10" i="209"/>
  <c r="AE10" i="209"/>
  <c r="AC10" i="209"/>
  <c r="AJ10" i="209"/>
  <c r="AF10" i="209"/>
  <c r="AK10" i="209"/>
  <c r="AD10" i="209"/>
  <c r="AH10" i="209"/>
  <c r="AE10" i="207"/>
  <c r="AJ10" i="207"/>
  <c r="AH10" i="207"/>
  <c r="AG10" i="207"/>
  <c r="AK10" i="207"/>
  <c r="AC10" i="207"/>
  <c r="AI10" i="207"/>
  <c r="AF10" i="207"/>
  <c r="AB10" i="207"/>
  <c r="AD10" i="207"/>
  <c r="AF25" i="202"/>
  <c r="AK25" i="202"/>
  <c r="AC25" i="202"/>
  <c r="AB25" i="202"/>
  <c r="AD25" i="202"/>
  <c r="AE25" i="202"/>
  <c r="AG25" i="202"/>
  <c r="AJ25" i="202"/>
  <c r="AI25" i="202"/>
  <c r="AH25" i="202"/>
  <c r="AB25" i="200"/>
  <c r="AG25" i="200"/>
  <c r="AH25" i="200"/>
  <c r="AJ25" i="200"/>
  <c r="AD25" i="200"/>
  <c r="AK25" i="200"/>
  <c r="AE25" i="200"/>
  <c r="AF25" i="200"/>
  <c r="AC25" i="200"/>
  <c r="AI25" i="200"/>
  <c r="AC25" i="196"/>
  <c r="AG25" i="196"/>
  <c r="AE25" i="196"/>
  <c r="AF25" i="196"/>
  <c r="AB25" i="196"/>
  <c r="AJ25" i="196"/>
  <c r="AD25" i="196"/>
  <c r="AK25" i="196"/>
  <c r="AI25" i="196"/>
  <c r="AH25" i="196"/>
  <c r="AC25" i="199"/>
  <c r="AE25" i="199"/>
  <c r="AB25" i="199"/>
  <c r="AG25" i="199"/>
  <c r="AJ25" i="199"/>
  <c r="AI25" i="199"/>
  <c r="AD25" i="199"/>
  <c r="AK25" i="199"/>
  <c r="AF25" i="199"/>
  <c r="AH25" i="199"/>
  <c r="AG25" i="210"/>
  <c r="AC25" i="210"/>
  <c r="AH25" i="210"/>
  <c r="AK25" i="210"/>
  <c r="AD25" i="210"/>
  <c r="AE25" i="210"/>
  <c r="AI25" i="210"/>
  <c r="AJ25" i="210"/>
  <c r="AF25" i="210"/>
  <c r="AB25" i="210"/>
  <c r="AJ25" i="206"/>
  <c r="AG25" i="206"/>
  <c r="AI25" i="206"/>
  <c r="AK25" i="206"/>
  <c r="AB25" i="206"/>
  <c r="AE25" i="206"/>
  <c r="AH25" i="206"/>
  <c r="AD25" i="206"/>
  <c r="AC25" i="206"/>
  <c r="AF25" i="206"/>
  <c r="AI35" i="206"/>
  <c r="AC35" i="206"/>
  <c r="AF35" i="206"/>
  <c r="AE35" i="206"/>
  <c r="AG35" i="206"/>
  <c r="AJ35" i="206"/>
  <c r="AD35" i="206"/>
  <c r="AB35" i="206"/>
  <c r="AK35" i="206"/>
  <c r="AH35" i="206"/>
  <c r="AC35" i="37"/>
  <c r="AI35" i="37"/>
  <c r="AB35" i="37"/>
  <c r="AH35" i="37"/>
  <c r="AJ35" i="37"/>
  <c r="AG35" i="37"/>
  <c r="AE35" i="37"/>
  <c r="AD35" i="37"/>
  <c r="AK35" i="37"/>
  <c r="AF35" i="37"/>
  <c r="AB35" i="197"/>
  <c r="AC35" i="197"/>
  <c r="AG35" i="197"/>
  <c r="AI35" i="197"/>
  <c r="AJ35" i="197"/>
  <c r="AD35" i="197"/>
  <c r="AH35" i="197"/>
  <c r="AK35" i="197"/>
  <c r="AF35" i="197"/>
  <c r="AE35" i="197"/>
  <c r="AB35" i="213"/>
  <c r="AH35" i="213"/>
  <c r="AI35" i="213"/>
  <c r="AK35" i="213"/>
  <c r="AG35" i="213"/>
  <c r="AD35" i="213"/>
  <c r="AE35" i="213"/>
  <c r="AJ35" i="213"/>
  <c r="AC35" i="213"/>
  <c r="AF35" i="213"/>
  <c r="AH35" i="210"/>
  <c r="AK35" i="210"/>
  <c r="AC35" i="210"/>
  <c r="AG35" i="210"/>
  <c r="AF35" i="210"/>
  <c r="AE35" i="210"/>
  <c r="AJ35" i="210"/>
  <c r="AB35" i="210"/>
  <c r="AD35" i="210"/>
  <c r="AI35" i="210"/>
  <c r="AI35" i="193"/>
  <c r="AJ35" i="193"/>
  <c r="AD35" i="193"/>
  <c r="AE35" i="193"/>
  <c r="AH35" i="193"/>
  <c r="AK35" i="193"/>
  <c r="AC35" i="193"/>
  <c r="AF35" i="193"/>
  <c r="AB35" i="193"/>
  <c r="AG35" i="193"/>
  <c r="AF2" i="195"/>
  <c r="AJ2" i="195"/>
  <c r="AB2" i="195"/>
  <c r="AI2" i="195"/>
  <c r="AE2" i="195"/>
  <c r="AH2" i="195"/>
  <c r="AC2" i="195"/>
  <c r="AG2" i="195"/>
  <c r="AK2" i="195"/>
  <c r="AD2" i="195"/>
  <c r="AE2" i="208"/>
  <c r="AJ2" i="208"/>
  <c r="AH2" i="208"/>
  <c r="AD2" i="208"/>
  <c r="AC2" i="208"/>
  <c r="AG2" i="208"/>
  <c r="AB2" i="208"/>
  <c r="AK2" i="208"/>
  <c r="AI2" i="208"/>
  <c r="AF2" i="208"/>
  <c r="AG2" i="201"/>
  <c r="AI2" i="201"/>
  <c r="AC2" i="201"/>
  <c r="AJ2" i="201"/>
  <c r="AF2" i="201"/>
  <c r="AK2" i="201"/>
  <c r="AH2" i="201"/>
  <c r="AD2" i="201"/>
  <c r="AB2" i="201"/>
  <c r="AE2" i="201"/>
  <c r="AD2" i="193"/>
  <c r="AJ2" i="193"/>
  <c r="AB2" i="193"/>
  <c r="AE2" i="193"/>
  <c r="AC2" i="193"/>
  <c r="AI2" i="193"/>
  <c r="AG2" i="193"/>
  <c r="AK2" i="193"/>
  <c r="AH2" i="193"/>
  <c r="AF2" i="193"/>
  <c r="AG2" i="202"/>
  <c r="AK2" i="202"/>
  <c r="AE2" i="202"/>
  <c r="AC2" i="202"/>
  <c r="AH2" i="202"/>
  <c r="AI2" i="202"/>
  <c r="AD2" i="202"/>
  <c r="AB2" i="202"/>
  <c r="AJ2" i="202"/>
  <c r="AF2" i="202"/>
  <c r="AJ2" i="198"/>
  <c r="AH2" i="198"/>
  <c r="AE2" i="198"/>
  <c r="AF2" i="198"/>
  <c r="AB2" i="198"/>
  <c r="AK2" i="198"/>
  <c r="AD2" i="198"/>
  <c r="AC2" i="198"/>
  <c r="AG2" i="198"/>
  <c r="AI2" i="198"/>
  <c r="AB24" i="212"/>
  <c r="AK24" i="212"/>
  <c r="AC24" i="212"/>
  <c r="AI24" i="212"/>
  <c r="AE24" i="212"/>
  <c r="AJ24" i="212"/>
  <c r="AH24" i="212"/>
  <c r="AG24" i="212"/>
  <c r="AF24" i="212"/>
  <c r="AD24" i="212"/>
  <c r="AE24" i="37"/>
  <c r="AJ24" i="37"/>
  <c r="AB24" i="37"/>
  <c r="AF24" i="37"/>
  <c r="AK24" i="37"/>
  <c r="AC24" i="37"/>
  <c r="AH24" i="37"/>
  <c r="AG24" i="37"/>
  <c r="AI24" i="37"/>
  <c r="AD24" i="37"/>
  <c r="AG24" i="199"/>
  <c r="AF24" i="199"/>
  <c r="AC24" i="199"/>
  <c r="AD24" i="199"/>
  <c r="AJ24" i="199"/>
  <c r="AE24" i="199"/>
  <c r="AH24" i="199"/>
  <c r="AI24" i="199"/>
  <c r="AB24" i="199"/>
  <c r="AK24" i="199"/>
  <c r="AI24" i="192"/>
  <c r="AH24" i="192"/>
  <c r="AG24" i="192"/>
  <c r="AE24" i="192"/>
  <c r="AF24" i="192"/>
  <c r="AB24" i="192"/>
  <c r="AC24" i="192"/>
  <c r="AD24" i="192"/>
  <c r="AK24" i="192"/>
  <c r="AJ24" i="192"/>
  <c r="AD24" i="206"/>
  <c r="AE24" i="206"/>
  <c r="AJ24" i="206"/>
  <c r="AI24" i="206"/>
  <c r="AB24" i="206"/>
  <c r="AG24" i="206"/>
  <c r="AC24" i="206"/>
  <c r="AK24" i="206"/>
  <c r="AF24" i="206"/>
  <c r="AH24" i="206"/>
  <c r="AG24" i="200"/>
  <c r="AE24" i="200"/>
  <c r="AH24" i="200"/>
  <c r="AF24" i="200"/>
  <c r="AC24" i="200"/>
  <c r="AD24" i="200"/>
  <c r="AK24" i="200"/>
  <c r="AJ24" i="200"/>
  <c r="AB24" i="200"/>
  <c r="AI24" i="200"/>
  <c r="AJ24" i="214"/>
  <c r="AD24" i="214"/>
  <c r="AB24" i="214"/>
  <c r="AF24" i="214"/>
  <c r="AG24" i="214"/>
  <c r="AI24" i="214"/>
  <c r="AE24" i="214"/>
  <c r="AK24" i="214"/>
  <c r="AH24" i="214"/>
  <c r="AC24" i="214"/>
  <c r="AM12" i="209" l="1"/>
  <c r="AM21" i="207"/>
  <c r="AM12" i="202"/>
  <c r="AM8" i="212"/>
  <c r="AM24" i="201"/>
  <c r="AM10" i="200"/>
  <c r="AM12" i="192"/>
  <c r="AM36" i="193"/>
  <c r="AM15" i="203"/>
  <c r="AM15" i="207"/>
  <c r="AM15" i="212"/>
  <c r="AM22" i="197"/>
  <c r="AM22" i="202"/>
  <c r="AM5" i="198"/>
  <c r="AM7" i="205"/>
  <c r="AM32" i="194"/>
  <c r="AM25" i="210"/>
  <c r="AM34" i="213"/>
  <c r="AM32" i="201"/>
  <c r="AM11" i="211"/>
  <c r="AM29" i="195"/>
  <c r="AM21" i="37"/>
  <c r="AM27" i="192"/>
  <c r="AM27" i="203"/>
  <c r="AM36" i="199"/>
  <c r="AM36" i="202"/>
  <c r="AM36" i="37"/>
  <c r="AM20" i="212"/>
  <c r="AM20" i="211"/>
  <c r="AM37" i="213"/>
  <c r="AM7" i="214"/>
  <c r="AM7" i="194"/>
  <c r="AM9" i="213"/>
  <c r="AM9" i="200"/>
  <c r="AM10" i="206"/>
  <c r="AM10" i="212"/>
  <c r="AM34" i="211"/>
  <c r="AM32" i="204"/>
  <c r="AM26" i="202"/>
  <c r="AM26" i="214"/>
  <c r="AM11" i="206"/>
  <c r="AM3" i="214"/>
  <c r="AM7" i="209"/>
  <c r="AM7" i="195"/>
  <c r="AM14" i="203"/>
  <c r="AM8" i="199"/>
  <c r="AM8" i="208"/>
  <c r="AM19" i="199"/>
  <c r="AM2" i="199"/>
  <c r="AM35" i="199"/>
  <c r="AM25" i="198"/>
  <c r="AM34" i="195"/>
  <c r="AM34" i="194"/>
  <c r="AM16" i="194"/>
  <c r="AM32" i="199"/>
  <c r="AM30" i="195"/>
  <c r="AM23" i="194"/>
  <c r="AM26" i="206"/>
  <c r="AM11" i="197"/>
  <c r="AM29" i="208"/>
  <c r="AM21" i="197"/>
  <c r="AM12" i="205"/>
  <c r="AM12" i="208"/>
  <c r="AM15" i="199"/>
  <c r="AM20" i="37"/>
  <c r="AM7" i="203"/>
  <c r="AM22" i="195"/>
  <c r="AM9" i="206"/>
  <c r="AM5" i="207"/>
  <c r="AM6" i="206"/>
  <c r="AM2" i="197"/>
  <c r="AM10" i="197"/>
  <c r="AM34" i="205"/>
  <c r="AM28" i="201"/>
  <c r="AM11" i="201"/>
  <c r="AM21" i="193"/>
  <c r="AM27" i="191"/>
  <c r="AM20" i="208"/>
  <c r="AM37" i="193"/>
  <c r="AM13" i="208"/>
  <c r="AM7" i="202"/>
  <c r="AM14" i="194"/>
  <c r="AM4" i="211"/>
  <c r="AM24" i="208"/>
  <c r="AM35" i="200"/>
  <c r="AM31" i="197"/>
  <c r="AM30" i="209"/>
  <c r="AM30" i="197"/>
  <c r="AM28" i="208"/>
  <c r="AM29" i="210"/>
  <c r="AM27" i="202"/>
  <c r="AM12" i="214"/>
  <c r="AM37" i="200"/>
  <c r="AM14" i="202"/>
  <c r="AM22" i="207"/>
  <c r="AM17" i="192"/>
  <c r="AM6" i="197"/>
  <c r="AM19" i="214"/>
  <c r="AM19" i="211"/>
  <c r="AM17" i="195"/>
  <c r="AM5" i="199"/>
  <c r="AM6" i="37"/>
  <c r="AM6" i="212"/>
  <c r="AM24" i="197"/>
  <c r="AM25" i="204"/>
  <c r="AM34" i="212"/>
  <c r="AM11" i="207"/>
  <c r="AM29" i="212"/>
  <c r="AM27" i="200"/>
  <c r="AM37" i="192"/>
  <c r="AM13" i="211"/>
  <c r="AM13" i="213"/>
  <c r="AM14" i="213"/>
  <c r="AM9" i="195"/>
  <c r="AM17" i="200"/>
  <c r="AM17" i="213"/>
  <c r="AM6" i="208"/>
  <c r="AM19" i="208"/>
  <c r="AM19" i="209"/>
  <c r="AM19" i="207"/>
  <c r="AM35" i="214"/>
  <c r="AM25" i="193"/>
  <c r="AM25" i="214"/>
  <c r="AM32" i="200"/>
  <c r="AM30" i="206"/>
  <c r="AM23" i="205"/>
  <c r="AM26" i="193"/>
  <c r="AM29" i="191"/>
  <c r="AM18" i="214"/>
  <c r="AM21" i="200"/>
  <c r="AM27" i="212"/>
  <c r="AM36" i="195"/>
  <c r="AM14" i="191"/>
  <c r="AM4" i="195"/>
  <c r="AM9" i="210"/>
  <c r="AM17" i="194"/>
  <c r="AM2" i="207"/>
  <c r="AM35" i="196"/>
  <c r="AM25" i="37"/>
  <c r="AM10" i="191"/>
  <c r="AM34" i="210"/>
  <c r="AM33" i="194"/>
  <c r="AM30" i="193"/>
  <c r="AM23" i="207"/>
  <c r="AM26" i="205"/>
  <c r="AM26" i="201"/>
  <c r="AM26" i="194"/>
  <c r="AM29" i="196"/>
  <c r="AM18" i="195"/>
  <c r="AM12" i="197"/>
  <c r="AM20" i="198"/>
  <c r="AM7" i="206"/>
  <c r="AM14" i="195"/>
  <c r="AM14" i="205"/>
  <c r="AM4" i="202"/>
  <c r="AM9" i="211"/>
  <c r="AM9" i="192"/>
  <c r="AM5" i="195"/>
  <c r="AM5" i="191"/>
  <c r="AM19" i="204"/>
  <c r="AM32" i="210"/>
  <c r="AM34" i="192"/>
  <c r="AM33" i="37"/>
  <c r="AM16" i="200"/>
  <c r="AM11" i="195"/>
  <c r="AM21" i="196"/>
  <c r="AM22" i="191"/>
  <c r="AM5" i="200"/>
  <c r="AM35" i="195"/>
  <c r="AM10" i="204"/>
  <c r="AM31" i="193"/>
  <c r="AM32" i="209"/>
  <c r="AM27" i="207"/>
  <c r="AM15" i="210"/>
  <c r="AM13" i="209"/>
  <c r="AM4" i="210"/>
  <c r="AM35" i="203"/>
  <c r="AM30" i="198"/>
  <c r="AM23" i="202"/>
  <c r="AM26" i="210"/>
  <c r="AM28" i="196"/>
  <c r="AM18" i="206"/>
  <c r="AM37" i="194"/>
  <c r="AM22" i="192"/>
  <c r="AM4" i="208"/>
  <c r="AM9" i="205"/>
  <c r="AM35" i="201"/>
  <c r="AM25" i="191"/>
  <c r="AM10" i="196"/>
  <c r="AM34" i="201"/>
  <c r="AM34" i="200"/>
  <c r="AM31" i="202"/>
  <c r="AM23" i="191"/>
  <c r="AM26" i="198"/>
  <c r="AM11" i="199"/>
  <c r="AM18" i="202"/>
  <c r="AM36" i="210"/>
  <c r="AM37" i="206"/>
  <c r="AM7" i="196"/>
  <c r="AM8" i="214"/>
  <c r="AM24" i="206"/>
  <c r="AM24" i="199"/>
  <c r="AM24" i="37"/>
  <c r="AM24" i="212"/>
  <c r="AM2" i="193"/>
  <c r="AM2" i="201"/>
  <c r="AM2" i="208"/>
  <c r="AM35" i="197"/>
  <c r="AM35" i="37"/>
  <c r="AM25" i="199"/>
  <c r="AM25" i="196"/>
  <c r="AM34" i="191"/>
  <c r="AM34" i="203"/>
  <c r="AM34" i="207"/>
  <c r="AM31" i="204"/>
  <c r="AM31" i="207"/>
  <c r="AM33" i="203"/>
  <c r="AM16" i="207"/>
  <c r="AM32" i="195"/>
  <c r="AM23" i="208"/>
  <c r="AM23" i="195"/>
  <c r="AM23" i="198"/>
  <c r="AM28" i="197"/>
  <c r="AM28" i="37"/>
  <c r="AM29" i="201"/>
  <c r="AM29" i="200"/>
  <c r="AM18" i="197"/>
  <c r="AM21" i="210"/>
  <c r="AM27" i="209"/>
  <c r="AM27" i="204"/>
  <c r="AM12" i="201"/>
  <c r="AM15" i="204"/>
  <c r="AM20" i="210"/>
  <c r="AM20" i="201"/>
  <c r="AM3" i="193"/>
  <c r="AM3" i="197"/>
  <c r="AM3" i="203"/>
  <c r="AM37" i="214"/>
  <c r="AM37" i="201"/>
  <c r="AM13" i="205"/>
  <c r="AM13" i="212"/>
  <c r="AM13" i="204"/>
  <c r="AM7" i="207"/>
  <c r="AM7" i="198"/>
  <c r="AM14" i="214"/>
  <c r="AM14" i="197"/>
  <c r="AM8" i="198"/>
  <c r="AM22" i="199"/>
  <c r="AM4" i="203"/>
  <c r="AM4" i="207"/>
  <c r="AM4" i="194"/>
  <c r="AM9" i="209"/>
  <c r="AM17" i="207"/>
  <c r="AM5" i="197"/>
  <c r="AM5" i="203"/>
  <c r="AM6" i="203"/>
  <c r="AM6" i="202"/>
  <c r="AM24" i="211"/>
  <c r="AM24" i="209"/>
  <c r="AM35" i="204"/>
  <c r="AM10" i="199"/>
  <c r="AM10" i="203"/>
  <c r="AM34" i="37"/>
  <c r="AM34" i="214"/>
  <c r="AM31" i="214"/>
  <c r="AM33" i="202"/>
  <c r="AM33" i="199"/>
  <c r="AM16" i="196"/>
  <c r="AM16" i="214"/>
  <c r="AM32" i="202"/>
  <c r="AM32" i="205"/>
  <c r="AM30" i="212"/>
  <c r="AM23" i="199"/>
  <c r="AM23" i="211"/>
  <c r="AM28" i="205"/>
  <c r="AM28" i="195"/>
  <c r="AM29" i="198"/>
  <c r="AM29" i="194"/>
  <c r="AM18" i="37"/>
  <c r="AM18" i="196"/>
  <c r="AM18" i="201"/>
  <c r="AM21" i="195"/>
  <c r="AM21" i="201"/>
  <c r="AM27" i="195"/>
  <c r="AM12" i="211"/>
  <c r="AM12" i="195"/>
  <c r="AM36" i="196"/>
  <c r="AM36" i="209"/>
  <c r="AM36" i="192"/>
  <c r="AM15" i="196"/>
  <c r="AM15" i="37"/>
  <c r="AM15" i="191"/>
  <c r="AM20" i="197"/>
  <c r="AM13" i="210"/>
  <c r="AM7" i="204"/>
  <c r="AM7" i="193"/>
  <c r="AM14" i="37"/>
  <c r="AM8" i="200"/>
  <c r="AM22" i="200"/>
  <c r="AM4" i="205"/>
  <c r="AM17" i="193"/>
  <c r="AM17" i="199"/>
  <c r="AM5" i="37"/>
  <c r="AM5" i="194"/>
  <c r="AM5" i="202"/>
  <c r="AM5" i="192"/>
  <c r="AM6" i="191"/>
  <c r="AM19" i="201"/>
  <c r="AM24" i="193"/>
  <c r="AM35" i="198"/>
  <c r="AM10" i="198"/>
  <c r="AM34" i="209"/>
  <c r="AM34" i="196"/>
  <c r="AM31" i="205"/>
  <c r="AM16" i="206"/>
  <c r="AM16" i="205"/>
  <c r="AM16" i="197"/>
  <c r="AM16" i="202"/>
  <c r="AM16" i="201"/>
  <c r="AM23" i="214"/>
  <c r="AM28" i="191"/>
  <c r="AM28" i="203"/>
  <c r="AM28" i="214"/>
  <c r="AM11" i="208"/>
  <c r="AM11" i="204"/>
  <c r="AM18" i="213"/>
  <c r="AM18" i="210"/>
  <c r="AM18" i="212"/>
  <c r="AM27" i="213"/>
  <c r="AM27" i="198"/>
  <c r="AM12" i="212"/>
  <c r="AM12" i="207"/>
  <c r="AM36" i="203"/>
  <c r="AM15" i="202"/>
  <c r="AM15" i="206"/>
  <c r="AM15" i="193"/>
  <c r="AM20" i="214"/>
  <c r="AM20" i="206"/>
  <c r="AM3" i="212"/>
  <c r="AM3" i="194"/>
  <c r="AM3" i="200"/>
  <c r="AM3" i="199"/>
  <c r="AM13" i="194"/>
  <c r="AM13" i="197"/>
  <c r="AM7" i="213"/>
  <c r="AM7" i="201"/>
  <c r="AM7" i="191"/>
  <c r="AM14" i="201"/>
  <c r="AM14" i="196"/>
  <c r="AM8" i="193"/>
  <c r="AM8" i="210"/>
  <c r="AM8" i="37"/>
  <c r="AM8" i="207"/>
  <c r="AM22" i="211"/>
  <c r="AM4" i="198"/>
  <c r="AM9" i="208"/>
  <c r="AM9" i="207"/>
  <c r="AM17" i="202"/>
  <c r="AM17" i="196"/>
  <c r="AM5" i="210"/>
  <c r="AM6" i="201"/>
  <c r="AM6" i="194"/>
  <c r="AM6" i="214"/>
  <c r="AM6" i="207"/>
  <c r="AM19" i="210"/>
  <c r="AM19" i="196"/>
  <c r="AM24" i="202"/>
  <c r="AM24" i="191"/>
  <c r="AM24" i="205"/>
  <c r="AM2" i="206"/>
  <c r="AM2" i="209"/>
  <c r="AM2" i="194"/>
  <c r="AM35" i="205"/>
  <c r="AM25" i="213"/>
  <c r="AM25" i="211"/>
  <c r="AM25" i="194"/>
  <c r="AM34" i="206"/>
  <c r="AM31" i="211"/>
  <c r="AM33" i="195"/>
  <c r="AM32" i="192"/>
  <c r="AM32" i="214"/>
  <c r="AM30" i="201"/>
  <c r="AM26" i="195"/>
  <c r="AM26" i="196"/>
  <c r="AM28" i="206"/>
  <c r="AM29" i="211"/>
  <c r="AM29" i="37"/>
  <c r="AM21" i="208"/>
  <c r="AM27" i="201"/>
  <c r="AM27" i="37"/>
  <c r="AM12" i="200"/>
  <c r="AM36" i="200"/>
  <c r="AM36" i="201"/>
  <c r="AM36" i="205"/>
  <c r="AM36" i="198"/>
  <c r="AM15" i="213"/>
  <c r="AM15" i="192"/>
  <c r="AM20" i="202"/>
  <c r="AM3" i="202"/>
  <c r="AM3" i="211"/>
  <c r="AM3" i="210"/>
  <c r="AM3" i="205"/>
  <c r="AM37" i="210"/>
  <c r="AM13" i="203"/>
  <c r="AM7" i="208"/>
  <c r="AM14" i="209"/>
  <c r="AM8" i="204"/>
  <c r="AM22" i="206"/>
  <c r="AM22" i="198"/>
  <c r="AM22" i="204"/>
  <c r="AM22" i="212"/>
  <c r="AM4" i="214"/>
  <c r="AM4" i="197"/>
  <c r="AM9" i="201"/>
  <c r="AM17" i="210"/>
  <c r="AM17" i="201"/>
  <c r="AM5" i="204"/>
  <c r="AM6" i="204"/>
  <c r="AM19" i="37"/>
  <c r="AM10" i="209"/>
  <c r="AM32" i="207"/>
  <c r="AM17" i="198"/>
  <c r="AM6" i="199"/>
  <c r="AM6" i="205"/>
  <c r="AM25" i="195"/>
  <c r="AM16" i="193"/>
  <c r="AM18" i="211"/>
  <c r="AM37" i="202"/>
  <c r="AM7" i="199"/>
  <c r="AM4" i="209"/>
  <c r="AM31" i="200"/>
  <c r="AM33" i="201"/>
  <c r="AM30" i="200"/>
  <c r="AM18" i="200"/>
  <c r="AM12" i="213"/>
  <c r="AM37" i="205"/>
  <c r="AM14" i="206"/>
  <c r="AM14" i="198"/>
  <c r="AM22" i="214"/>
  <c r="AM19" i="205"/>
  <c r="AM34" i="208"/>
  <c r="AM31" i="195"/>
  <c r="AM16" i="204"/>
  <c r="AM23" i="213"/>
  <c r="AM28" i="200"/>
  <c r="AM11" i="37"/>
  <c r="AM18" i="193"/>
  <c r="AM9" i="197"/>
  <c r="AM17" i="211"/>
  <c r="AM5" i="208"/>
  <c r="AM24" i="192"/>
  <c r="AM2" i="202"/>
  <c r="AM35" i="210"/>
  <c r="AM35" i="206"/>
  <c r="AM25" i="202"/>
  <c r="AM10" i="202"/>
  <c r="AM31" i="191"/>
  <c r="AM31" i="203"/>
  <c r="AM31" i="206"/>
  <c r="AM33" i="198"/>
  <c r="AM33" i="206"/>
  <c r="AM33" i="213"/>
  <c r="AM16" i="212"/>
  <c r="AM16" i="213"/>
  <c r="AM32" i="208"/>
  <c r="AM30" i="210"/>
  <c r="AM30" i="205"/>
  <c r="AM23" i="209"/>
  <c r="AM23" i="193"/>
  <c r="AM26" i="37"/>
  <c r="AM26" i="207"/>
  <c r="AM26" i="192"/>
  <c r="AM28" i="207"/>
  <c r="AM28" i="212"/>
  <c r="AM29" i="193"/>
  <c r="AM29" i="192"/>
  <c r="AM29" i="205"/>
  <c r="AM18" i="209"/>
  <c r="AM18" i="205"/>
  <c r="AM18" i="194"/>
  <c r="AM18" i="208"/>
  <c r="AM27" i="208"/>
  <c r="AM27" i="214"/>
  <c r="AM12" i="191"/>
  <c r="AM36" i="204"/>
  <c r="AM36" i="207"/>
  <c r="AM20" i="199"/>
  <c r="AM20" i="191"/>
  <c r="AM37" i="37"/>
  <c r="AM37" i="191"/>
  <c r="AM13" i="200"/>
  <c r="AM14" i="192"/>
  <c r="AM14" i="204"/>
  <c r="AM8" i="211"/>
  <c r="AM8" i="191"/>
  <c r="AM22" i="37"/>
  <c r="AM22" i="196"/>
  <c r="AM4" i="204"/>
  <c r="AM4" i="212"/>
  <c r="AM9" i="204"/>
  <c r="AM17" i="214"/>
  <c r="AM17" i="197"/>
  <c r="AM5" i="214"/>
  <c r="AM5" i="213"/>
  <c r="AM19" i="213"/>
  <c r="AM24" i="195"/>
  <c r="AM24" i="196"/>
  <c r="AM2" i="205"/>
  <c r="AM35" i="194"/>
  <c r="AM25" i="208"/>
  <c r="AM25" i="192"/>
  <c r="AM10" i="201"/>
  <c r="AM34" i="198"/>
  <c r="AM34" i="197"/>
  <c r="AM31" i="201"/>
  <c r="AM31" i="199"/>
  <c r="AM31" i="210"/>
  <c r="AM31" i="198"/>
  <c r="AM33" i="204"/>
  <c r="AM33" i="197"/>
  <c r="AM33" i="192"/>
  <c r="AM33" i="205"/>
  <c r="AM16" i="208"/>
  <c r="AM16" i="209"/>
  <c r="AM32" i="37"/>
  <c r="AM32" i="206"/>
  <c r="AM30" i="213"/>
  <c r="AM30" i="208"/>
  <c r="AM30" i="199"/>
  <c r="AM23" i="201"/>
  <c r="AM23" i="197"/>
  <c r="AM23" i="212"/>
  <c r="AM26" i="204"/>
  <c r="AM28" i="204"/>
  <c r="AM11" i="205"/>
  <c r="AM11" i="202"/>
  <c r="AM21" i="204"/>
  <c r="AM21" i="214"/>
  <c r="AM21" i="191"/>
  <c r="AM27" i="197"/>
  <c r="AM27" i="193"/>
  <c r="AM12" i="198"/>
  <c r="AM15" i="209"/>
  <c r="AM15" i="201"/>
  <c r="AM20" i="205"/>
  <c r="AM3" i="196"/>
  <c r="AM3" i="204"/>
  <c r="AM3" i="201"/>
  <c r="AM3" i="198"/>
  <c r="AM37" i="203"/>
  <c r="AM37" i="207"/>
  <c r="AM37" i="204"/>
  <c r="AM13" i="199"/>
  <c r="AM13" i="202"/>
  <c r="AM7" i="212"/>
  <c r="AM14" i="208"/>
  <c r="AM8" i="213"/>
  <c r="AM22" i="213"/>
  <c r="AM22" i="208"/>
  <c r="AM22" i="194"/>
  <c r="AM22" i="210"/>
  <c r="AM4" i="193"/>
  <c r="AM4" i="213"/>
  <c r="AM9" i="191"/>
  <c r="AM17" i="209"/>
  <c r="AM17" i="205"/>
  <c r="AM5" i="206"/>
  <c r="AM19" i="198"/>
  <c r="AM24" i="204"/>
  <c r="AM24" i="213"/>
  <c r="AM24" i="210"/>
  <c r="AM24" i="194"/>
  <c r="AM2" i="203"/>
  <c r="AM35" i="211"/>
  <c r="AM35" i="207"/>
  <c r="AM35" i="208"/>
  <c r="AM25" i="212"/>
  <c r="AM25" i="197"/>
  <c r="AM25" i="207"/>
  <c r="AM34" i="199"/>
  <c r="AM34" i="202"/>
  <c r="AM31" i="213"/>
  <c r="AM33" i="212"/>
  <c r="AM33" i="211"/>
  <c r="AM33" i="207"/>
  <c r="AM33" i="193"/>
  <c r="AM32" i="211"/>
  <c r="AM32" i="213"/>
  <c r="AM32" i="196"/>
  <c r="AM30" i="214"/>
  <c r="AM23" i="204"/>
  <c r="AM23" i="200"/>
  <c r="AM26" i="203"/>
  <c r="AM26" i="199"/>
  <c r="AM28" i="194"/>
  <c r="AM11" i="194"/>
  <c r="AM29" i="206"/>
  <c r="AM29" i="202"/>
  <c r="AM29" i="214"/>
  <c r="AM21" i="192"/>
  <c r="AM21" i="211"/>
  <c r="AM27" i="210"/>
  <c r="AM27" i="196"/>
  <c r="AM36" i="197"/>
  <c r="AM20" i="193"/>
  <c r="AM3" i="192"/>
  <c r="AM37" i="197"/>
  <c r="AM37" i="199"/>
  <c r="AM37" i="198"/>
  <c r="AM13" i="214"/>
  <c r="AM13" i="196"/>
  <c r="AM13" i="193"/>
  <c r="AM7" i="210"/>
  <c r="AM7" i="211"/>
  <c r="AM7" i="192"/>
  <c r="AM8" i="203"/>
  <c r="AM4" i="199"/>
  <c r="AM4" i="37"/>
  <c r="AM9" i="199"/>
  <c r="AM17" i="212"/>
  <c r="AM17" i="191"/>
  <c r="AM5" i="211"/>
  <c r="AM5" i="201"/>
  <c r="AM6" i="192"/>
  <c r="AM19" i="197"/>
  <c r="AM19" i="195"/>
  <c r="AM19" i="191"/>
  <c r="AM24" i="198"/>
  <c r="AM2" i="213"/>
  <c r="AM10" i="194"/>
  <c r="AM10" i="205"/>
  <c r="AM34" i="193"/>
  <c r="AM31" i="209"/>
  <c r="AM33" i="209"/>
  <c r="AM33" i="214"/>
  <c r="AM33" i="210"/>
  <c r="AM16" i="191"/>
  <c r="AM16" i="199"/>
  <c r="AM32" i="203"/>
  <c r="AM30" i="192"/>
  <c r="AM30" i="194"/>
  <c r="AM23" i="192"/>
  <c r="AM23" i="203"/>
  <c r="AM28" i="192"/>
  <c r="AM28" i="211"/>
  <c r="AM28" i="199"/>
  <c r="AM11" i="191"/>
  <c r="AM11" i="210"/>
  <c r="AM11" i="196"/>
  <c r="AM11" i="193"/>
  <c r="AM29" i="199"/>
  <c r="AM18" i="207"/>
  <c r="AM21" i="209"/>
  <c r="AM27" i="211"/>
  <c r="AM27" i="199"/>
  <c r="AM12" i="206"/>
  <c r="AM36" i="214"/>
  <c r="AM15" i="200"/>
  <c r="AM20" i="207"/>
  <c r="AM20" i="213"/>
  <c r="AM3" i="195"/>
  <c r="AM3" i="207"/>
  <c r="AM3" i="206"/>
  <c r="AM13" i="207"/>
  <c r="AM13" i="37"/>
  <c r="AM7" i="197"/>
  <c r="AM7" i="37"/>
  <c r="AM7" i="200"/>
  <c r="AM14" i="207"/>
  <c r="AM14" i="200"/>
  <c r="AM8" i="206"/>
  <c r="AM8" i="197"/>
  <c r="AM4" i="200"/>
  <c r="AM17" i="204"/>
  <c r="AM5" i="205"/>
  <c r="AM6" i="193"/>
  <c r="AM6" i="198"/>
  <c r="AM19" i="212"/>
  <c r="AM19" i="193"/>
  <c r="AM24" i="214"/>
  <c r="AM24" i="200"/>
  <c r="AM2" i="198"/>
  <c r="AM2" i="195"/>
  <c r="AM35" i="193"/>
  <c r="AM35" i="213"/>
  <c r="AM25" i="206"/>
  <c r="AM25" i="200"/>
  <c r="AM10" i="207"/>
  <c r="AM10" i="213"/>
  <c r="AM10" i="37"/>
  <c r="AM31" i="196"/>
  <c r="AM33" i="196"/>
  <c r="AM16" i="198"/>
  <c r="AM16" i="37"/>
  <c r="AM16" i="210"/>
  <c r="AM30" i="203"/>
  <c r="AM30" i="204"/>
  <c r="AM30" i="202"/>
  <c r="AM30" i="37"/>
  <c r="AM23" i="206"/>
  <c r="AM26" i="211"/>
  <c r="AM26" i="200"/>
  <c r="AM28" i="213"/>
  <c r="AM28" i="198"/>
  <c r="AM11" i="200"/>
  <c r="AM11" i="203"/>
  <c r="AM11" i="209"/>
  <c r="AM18" i="204"/>
  <c r="AM18" i="199"/>
  <c r="AM21" i="212"/>
  <c r="AM21" i="198"/>
  <c r="AM21" i="213"/>
  <c r="AM12" i="193"/>
  <c r="AM12" i="199"/>
  <c r="AM12" i="37"/>
  <c r="AM12" i="210"/>
  <c r="AM36" i="194"/>
  <c r="AM36" i="213"/>
  <c r="AM15" i="208"/>
  <c r="AM15" i="211"/>
  <c r="AM15" i="195"/>
  <c r="AM15" i="198"/>
  <c r="AM15" i="214"/>
  <c r="AM3" i="191"/>
  <c r="AM3" i="208"/>
  <c r="AM37" i="195"/>
  <c r="AM37" i="209"/>
  <c r="AM13" i="206"/>
  <c r="AM13" i="198"/>
  <c r="AM14" i="212"/>
  <c r="AM8" i="196"/>
  <c r="AM8" i="205"/>
  <c r="AM22" i="205"/>
  <c r="AM22" i="201"/>
  <c r="AM4" i="196"/>
  <c r="AM9" i="196"/>
  <c r="AM9" i="194"/>
  <c r="AM17" i="208"/>
  <c r="AM17" i="203"/>
  <c r="AM24" i="207"/>
  <c r="AM2" i="214"/>
  <c r="AM2" i="204"/>
  <c r="AM2" i="210"/>
  <c r="AM2" i="200"/>
  <c r="AM2" i="191"/>
  <c r="AM35" i="191"/>
  <c r="AM35" i="209"/>
  <c r="AM25" i="203"/>
  <c r="AM10" i="193"/>
  <c r="AM10" i="192"/>
  <c r="AM32" i="191"/>
  <c r="AM30" i="207"/>
  <c r="AM26" i="209"/>
  <c r="AM26" i="208"/>
  <c r="AM26" i="191"/>
  <c r="AM26" i="197"/>
  <c r="AM28" i="193"/>
  <c r="AM28" i="210"/>
  <c r="AM28" i="202"/>
  <c r="AM28" i="209"/>
  <c r="AM11" i="198"/>
  <c r="AM11" i="212"/>
  <c r="AM29" i="197"/>
  <c r="AM29" i="209"/>
  <c r="AM18" i="203"/>
  <c r="AM18" i="191"/>
  <c r="AM21" i="202"/>
  <c r="AM27" i="205"/>
  <c r="AM12" i="196"/>
  <c r="AM36" i="212"/>
  <c r="AM36" i="191"/>
  <c r="AM36" i="211"/>
  <c r="AM20" i="203"/>
  <c r="AM20" i="195"/>
  <c r="AM20" i="192"/>
  <c r="AM3" i="209"/>
  <c r="AM3" i="37"/>
  <c r="AM37" i="196"/>
  <c r="AM13" i="195"/>
  <c r="AM14" i="199"/>
  <c r="AM14" i="210"/>
  <c r="AM14" i="193"/>
  <c r="AM8" i="209"/>
  <c r="AM8" i="195"/>
  <c r="AM8" i="194"/>
  <c r="AM22" i="209"/>
  <c r="AM4" i="206"/>
  <c r="AM9" i="193"/>
  <c r="AM9" i="202"/>
  <c r="AM9" i="37"/>
  <c r="AM5" i="196"/>
  <c r="AM6" i="210"/>
  <c r="AM6" i="196"/>
  <c r="AM6" i="200"/>
  <c r="AM19" i="200"/>
  <c r="AM2" i="192"/>
  <c r="AM2" i="37"/>
  <c r="AM2" i="212"/>
  <c r="AM2" i="196"/>
  <c r="AM35" i="192"/>
  <c r="AM25" i="205"/>
  <c r="AM10" i="208"/>
  <c r="AM10" i="214"/>
  <c r="AM10" i="211"/>
  <c r="AM34" i="204"/>
  <c r="AM31" i="208"/>
  <c r="AM31" i="192"/>
  <c r="AM31" i="194"/>
  <c r="AM31" i="212"/>
  <c r="AM33" i="191"/>
  <c r="AM16" i="192"/>
  <c r="AM32" i="198"/>
  <c r="AM30" i="196"/>
  <c r="AM30" i="191"/>
  <c r="AM30" i="211"/>
  <c r="AM23" i="196"/>
  <c r="AM26" i="212"/>
  <c r="AM26" i="213"/>
  <c r="AM11" i="214"/>
  <c r="AM11" i="192"/>
  <c r="AM11" i="213"/>
  <c r="AM29" i="204"/>
  <c r="AM29" i="207"/>
  <c r="AM21" i="199"/>
  <c r="AM21" i="206"/>
  <c r="AM27" i="206"/>
  <c r="AM12" i="203"/>
  <c r="AM12" i="194"/>
  <c r="AM36" i="208"/>
  <c r="AM36" i="206"/>
  <c r="AM20" i="209"/>
  <c r="AM20" i="194"/>
  <c r="AM20" i="204"/>
  <c r="AM3" i="213"/>
  <c r="AM8" i="201"/>
  <c r="AM22" i="203"/>
  <c r="AM4" i="191"/>
  <c r="AM9" i="203"/>
  <c r="AM17" i="37"/>
  <c r="AM5" i="209"/>
  <c r="AM5" i="212"/>
  <c r="AM6" i="195"/>
  <c r="AM6" i="209"/>
  <c r="AM19" i="206"/>
  <c r="AM19" i="203"/>
  <c r="AM24" i="203"/>
  <c r="AM2" i="211"/>
  <c r="AM35" i="202"/>
  <c r="AM35" i="212"/>
  <c r="AM25" i="201"/>
  <c r="AM25" i="209"/>
  <c r="AM10" i="210"/>
  <c r="AM10" i="195"/>
  <c r="AM31" i="37"/>
  <c r="AM33" i="208"/>
  <c r="AM33" i="200"/>
  <c r="AM16" i="211"/>
  <c r="AM16" i="203"/>
  <c r="AM16" i="195"/>
  <c r="AM32" i="197"/>
  <c r="AM32" i="212"/>
  <c r="AM32" i="193"/>
  <c r="AM23" i="37"/>
  <c r="AM23" i="210"/>
  <c r="AM29" i="203"/>
  <c r="AM29" i="213"/>
  <c r="AM18" i="192"/>
  <c r="AM18" i="198"/>
  <c r="AM21" i="203"/>
  <c r="AM21" i="205"/>
  <c r="AM21" i="194"/>
  <c r="AM27" i="194"/>
  <c r="AM12" i="204"/>
  <c r="AM15" i="197"/>
  <c r="AM15" i="205"/>
  <c r="AM15" i="194"/>
  <c r="AM20" i="196"/>
  <c r="AM20" i="200"/>
  <c r="AM37" i="211"/>
  <c r="AM37" i="208"/>
  <c r="AM37" i="212"/>
  <c r="AM13" i="191"/>
  <c r="AM13" i="192"/>
  <c r="AM13" i="201"/>
  <c r="AM14" i="211"/>
  <c r="AM8" i="202"/>
  <c r="AM8" i="192"/>
  <c r="AM22" i="193"/>
  <c r="AM4" i="192"/>
  <c r="AM4" i="201"/>
  <c r="AM9" i="198"/>
  <c r="AM9" i="214"/>
  <c r="AM9" i="212"/>
  <c r="AM17" i="206"/>
  <c r="AM5" i="193"/>
  <c r="AM6" i="211"/>
  <c r="AM6" i="213"/>
  <c r="AM19" i="202"/>
  <c r="AM19" i="194"/>
  <c r="AM19" i="192"/>
  <c r="AA12" i="73"/>
  <c r="Y21" i="73"/>
  <c r="T12" i="73"/>
  <c r="AD8" i="73"/>
  <c r="K36" i="73"/>
  <c r="S24" i="73"/>
  <c r="U15" i="73"/>
  <c r="R10" i="73"/>
  <c r="Y15" i="73"/>
  <c r="J12" i="73"/>
  <c r="AD15" i="73"/>
  <c r="O22" i="73"/>
  <c r="T22" i="73"/>
  <c r="P5" i="73"/>
  <c r="W7" i="73"/>
  <c r="L32" i="73"/>
  <c r="AB25" i="73"/>
  <c r="M29" i="73"/>
  <c r="Q36" i="73"/>
  <c r="AC20" i="73"/>
  <c r="AE9" i="73"/>
  <c r="AD20" i="73"/>
  <c r="AE34" i="73"/>
  <c r="H21" i="73"/>
  <c r="T36" i="73"/>
  <c r="AE37" i="73"/>
  <c r="R9" i="73"/>
  <c r="AC11" i="73"/>
  <c r="S32" i="73"/>
  <c r="J27" i="73"/>
  <c r="H36" i="73"/>
  <c r="AF7" i="73"/>
  <c r="U27" i="73"/>
  <c r="L7" i="73"/>
  <c r="X10" i="73"/>
  <c r="T26" i="73"/>
  <c r="AA7" i="73"/>
  <c r="Z8" i="73"/>
  <c r="P25" i="73"/>
  <c r="Q32" i="73"/>
  <c r="O11" i="73"/>
  <c r="Z12" i="73"/>
  <c r="M22" i="73"/>
  <c r="O2" i="73"/>
  <c r="S11" i="73"/>
  <c r="K37" i="73"/>
  <c r="AC4" i="73"/>
  <c r="AA30" i="73"/>
  <c r="T27" i="73"/>
  <c r="Y22" i="73"/>
  <c r="AC19" i="73"/>
  <c r="AD10" i="73"/>
  <c r="AF26" i="73"/>
  <c r="M7" i="73"/>
  <c r="Q19" i="73"/>
  <c r="M34" i="73"/>
  <c r="M30" i="73"/>
  <c r="Z29" i="73"/>
  <c r="Q15" i="73"/>
  <c r="X9" i="73"/>
  <c r="O10" i="73"/>
  <c r="K21" i="73"/>
  <c r="Z13" i="73"/>
  <c r="Z24" i="73"/>
  <c r="O30" i="73"/>
  <c r="AF12" i="73"/>
  <c r="J17" i="73"/>
  <c r="AC34" i="73"/>
  <c r="X11" i="73"/>
  <c r="U14" i="73"/>
  <c r="Q2" i="73"/>
  <c r="L34" i="73"/>
  <c r="L23" i="73"/>
  <c r="O21" i="73"/>
  <c r="H20" i="73"/>
  <c r="Y5" i="73"/>
  <c r="W34" i="73"/>
  <c r="I27" i="73"/>
  <c r="T7" i="73"/>
  <c r="R35" i="73"/>
  <c r="Z28" i="73"/>
  <c r="R37" i="73"/>
  <c r="O6" i="73"/>
  <c r="V32" i="73"/>
  <c r="AF3" i="73"/>
  <c r="Q8" i="73"/>
  <c r="Q35" i="73"/>
  <c r="L16" i="73"/>
  <c r="X26" i="73"/>
  <c r="W12" i="73"/>
  <c r="U7" i="73"/>
  <c r="X6" i="73"/>
  <c r="S28" i="73"/>
  <c r="Z20" i="73"/>
  <c r="L14" i="73"/>
  <c r="O31" i="73"/>
  <c r="AB29" i="73"/>
  <c r="T14" i="73"/>
  <c r="AF19" i="73"/>
  <c r="M17" i="73"/>
  <c r="O24" i="73"/>
  <c r="AD29" i="73"/>
  <c r="AE13" i="73"/>
  <c r="AE17" i="73"/>
  <c r="Y19" i="73"/>
  <c r="R32" i="73"/>
  <c r="I29" i="73"/>
  <c r="M36" i="73"/>
  <c r="L17" i="73"/>
  <c r="I10" i="73"/>
  <c r="Y23" i="73"/>
  <c r="N29" i="73"/>
  <c r="X7" i="73"/>
  <c r="AC9" i="73"/>
  <c r="V19" i="73"/>
  <c r="Q5" i="73"/>
  <c r="V25" i="73"/>
  <c r="R27" i="73"/>
  <c r="AE14" i="73"/>
  <c r="Z6" i="73"/>
  <c r="AF35" i="73"/>
  <c r="X30" i="73"/>
  <c r="AF18" i="73"/>
  <c r="I14" i="73"/>
  <c r="Y2" i="73"/>
  <c r="AB34" i="73"/>
  <c r="W26" i="73"/>
  <c r="M18" i="73"/>
  <c r="M14" i="73"/>
  <c r="J9" i="73"/>
  <c r="AB32" i="73"/>
  <c r="H6" i="73"/>
  <c r="AD34" i="73"/>
  <c r="J37" i="73"/>
  <c r="M9" i="73"/>
  <c r="Z19" i="73"/>
  <c r="K25" i="73"/>
  <c r="W23" i="73"/>
  <c r="R21" i="73"/>
  <c r="M4" i="73"/>
  <c r="N35" i="73"/>
  <c r="L33" i="73"/>
  <c r="S26" i="73"/>
  <c r="O12" i="73"/>
  <c r="W14" i="73"/>
  <c r="M5" i="73"/>
  <c r="AD6" i="73"/>
  <c r="Y11" i="73"/>
  <c r="AC13" i="73"/>
  <c r="R17" i="73"/>
  <c r="AA19" i="73"/>
  <c r="AF25" i="73"/>
  <c r="K26" i="73"/>
  <c r="AD27" i="73"/>
  <c r="AB9" i="73"/>
  <c r="H25" i="73"/>
  <c r="K30" i="73"/>
  <c r="L26" i="73"/>
  <c r="P20" i="73"/>
  <c r="T4" i="73"/>
  <c r="I5" i="73"/>
  <c r="H33" i="73"/>
  <c r="I22" i="73"/>
  <c r="K31" i="73"/>
  <c r="AA13" i="73"/>
  <c r="T23" i="73"/>
  <c r="L37" i="73"/>
  <c r="S35" i="73"/>
  <c r="R34" i="73"/>
  <c r="Q11" i="73"/>
  <c r="N7" i="73"/>
  <c r="H24" i="73"/>
  <c r="Z2" i="73"/>
  <c r="N25" i="73"/>
  <c r="V31" i="73"/>
  <c r="M32" i="73"/>
  <c r="O28" i="73"/>
  <c r="O18" i="73"/>
  <c r="S12" i="73"/>
  <c r="K3" i="73"/>
  <c r="S37" i="73"/>
  <c r="Y7" i="73"/>
  <c r="P8" i="73"/>
  <c r="L4" i="73"/>
  <c r="U5" i="73"/>
  <c r="AA24" i="73"/>
  <c r="H34" i="73"/>
  <c r="Q33" i="73"/>
  <c r="W32" i="73"/>
  <c r="W28" i="73"/>
  <c r="H18" i="73"/>
  <c r="S21" i="73"/>
  <c r="N36" i="73"/>
  <c r="H15" i="73"/>
  <c r="V7" i="73"/>
  <c r="R22" i="73"/>
  <c r="H5" i="73"/>
  <c r="I6" i="73"/>
  <c r="P10" i="73"/>
  <c r="X16" i="73"/>
  <c r="S16" i="73"/>
  <c r="AF28" i="73"/>
  <c r="AB18" i="73"/>
  <c r="AD12" i="73"/>
  <c r="X15" i="73"/>
  <c r="AD3" i="73"/>
  <c r="L13" i="73"/>
  <c r="I7" i="73"/>
  <c r="AB8" i="73"/>
  <c r="P4" i="73"/>
  <c r="N17" i="73"/>
  <c r="AF6" i="73"/>
  <c r="T24" i="73"/>
  <c r="AA2" i="73"/>
  <c r="AC25" i="73"/>
  <c r="M33" i="73"/>
  <c r="M26" i="73"/>
  <c r="H29" i="73"/>
  <c r="R12" i="73"/>
  <c r="P36" i="73"/>
  <c r="T3" i="73"/>
  <c r="AB37" i="73"/>
  <c r="V8" i="73"/>
  <c r="AD22" i="73"/>
  <c r="AB17" i="73"/>
  <c r="H19" i="73"/>
  <c r="Q6" i="73"/>
  <c r="AC18" i="73"/>
  <c r="R31" i="73"/>
  <c r="AE12" i="73"/>
  <c r="AF22" i="73"/>
  <c r="V16" i="73"/>
  <c r="K18" i="73"/>
  <c r="J24" i="73"/>
  <c r="T25" i="73"/>
  <c r="X31" i="73"/>
  <c r="AD16" i="73"/>
  <c r="W30" i="73"/>
  <c r="Y26" i="73"/>
  <c r="K29" i="73"/>
  <c r="W18" i="73"/>
  <c r="AF27" i="73"/>
  <c r="Q20" i="73"/>
  <c r="R13" i="73"/>
  <c r="I8" i="73"/>
  <c r="AD4" i="73"/>
  <c r="AF5" i="73"/>
  <c r="N24" i="73"/>
  <c r="J25" i="73"/>
  <c r="S31" i="73"/>
  <c r="V33" i="73"/>
  <c r="Z16" i="73"/>
  <c r="AE30" i="73"/>
  <c r="O23" i="73"/>
  <c r="W11" i="73"/>
  <c r="I21" i="73"/>
  <c r="AA15" i="73"/>
  <c r="V3" i="73"/>
  <c r="Y37" i="73"/>
  <c r="AD7" i="73"/>
  <c r="Z22" i="73"/>
  <c r="AE4" i="73"/>
  <c r="X5" i="73"/>
  <c r="AB24" i="73"/>
  <c r="Y35" i="73"/>
  <c r="Y25" i="73"/>
  <c r="AD33" i="73"/>
  <c r="AC32" i="73"/>
  <c r="V23" i="73"/>
  <c r="L28" i="73"/>
  <c r="AF29" i="73"/>
  <c r="N27" i="73"/>
  <c r="O37" i="73"/>
  <c r="N13" i="73"/>
  <c r="J7" i="73"/>
  <c r="Q9" i="73"/>
  <c r="S5" i="73"/>
  <c r="I19" i="73"/>
  <c r="W10" i="73"/>
  <c r="AF33" i="73"/>
  <c r="U32" i="73"/>
  <c r="U23" i="73"/>
  <c r="I11" i="73"/>
  <c r="Q29" i="73"/>
  <c r="Q27" i="73"/>
  <c r="Y20" i="73"/>
  <c r="X3" i="73"/>
  <c r="H7" i="73"/>
  <c r="X8" i="73"/>
  <c r="W5" i="73"/>
  <c r="K19" i="73"/>
  <c r="M2" i="73"/>
  <c r="R25" i="73"/>
  <c r="N31" i="73"/>
  <c r="AB16" i="73"/>
  <c r="H30" i="73"/>
  <c r="AE28" i="73"/>
  <c r="AA11" i="73"/>
  <c r="P21" i="73"/>
  <c r="H12" i="73"/>
  <c r="Z15" i="73"/>
  <c r="AF15" i="73"/>
  <c r="AA37" i="73"/>
  <c r="N8" i="73"/>
  <c r="N4" i="73"/>
  <c r="U17" i="73"/>
  <c r="AB2" i="73"/>
  <c r="AA35" i="73"/>
  <c r="I32" i="73"/>
  <c r="I26" i="73"/>
  <c r="T28" i="73"/>
  <c r="O29" i="73"/>
  <c r="T21" i="73"/>
  <c r="I36" i="73"/>
  <c r="J20" i="73"/>
  <c r="M13" i="73"/>
  <c r="AA8" i="73"/>
  <c r="X4" i="73"/>
  <c r="N5" i="73"/>
  <c r="R19" i="73"/>
  <c r="N2" i="73"/>
  <c r="AF10" i="73"/>
  <c r="J31" i="73"/>
  <c r="J16" i="73"/>
  <c r="AC30" i="73"/>
  <c r="AF11" i="73"/>
  <c r="Y29" i="73"/>
  <c r="U12" i="73"/>
  <c r="AA20" i="73"/>
  <c r="S8" i="73"/>
  <c r="H17" i="73"/>
  <c r="AA6" i="73"/>
  <c r="AC2" i="73"/>
  <c r="AA25" i="73"/>
  <c r="Z33" i="73"/>
  <c r="M16" i="73"/>
  <c r="H23" i="73"/>
  <c r="J18" i="73"/>
  <c r="L21" i="73"/>
  <c r="W15" i="73"/>
  <c r="AC37" i="73"/>
  <c r="J13" i="73"/>
  <c r="J8" i="73"/>
  <c r="P9" i="73"/>
  <c r="K5" i="73"/>
  <c r="L19" i="73"/>
  <c r="Z37" i="73"/>
  <c r="K22" i="73"/>
  <c r="AC6" i="73"/>
  <c r="J19" i="73"/>
  <c r="N21" i="73"/>
  <c r="AB15" i="73"/>
  <c r="X18" i="73"/>
  <c r="S34" i="73"/>
  <c r="Q24" i="73"/>
  <c r="S2" i="73"/>
  <c r="Y16" i="73"/>
  <c r="R29" i="73"/>
  <c r="AF37" i="73"/>
  <c r="Y4" i="73"/>
  <c r="AC24" i="73"/>
  <c r="AC23" i="73"/>
  <c r="M21" i="73"/>
  <c r="AB13" i="73"/>
  <c r="J5" i="73"/>
  <c r="T16" i="73"/>
  <c r="P27" i="73"/>
  <c r="X20" i="73"/>
  <c r="K8" i="73"/>
  <c r="L6" i="73"/>
  <c r="AC31" i="73"/>
  <c r="H27" i="73"/>
  <c r="T20" i="73"/>
  <c r="V22" i="73"/>
  <c r="P17" i="73"/>
  <c r="R18" i="73"/>
  <c r="H11" i="73"/>
  <c r="U31" i="73"/>
  <c r="H26" i="73"/>
  <c r="Z27" i="73"/>
  <c r="AC8" i="73"/>
  <c r="O17" i="73"/>
  <c r="O34" i="73"/>
  <c r="X32" i="73"/>
  <c r="AF21" i="73"/>
  <c r="N3" i="73"/>
  <c r="AE22" i="73"/>
  <c r="AE24" i="73"/>
  <c r="AE31" i="73"/>
  <c r="Q26" i="73"/>
  <c r="J3" i="73"/>
  <c r="AC7" i="73"/>
  <c r="M19" i="73"/>
  <c r="Q16" i="73"/>
  <c r="K11" i="73"/>
  <c r="Y3" i="73"/>
  <c r="V17" i="73"/>
  <c r="P2" i="73"/>
  <c r="H16" i="73"/>
  <c r="R26" i="73"/>
  <c r="Q12" i="73"/>
  <c r="M37" i="73"/>
  <c r="R16" i="73"/>
  <c r="R5" i="73"/>
  <c r="AA32" i="73"/>
  <c r="AB4" i="73"/>
  <c r="AB26" i="73"/>
  <c r="J22" i="73"/>
  <c r="I25" i="73"/>
  <c r="T31" i="73"/>
  <c r="T18" i="73"/>
  <c r="AF8" i="73"/>
  <c r="AD24" i="73"/>
  <c r="O35" i="73"/>
  <c r="I34" i="73"/>
  <c r="Y31" i="73"/>
  <c r="Z23" i="73"/>
  <c r="H28" i="73"/>
  <c r="AB21" i="73"/>
  <c r="V15" i="73"/>
  <c r="O3" i="73"/>
  <c r="W13" i="73"/>
  <c r="P7" i="73"/>
  <c r="Q22" i="73"/>
  <c r="AA9" i="73"/>
  <c r="U6" i="73"/>
  <c r="V35" i="73"/>
  <c r="AF34" i="73"/>
  <c r="N16" i="73"/>
  <c r="AD30" i="73"/>
  <c r="M28" i="73"/>
  <c r="N18" i="73"/>
  <c r="M27" i="73"/>
  <c r="AA36" i="73"/>
  <c r="I15" i="73"/>
  <c r="K7" i="73"/>
  <c r="W4" i="73"/>
  <c r="L5" i="73"/>
  <c r="S19" i="73"/>
  <c r="AA34" i="73"/>
  <c r="W16" i="73"/>
  <c r="AF23" i="73"/>
  <c r="Z11" i="73"/>
  <c r="AD18" i="73"/>
  <c r="Y12" i="73"/>
  <c r="K15" i="73"/>
  <c r="L3" i="73"/>
  <c r="O13" i="73"/>
  <c r="S14" i="73"/>
  <c r="H8" i="73"/>
  <c r="Z9" i="73"/>
  <c r="AB5" i="73"/>
  <c r="Y6" i="73"/>
  <c r="I24" i="73"/>
  <c r="L2" i="73"/>
  <c r="L25" i="73"/>
  <c r="J32" i="73"/>
  <c r="N26" i="73"/>
  <c r="Z21" i="73"/>
  <c r="R36" i="73"/>
  <c r="AE15" i="73"/>
  <c r="AC3" i="73"/>
  <c r="U13" i="73"/>
  <c r="X22" i="73"/>
  <c r="AF4" i="73"/>
  <c r="S17" i="73"/>
  <c r="AA10" i="73"/>
  <c r="W6" i="73"/>
  <c r="T37" i="73"/>
  <c r="S33" i="73"/>
  <c r="W37" i="73"/>
  <c r="W19" i="73"/>
  <c r="AE23" i="73"/>
  <c r="O9" i="73"/>
  <c r="T2" i="73"/>
  <c r="T10" i="73"/>
  <c r="P33" i="73"/>
  <c r="AE16" i="73"/>
  <c r="AA23" i="73"/>
  <c r="J26" i="73"/>
  <c r="J29" i="73"/>
  <c r="L18" i="73"/>
  <c r="I12" i="73"/>
  <c r="I20" i="73"/>
  <c r="J14" i="73"/>
  <c r="H22" i="73"/>
  <c r="V9" i="73"/>
  <c r="AE5" i="73"/>
  <c r="W2" i="73"/>
  <c r="S10" i="73"/>
  <c r="Q31" i="73"/>
  <c r="O33" i="73"/>
  <c r="AA16" i="73"/>
  <c r="Z30" i="73"/>
  <c r="AD23" i="73"/>
  <c r="T11" i="73"/>
  <c r="O27" i="73"/>
  <c r="S15" i="73"/>
  <c r="S3" i="73"/>
  <c r="V37" i="73"/>
  <c r="Z14" i="73"/>
  <c r="L22" i="73"/>
  <c r="I9" i="73"/>
  <c r="P19" i="73"/>
  <c r="L24" i="73"/>
  <c r="Z35" i="73"/>
  <c r="Q34" i="73"/>
  <c r="AC33" i="73"/>
  <c r="AE32" i="73"/>
  <c r="R23" i="73"/>
  <c r="L11" i="73"/>
  <c r="J21" i="73"/>
  <c r="O36" i="73"/>
  <c r="Q37" i="73"/>
  <c r="K13" i="73"/>
  <c r="U8" i="73"/>
  <c r="AD17" i="73"/>
  <c r="J6" i="73"/>
  <c r="P24" i="73"/>
  <c r="K34" i="73"/>
  <c r="AB33" i="73"/>
  <c r="J30" i="73"/>
  <c r="J28" i="73"/>
  <c r="AB11" i="73"/>
  <c r="Y18" i="73"/>
  <c r="X12" i="73"/>
  <c r="AE20" i="73"/>
  <c r="Y13" i="73"/>
  <c r="R7" i="73"/>
  <c r="O8" i="73"/>
  <c r="K6" i="73"/>
  <c r="AF24" i="73"/>
  <c r="K35" i="73"/>
  <c r="Y10" i="73"/>
  <c r="N33" i="73"/>
  <c r="U30" i="73"/>
  <c r="X23" i="73"/>
  <c r="P28" i="73"/>
  <c r="V18" i="73"/>
  <c r="AE21" i="73"/>
  <c r="AB12" i="73"/>
  <c r="AC15" i="73"/>
  <c r="I3" i="73"/>
  <c r="X13" i="73"/>
  <c r="W8" i="73"/>
  <c r="N9" i="73"/>
  <c r="Y24" i="73"/>
  <c r="R2" i="73"/>
  <c r="U25" i="73"/>
  <c r="Y30" i="73"/>
  <c r="O26" i="73"/>
  <c r="AA28" i="73"/>
  <c r="AA29" i="73"/>
  <c r="W27" i="73"/>
  <c r="AC36" i="73"/>
  <c r="AA3" i="73"/>
  <c r="Q14" i="73"/>
  <c r="M8" i="73"/>
  <c r="K9" i="73"/>
  <c r="AB6" i="73"/>
  <c r="J2" i="73"/>
  <c r="J35" i="73"/>
  <c r="AC10" i="73"/>
  <c r="L31" i="73"/>
  <c r="P32" i="73"/>
  <c r="N23" i="73"/>
  <c r="J11" i="73"/>
  <c r="Q21" i="73"/>
  <c r="L12" i="73"/>
  <c r="L20" i="73"/>
  <c r="U22" i="73"/>
  <c r="AA5" i="73"/>
  <c r="X19" i="73"/>
  <c r="T35" i="73"/>
  <c r="AB10" i="73"/>
  <c r="R33" i="73"/>
  <c r="O32" i="73"/>
  <c r="AB23" i="73"/>
  <c r="P18" i="73"/>
  <c r="L27" i="73"/>
  <c r="L15" i="73"/>
  <c r="S13" i="73"/>
  <c r="AF9" i="73"/>
  <c r="V10" i="73"/>
  <c r="V27" i="73"/>
  <c r="O14" i="73"/>
  <c r="U10" i="73"/>
  <c r="T32" i="73"/>
  <c r="M12" i="73"/>
  <c r="R8" i="73"/>
  <c r="P35" i="73"/>
  <c r="AE18" i="73"/>
  <c r="Q3" i="73"/>
  <c r="T17" i="73"/>
  <c r="X2" i="73"/>
  <c r="S30" i="73"/>
  <c r="W3" i="73"/>
  <c r="S9" i="73"/>
  <c r="K16" i="73"/>
  <c r="P14" i="73"/>
  <c r="Z5" i="73"/>
  <c r="AE33" i="73"/>
  <c r="AD28" i="73"/>
  <c r="I37" i="73"/>
  <c r="M24" i="73"/>
  <c r="W33" i="73"/>
  <c r="V28" i="73"/>
  <c r="U37" i="73"/>
  <c r="W17" i="73"/>
  <c r="O25" i="73"/>
  <c r="AF30" i="73"/>
  <c r="AB27" i="73"/>
  <c r="H4" i="73"/>
  <c r="L10" i="73"/>
  <c r="Q28" i="73"/>
  <c r="AC27" i="73"/>
  <c r="O7" i="73"/>
  <c r="X25" i="73"/>
  <c r="T30" i="73"/>
  <c r="AD21" i="73"/>
  <c r="P15" i="73"/>
  <c r="S22" i="73"/>
  <c r="V2" i="73"/>
  <c r="J10" i="73"/>
  <c r="Z26" i="73"/>
  <c r="AB28" i="73"/>
  <c r="AD11" i="73"/>
  <c r="I18" i="73"/>
  <c r="AD36" i="73"/>
  <c r="M20" i="73"/>
  <c r="N37" i="73"/>
  <c r="K14" i="73"/>
  <c r="AA22" i="73"/>
  <c r="H9" i="73"/>
  <c r="R6" i="73"/>
  <c r="AD2" i="73"/>
  <c r="Z10" i="73"/>
  <c r="Z31" i="73"/>
  <c r="I33" i="73"/>
  <c r="I30" i="73"/>
  <c r="AE26" i="73"/>
  <c r="X27" i="73"/>
  <c r="X36" i="73"/>
  <c r="U9" i="73"/>
  <c r="M6" i="73"/>
  <c r="S25" i="73"/>
  <c r="U16" i="73"/>
  <c r="AE29" i="73"/>
  <c r="O15" i="73"/>
  <c r="I13" i="73"/>
  <c r="S4" i="73"/>
  <c r="T19" i="73"/>
  <c r="M11" i="73"/>
  <c r="M35" i="73"/>
  <c r="Y27" i="73"/>
  <c r="U35" i="73"/>
  <c r="N28" i="73"/>
  <c r="Z4" i="73"/>
  <c r="N10" i="73"/>
  <c r="I23" i="73"/>
  <c r="AB36" i="73"/>
  <c r="X24" i="73"/>
  <c r="K2" i="73"/>
  <c r="H35" i="73"/>
  <c r="U34" i="73"/>
  <c r="U33" i="73"/>
  <c r="M23" i="73"/>
  <c r="S29" i="73"/>
  <c r="AA27" i="73"/>
  <c r="AB20" i="73"/>
  <c r="U3" i="73"/>
  <c r="AD13" i="73"/>
  <c r="AF14" i="73"/>
  <c r="U4" i="73"/>
  <c r="Y17" i="73"/>
  <c r="T6" i="73"/>
  <c r="Q10" i="73"/>
  <c r="AF31" i="73"/>
  <c r="AF16" i="73"/>
  <c r="Q23" i="73"/>
  <c r="P29" i="73"/>
  <c r="S18" i="73"/>
  <c r="AC12" i="73"/>
  <c r="J36" i="73"/>
  <c r="O20" i="73"/>
  <c r="H14" i="73"/>
  <c r="K17" i="73"/>
  <c r="T5" i="73"/>
  <c r="K24" i="73"/>
  <c r="N34" i="73"/>
  <c r="O16" i="73"/>
  <c r="I28" i="73"/>
  <c r="V11" i="73"/>
  <c r="AE27" i="73"/>
  <c r="U36" i="73"/>
  <c r="AF20" i="73"/>
  <c r="R3" i="73"/>
  <c r="AE7" i="73"/>
  <c r="N14" i="73"/>
  <c r="Y8" i="73"/>
  <c r="Y9" i="73"/>
  <c r="S6" i="73"/>
  <c r="AB19" i="73"/>
  <c r="W24" i="73"/>
  <c r="W35" i="73"/>
  <c r="X34" i="73"/>
  <c r="AF32" i="73"/>
  <c r="X28" i="73"/>
  <c r="S27" i="73"/>
  <c r="S36" i="73"/>
  <c r="J15" i="73"/>
  <c r="AB3" i="73"/>
  <c r="Z7" i="73"/>
  <c r="P22" i="73"/>
  <c r="O4" i="73"/>
  <c r="V5" i="73"/>
  <c r="Y32" i="73"/>
  <c r="M25" i="73"/>
  <c r="Q7" i="73"/>
  <c r="R30" i="73"/>
  <c r="X14" i="73"/>
  <c r="Z34" i="73"/>
  <c r="R28" i="73"/>
  <c r="AC17" i="73"/>
  <c r="AB35" i="73"/>
  <c r="I31" i="73"/>
  <c r="X33" i="73"/>
  <c r="Z32" i="73"/>
  <c r="K23" i="73"/>
  <c r="Y28" i="73"/>
  <c r="W29" i="73"/>
  <c r="Z18" i="73"/>
  <c r="V36" i="73"/>
  <c r="H37" i="73"/>
  <c r="V14" i="73"/>
  <c r="N22" i="73"/>
  <c r="AF17" i="73"/>
  <c r="AE19" i="73"/>
  <c r="L35" i="73"/>
  <c r="P34" i="73"/>
  <c r="AB31" i="73"/>
  <c r="J33" i="73"/>
  <c r="H32" i="73"/>
  <c r="Q30" i="73"/>
  <c r="V26" i="73"/>
  <c r="V21" i="73"/>
  <c r="K27" i="73"/>
  <c r="W20" i="73"/>
  <c r="P3" i="73"/>
  <c r="Q13" i="73"/>
  <c r="AE8" i="73"/>
  <c r="AB22" i="73"/>
  <c r="AA17" i="73"/>
  <c r="V24" i="73"/>
  <c r="U2" i="73"/>
  <c r="AD25" i="73"/>
  <c r="T34" i="73"/>
  <c r="Y33" i="73"/>
  <c r="N32" i="73"/>
  <c r="U26" i="73"/>
  <c r="X29" i="73"/>
  <c r="AC21" i="73"/>
  <c r="K20" i="73"/>
  <c r="P37" i="73"/>
  <c r="AB7" i="73"/>
  <c r="Q4" i="73"/>
  <c r="I17" i="73"/>
  <c r="O19" i="73"/>
  <c r="AE2" i="73"/>
  <c r="AA31" i="73"/>
  <c r="I16" i="73"/>
  <c r="L30" i="73"/>
  <c r="AC28" i="73"/>
  <c r="N11" i="73"/>
  <c r="AA21" i="73"/>
  <c r="AF36" i="73"/>
  <c r="M3" i="73"/>
  <c r="H13" i="73"/>
  <c r="Y14" i="73"/>
  <c r="R4" i="73"/>
  <c r="P6" i="73"/>
  <c r="R24" i="73"/>
  <c r="AE35" i="73"/>
  <c r="AE10" i="73"/>
  <c r="P16" i="73"/>
  <c r="V30" i="73"/>
  <c r="AC26" i="73"/>
  <c r="R11" i="73"/>
  <c r="Q18" i="73"/>
  <c r="K12" i="73"/>
  <c r="L36" i="73"/>
  <c r="M15" i="73"/>
  <c r="Z3" i="73"/>
  <c r="P13" i="73"/>
  <c r="W22" i="73"/>
  <c r="L9" i="73"/>
  <c r="AF2" i="73"/>
  <c r="I2" i="73"/>
  <c r="K10" i="73"/>
  <c r="AA26" i="73"/>
  <c r="K28" i="73"/>
  <c r="P11" i="73"/>
  <c r="U18" i="73"/>
  <c r="N12" i="73"/>
  <c r="U20" i="73"/>
  <c r="H3" i="73"/>
  <c r="AB14" i="73"/>
  <c r="L8" i="73"/>
  <c r="T9" i="73"/>
  <c r="N6" i="73"/>
  <c r="H2" i="73"/>
  <c r="W25" i="73"/>
  <c r="V34" i="73"/>
  <c r="AD31" i="73"/>
  <c r="N30" i="73"/>
  <c r="AD26" i="73"/>
  <c r="AE11" i="73"/>
  <c r="X21" i="73"/>
  <c r="Z36" i="73"/>
  <c r="V20" i="73"/>
  <c r="I4" i="73"/>
  <c r="AD5" i="73"/>
  <c r="U19" i="73"/>
  <c r="AD35" i="73"/>
  <c r="M10" i="73"/>
  <c r="AC16" i="73"/>
  <c r="AD32" i="73"/>
  <c r="U29" i="73"/>
  <c r="U21" i="73"/>
  <c r="V12" i="73"/>
  <c r="N20" i="73"/>
  <c r="AD37" i="73"/>
  <c r="AC14" i="73"/>
  <c r="J4" i="73"/>
  <c r="AD9" i="73"/>
  <c r="AE6" i="73"/>
  <c r="J34" i="73"/>
  <c r="P30" i="73"/>
  <c r="W9" i="73"/>
  <c r="P26" i="73"/>
  <c r="X37" i="73"/>
  <c r="Q25" i="73"/>
  <c r="Y34" i="73"/>
  <c r="P23" i="73"/>
  <c r="S20" i="73"/>
  <c r="V13" i="73"/>
  <c r="O5" i="73"/>
  <c r="T33" i="73"/>
  <c r="L29" i="73"/>
  <c r="N15" i="73"/>
  <c r="Q17" i="73"/>
  <c r="W31" i="73"/>
  <c r="U28" i="73"/>
  <c r="T15" i="73"/>
  <c r="S7" i="73"/>
  <c r="AC22" i="73"/>
  <c r="N19" i="73"/>
  <c r="AE25" i="73"/>
  <c r="AC29" i="73"/>
  <c r="W36" i="73"/>
  <c r="AA14" i="73"/>
  <c r="V6" i="73"/>
  <c r="AA4" i="73"/>
  <c r="M31" i="73"/>
  <c r="X35" i="73"/>
  <c r="AB30" i="73"/>
  <c r="AA18" i="73"/>
  <c r="Y36" i="73"/>
  <c r="V4" i="73"/>
  <c r="Z25" i="73"/>
  <c r="P31" i="73"/>
  <c r="S23" i="73"/>
  <c r="P12" i="73"/>
  <c r="T13" i="73"/>
  <c r="K4" i="73"/>
  <c r="AC35" i="73"/>
  <c r="K33" i="73"/>
  <c r="T29" i="73"/>
  <c r="AF13" i="73"/>
  <c r="AC5" i="73"/>
  <c r="AA33" i="73"/>
  <c r="J23" i="73"/>
  <c r="R15" i="73"/>
  <c r="R14" i="73"/>
  <c r="AD19" i="73"/>
  <c r="H10" i="73"/>
  <c r="U11" i="73"/>
  <c r="AE36" i="73"/>
  <c r="AD14" i="73"/>
  <c r="Z17" i="73"/>
  <c r="I35" i="73"/>
  <c r="V29" i="73"/>
  <c r="AE3" i="73"/>
  <c r="U24" i="73"/>
  <c r="H31" i="73"/>
  <c r="K32" i="73"/>
  <c r="W21" i="73"/>
  <c r="R20" i="73"/>
  <c r="T8" i="73"/>
  <c r="X17" i="73"/>
  <c r="H40" i="73" l="1"/>
  <c r="I40" i="73"/>
  <c r="AF40" i="73"/>
  <c r="AE40" i="73"/>
  <c r="U40" i="73"/>
  <c r="K40" i="73"/>
  <c r="AD40" i="73"/>
  <c r="V40" i="73"/>
  <c r="X40" i="73"/>
  <c r="Q40" i="73"/>
  <c r="J40" i="73"/>
  <c r="R40" i="73"/>
  <c r="W40" i="73"/>
  <c r="T40" i="73"/>
  <c r="L40" i="73"/>
  <c r="O40" i="73"/>
  <c r="P40" i="73"/>
  <c r="Y40" i="73"/>
  <c r="S40" i="73"/>
  <c r="AC40" i="73"/>
  <c r="N40" i="73"/>
  <c r="AB40" i="73"/>
  <c r="M40" i="73"/>
  <c r="AA40" i="73"/>
  <c r="Z40" i="73"/>
</calcChain>
</file>

<file path=xl/sharedStrings.xml><?xml version="1.0" encoding="utf-8"?>
<sst xmlns="http://schemas.openxmlformats.org/spreadsheetml/2006/main" count="12593" uniqueCount="38">
  <si>
    <t>Montage</t>
  </si>
  <si>
    <t>Ligo</t>
  </si>
  <si>
    <t>Epigenomics</t>
  </si>
  <si>
    <t>Orthogonal Array</t>
    <phoneticPr fontId="1" type="noConversion"/>
  </si>
  <si>
    <t>Range(Delta)</t>
  </si>
  <si>
    <t>Level</t>
  </si>
  <si>
    <t>run</t>
    <phoneticPr fontId="1" type="noConversion"/>
  </si>
  <si>
    <t>ARV</t>
  </si>
  <si>
    <t>Sum</t>
    <phoneticPr fontId="1" type="noConversion"/>
  </si>
  <si>
    <t>Min</t>
    <phoneticPr fontId="1" type="noConversion"/>
  </si>
  <si>
    <t>ra</t>
    <phoneticPr fontId="1" type="noConversion"/>
  </si>
  <si>
    <t>average</t>
  </si>
  <si>
    <t>Min</t>
    <phoneticPr fontId="1" type="noConversion"/>
  </si>
  <si>
    <t>sum</t>
    <phoneticPr fontId="1" type="noConversion"/>
  </si>
  <si>
    <t>ty</t>
    <phoneticPr fontId="1" type="noConversion"/>
  </si>
  <si>
    <t>sz</t>
    <phoneticPr fontId="1" type="noConversion"/>
  </si>
  <si>
    <t>ε</t>
    <phoneticPr fontId="1" type="noConversion"/>
  </si>
  <si>
    <t>α</t>
    <phoneticPr fontId="1" type="noConversion"/>
  </si>
  <si>
    <t>Μ</t>
    <phoneticPr fontId="1" type="noConversion"/>
  </si>
  <si>
    <t>ρ</t>
    <phoneticPr fontId="1" type="noConversion"/>
  </si>
  <si>
    <r>
      <rPr>
        <i/>
        <sz val="12"/>
        <rFont val="Times New Roman"/>
        <family val="1"/>
      </rPr>
      <t>Р</t>
    </r>
    <r>
      <rPr>
        <vertAlign val="subscript"/>
        <sz val="12"/>
        <rFont val="Times New Roman"/>
        <family val="1"/>
      </rPr>
      <t>e</t>
    </r>
    <phoneticPr fontId="1" type="noConversion"/>
  </si>
  <si>
    <r>
      <rPr>
        <i/>
        <sz val="12"/>
        <rFont val="Times New Roman"/>
        <family val="1"/>
      </rPr>
      <t>P</t>
    </r>
    <r>
      <rPr>
        <vertAlign val="subscript"/>
        <sz val="12"/>
        <rFont val="Times New Roman"/>
        <family val="1"/>
      </rPr>
      <t>m</t>
    </r>
    <phoneticPr fontId="1" type="noConversion"/>
  </si>
  <si>
    <t>the scale factor</t>
    <phoneticPr fontId="1" type="noConversion"/>
  </si>
  <si>
    <t>the weight factor</t>
    <phoneticPr fontId="1" type="noConversion"/>
  </si>
  <si>
    <t>the biases rate</t>
    <phoneticPr fontId="1" type="noConversion"/>
  </si>
  <si>
    <t>the immigration rate</t>
    <phoneticPr fontId="1" type="noConversion"/>
  </si>
  <si>
    <t>the improvement rate</t>
    <phoneticPr fontId="1" type="noConversion"/>
  </si>
  <si>
    <t>CyberShake</t>
  </si>
  <si>
    <t>Sipht</t>
  </si>
  <si>
    <t>SUM</t>
  </si>
  <si>
    <t>SUM</t>
    <phoneticPr fontId="1" type="noConversion"/>
  </si>
  <si>
    <r>
      <rPr>
        <i/>
        <sz val="12"/>
        <rFont val="Times New Roman"/>
        <family val="1"/>
      </rPr>
      <t>Р</t>
    </r>
    <r>
      <rPr>
        <vertAlign val="subscript"/>
        <sz val="12"/>
        <rFont val="Times New Roman"/>
        <family val="1"/>
      </rPr>
      <t>b</t>
    </r>
    <phoneticPr fontId="1" type="noConversion"/>
  </si>
  <si>
    <r>
      <rPr>
        <i/>
        <sz val="12"/>
        <rFont val="Times New Roman"/>
        <family val="1"/>
      </rPr>
      <t>P</t>
    </r>
    <r>
      <rPr>
        <vertAlign val="subscript"/>
        <sz val="12"/>
        <rFont val="Times New Roman"/>
        <family val="1"/>
      </rPr>
      <t>i</t>
    </r>
    <phoneticPr fontId="1" type="noConversion"/>
  </si>
  <si>
    <t>α</t>
    <phoneticPr fontId="1" type="noConversion"/>
  </si>
  <si>
    <t>β</t>
    <phoneticPr fontId="1" type="noConversion"/>
  </si>
  <si>
    <t>C,E,L,M</t>
  </si>
  <si>
    <t>C,E,L,M</t>
    <phoneticPr fontId="1" type="noConversion"/>
  </si>
  <si>
    <t>the population size factor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</si>
</sst>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4" formatCode="_ &quot;¥&quot;* #,##0.00_ ;_ &quot;¥&quot;* \-#,##0.00_ ;_ &quot;¥&quot;* &quot;-&quot;??_ ;_ @_ "/>
    <numFmt numFmtId="176" formatCode="0.00000_ "/>
    <numFmt numFmtId="177" formatCode="0.0000000_ "/>
    <numFmt numFmtId="178" formatCode="0.0000000_);[Red]\(0.0000000\)"/>
    <numFmt numFmtId="179" formatCode="0.0_ "/>
    <numFmt numFmtId="180" formatCode="0.00_ "/>
    <numFmt numFmtId="181" formatCode="0.000_ "/>
    <numFmt numFmtId="182" formatCode="0.000000_ "/>
    <numFmt numFmtId="183" formatCode="0.00000000_ "/>
  </numFmts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theme="0"/>
      <name val="Times New Roman"/>
      <family val="1"/>
    </font>
    <font>
      <sz val="12"/>
      <name val="Times New Roman"/>
      <family val="1"/>
    </font>
    <font>
      <i/>
      <sz val="12"/>
      <color rgb="FFFF0000"/>
      <name val="Times New Roman"/>
      <family val="1"/>
    </font>
    <font>
      <i/>
      <sz val="14"/>
      <color rgb="FFFF0000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1"/>
      <color rgb="FF00B050"/>
      <name val="Times New Roman"/>
      <family val="1"/>
    </font>
    <font>
      <vertAlign val="subscript"/>
      <sz val="12"/>
      <name val="Times New Roman"/>
      <family val="1"/>
    </font>
    <font>
      <sz val="12"/>
      <color theme="0"/>
      <name val="Times New Roman"/>
      <family val="1"/>
    </font>
    <font>
      <sz val="12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NumberFormat="1"/>
    <xf numFmtId="49" fontId="0" fillId="0" borderId="0" xfId="0" applyNumberFormat="1"/>
    <xf numFmtId="0" fontId="2" fillId="0" borderId="0" xfId="0" applyFont="1"/>
    <xf numFmtId="178" fontId="2" fillId="0" borderId="0" xfId="0" applyNumberFormat="1" applyFont="1"/>
    <xf numFmtId="182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/>
    <xf numFmtId="177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7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2" fillId="0" borderId="1" xfId="0" applyNumberFormat="1" applyFont="1" applyBorder="1"/>
    <xf numFmtId="179" fontId="2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7" fontId="2" fillId="0" borderId="1" xfId="0" applyNumberFormat="1" applyFont="1" applyBorder="1"/>
    <xf numFmtId="0" fontId="9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4" fontId="11" fillId="2" borderId="1" xfId="0" applyNumberFormat="1" applyFont="1" applyFill="1" applyBorder="1" applyAlignment="1">
      <alignment horizontal="center" vertical="center"/>
    </xf>
    <xf numFmtId="44" fontId="12" fillId="0" borderId="1" xfId="0" applyNumberFormat="1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177" fontId="3" fillId="2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/>
    <xf numFmtId="0" fontId="2" fillId="2" borderId="1" xfId="0" applyFont="1" applyFill="1" applyBorder="1" applyAlignment="1"/>
    <xf numFmtId="178" fontId="2" fillId="2" borderId="1" xfId="0" applyNumberFormat="1" applyFont="1" applyFill="1" applyBorder="1"/>
    <xf numFmtId="177" fontId="6" fillId="2" borderId="1" xfId="0" applyNumberFormat="1" applyFont="1" applyFill="1" applyBorder="1" applyAlignment="1">
      <alignment horizontal="center" vertical="center"/>
    </xf>
    <xf numFmtId="180" fontId="1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/>
    <xf numFmtId="0" fontId="4" fillId="0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80" fontId="2" fillId="2" borderId="1" xfId="0" applyNumberFormat="1" applyFont="1" applyFill="1" applyBorder="1" applyAlignment="1">
      <alignment horizontal="center" vertical="center"/>
    </xf>
    <xf numFmtId="181" fontId="2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/>
    <xf numFmtId="0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  <xf numFmtId="0" fontId="0" fillId="0" borderId="1" xfId="0" applyBorder="1"/>
    <xf numFmtId="0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76" fontId="0" fillId="0" borderId="0" xfId="0" applyNumberFormat="1"/>
    <xf numFmtId="0" fontId="15" fillId="0" borderId="1" xfId="0" applyFont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常规" xfId="0" builtinId="0"/>
  </cellStyles>
  <dxfs count="2"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517711</xdr:colOff>
      <xdr:row>22</xdr:row>
      <xdr:rowOff>192741</xdr:rowOff>
    </xdr:from>
    <xdr:ext cx="65" cy="172227"/>
    <xdr:sp macro="" textlink="">
      <xdr:nvSpPr>
        <xdr:cNvPr id="2" name="文本框 1"/>
        <xdr:cNvSpPr txBox="1"/>
      </xdr:nvSpPr>
      <xdr:spPr>
        <a:xfrm>
          <a:off x="5413561" y="47647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"/>
  <sheetViews>
    <sheetView topLeftCell="K1" zoomScale="70" zoomScaleNormal="70" workbookViewId="0">
      <selection activeCell="W12" sqref="W12"/>
    </sheetView>
  </sheetViews>
  <sheetFormatPr defaultRowHeight="14.25" x14ac:dyDescent="0.2"/>
  <cols>
    <col min="1" max="1" width="3.125" style="4" customWidth="1"/>
    <col min="2" max="8" width="3.125" customWidth="1"/>
    <col min="12" max="12" width="33.25" customWidth="1"/>
    <col min="13" max="13" width="9" style="3"/>
    <col min="14" max="14" width="9" customWidth="1"/>
  </cols>
  <sheetData>
    <row r="1" spans="1:31" s="10" customFormat="1" ht="15.75" x14ac:dyDescent="0.25">
      <c r="A1" s="24">
        <v>1</v>
      </c>
      <c r="B1" s="24">
        <v>1</v>
      </c>
      <c r="C1" s="24">
        <v>1</v>
      </c>
      <c r="D1" s="24">
        <v>1</v>
      </c>
      <c r="E1" s="24">
        <v>1</v>
      </c>
      <c r="F1" s="24">
        <v>1</v>
      </c>
      <c r="G1" s="24"/>
      <c r="H1" s="24"/>
      <c r="L1" s="16"/>
      <c r="M1" s="17">
        <v>1</v>
      </c>
      <c r="N1" s="18">
        <v>2</v>
      </c>
      <c r="O1" s="18">
        <v>3</v>
      </c>
      <c r="P1" s="18">
        <v>4</v>
      </c>
      <c r="Q1" s="18">
        <v>5</v>
      </c>
      <c r="S1" s="53"/>
      <c r="T1" s="54"/>
      <c r="U1" s="54"/>
      <c r="V1" s="54"/>
      <c r="W1" s="54"/>
    </row>
    <row r="2" spans="1:31" s="10" customFormat="1" ht="15.75" x14ac:dyDescent="0.25">
      <c r="A2" s="24">
        <v>1</v>
      </c>
      <c r="B2" s="24">
        <v>2</v>
      </c>
      <c r="C2" s="24">
        <v>3</v>
      </c>
      <c r="D2" s="24">
        <v>4</v>
      </c>
      <c r="E2" s="24">
        <v>5</v>
      </c>
      <c r="F2" s="24">
        <v>2</v>
      </c>
      <c r="G2" s="24"/>
      <c r="H2" s="24"/>
      <c r="L2" s="27" t="s">
        <v>37</v>
      </c>
      <c r="M2" s="28">
        <v>1</v>
      </c>
      <c r="N2" s="29">
        <v>1.5</v>
      </c>
      <c r="O2" s="29">
        <v>2</v>
      </c>
      <c r="P2" s="29">
        <v>2.5</v>
      </c>
      <c r="Q2" s="29">
        <v>3</v>
      </c>
      <c r="S2" s="55"/>
      <c r="T2" s="54"/>
      <c r="U2" s="54"/>
      <c r="V2" s="54"/>
      <c r="W2" s="54"/>
    </row>
    <row r="3" spans="1:31" s="10" customFormat="1" ht="15.75" x14ac:dyDescent="0.25">
      <c r="A3" s="24">
        <v>1</v>
      </c>
      <c r="B3" s="24">
        <v>3</v>
      </c>
      <c r="C3" s="24">
        <v>5</v>
      </c>
      <c r="D3" s="24">
        <v>2</v>
      </c>
      <c r="E3" s="24">
        <v>4</v>
      </c>
      <c r="F3" s="24">
        <v>3</v>
      </c>
      <c r="G3" s="24"/>
      <c r="H3" s="24"/>
      <c r="L3" s="27" t="s">
        <v>22</v>
      </c>
      <c r="M3" s="31">
        <v>1</v>
      </c>
      <c r="N3" s="32">
        <v>1.2</v>
      </c>
      <c r="O3" s="32">
        <v>1.4</v>
      </c>
      <c r="P3" s="32">
        <v>1.6</v>
      </c>
      <c r="Q3" s="32">
        <v>1.8</v>
      </c>
      <c r="S3" s="55"/>
      <c r="T3" s="54"/>
      <c r="U3" s="54"/>
      <c r="V3" s="54"/>
      <c r="W3" s="54"/>
    </row>
    <row r="4" spans="1:31" s="10" customFormat="1" ht="15.75" x14ac:dyDescent="0.25">
      <c r="A4" s="24">
        <v>1</v>
      </c>
      <c r="B4" s="24">
        <v>4</v>
      </c>
      <c r="C4" s="24">
        <v>2</v>
      </c>
      <c r="D4" s="24">
        <v>5</v>
      </c>
      <c r="E4" s="24">
        <v>3</v>
      </c>
      <c r="F4" s="24">
        <v>4</v>
      </c>
      <c r="G4" s="24"/>
      <c r="H4" s="24"/>
      <c r="L4" s="27" t="s">
        <v>23</v>
      </c>
      <c r="M4" s="28">
        <v>0.5</v>
      </c>
      <c r="N4" s="29">
        <v>0.6</v>
      </c>
      <c r="O4" s="29">
        <v>0.7</v>
      </c>
      <c r="P4" s="29">
        <v>0.8</v>
      </c>
      <c r="Q4" s="29">
        <v>0.9</v>
      </c>
      <c r="S4" s="55"/>
      <c r="T4" s="54"/>
      <c r="U4" s="54"/>
      <c r="V4" s="54"/>
      <c r="W4" s="54"/>
    </row>
    <row r="5" spans="1:31" s="10" customFormat="1" ht="18.75" x14ac:dyDescent="0.25">
      <c r="A5" s="24">
        <v>1</v>
      </c>
      <c r="B5" s="24">
        <v>5</v>
      </c>
      <c r="C5" s="24">
        <v>4</v>
      </c>
      <c r="D5" s="24">
        <v>3</v>
      </c>
      <c r="E5" s="24">
        <v>2</v>
      </c>
      <c r="F5" s="24">
        <v>5</v>
      </c>
      <c r="G5" s="24"/>
      <c r="H5" s="24"/>
      <c r="L5" s="34" t="s">
        <v>24</v>
      </c>
      <c r="M5" s="31">
        <v>0.7</v>
      </c>
      <c r="N5" s="32">
        <v>0.75</v>
      </c>
      <c r="O5" s="32">
        <v>0.8</v>
      </c>
      <c r="P5" s="32">
        <v>0.85</v>
      </c>
      <c r="Q5" s="32">
        <v>0.9</v>
      </c>
      <c r="S5" s="55"/>
      <c r="T5" s="54"/>
      <c r="U5" s="54"/>
      <c r="V5" s="54"/>
      <c r="W5" s="54"/>
    </row>
    <row r="6" spans="1:31" s="10" customFormat="1" ht="15.75" x14ac:dyDescent="0.25">
      <c r="A6" s="24">
        <v>2</v>
      </c>
      <c r="B6" s="24">
        <v>1</v>
      </c>
      <c r="C6" s="24">
        <v>5</v>
      </c>
      <c r="D6" s="24">
        <v>4</v>
      </c>
      <c r="E6" s="24">
        <v>3</v>
      </c>
      <c r="F6" s="24">
        <v>5</v>
      </c>
      <c r="G6" s="24"/>
      <c r="H6" s="24"/>
      <c r="L6" s="27" t="s">
        <v>25</v>
      </c>
      <c r="M6" s="28">
        <v>0.05</v>
      </c>
      <c r="N6" s="29">
        <v>0.1</v>
      </c>
      <c r="O6" s="29">
        <v>0.15</v>
      </c>
      <c r="P6" s="29">
        <v>0.2</v>
      </c>
      <c r="Q6" s="29">
        <v>0.25</v>
      </c>
      <c r="S6" s="55"/>
      <c r="T6" s="54"/>
      <c r="U6" s="54"/>
      <c r="V6" s="54"/>
      <c r="W6" s="54"/>
    </row>
    <row r="7" spans="1:31" s="10" customFormat="1" ht="15.75" x14ac:dyDescent="0.25">
      <c r="A7" s="24">
        <v>2</v>
      </c>
      <c r="B7" s="24">
        <v>2</v>
      </c>
      <c r="C7" s="24">
        <v>2</v>
      </c>
      <c r="D7" s="24">
        <v>2</v>
      </c>
      <c r="E7" s="24">
        <v>2</v>
      </c>
      <c r="F7" s="24">
        <v>1</v>
      </c>
      <c r="G7" s="24"/>
      <c r="H7" s="24"/>
      <c r="L7" s="27" t="s">
        <v>26</v>
      </c>
      <c r="M7" s="31">
        <v>0.02</v>
      </c>
      <c r="N7" s="32">
        <v>0.04</v>
      </c>
      <c r="O7" s="32">
        <v>0.06</v>
      </c>
      <c r="P7" s="32">
        <v>0.08</v>
      </c>
      <c r="Q7" s="32">
        <v>0.1</v>
      </c>
      <c r="S7" s="55"/>
      <c r="T7" s="54"/>
      <c r="U7" s="54"/>
      <c r="V7" s="54"/>
      <c r="W7" s="54"/>
    </row>
    <row r="8" spans="1:31" s="10" customFormat="1" ht="15.75" x14ac:dyDescent="0.25">
      <c r="A8" s="24">
        <v>2</v>
      </c>
      <c r="B8" s="24">
        <v>3</v>
      </c>
      <c r="C8" s="24">
        <v>4</v>
      </c>
      <c r="D8" s="24">
        <v>5</v>
      </c>
      <c r="E8" s="24">
        <v>1</v>
      </c>
      <c r="F8" s="24">
        <v>2</v>
      </c>
      <c r="G8" s="24"/>
      <c r="H8" s="24"/>
      <c r="L8" s="35"/>
      <c r="M8" s="31"/>
      <c r="N8" s="32"/>
      <c r="O8" s="32"/>
      <c r="P8" s="32"/>
      <c r="S8" s="55"/>
      <c r="T8" s="54"/>
      <c r="U8" s="54"/>
      <c r="V8" s="54"/>
      <c r="W8" s="54"/>
    </row>
    <row r="9" spans="1:31" s="10" customFormat="1" ht="15.75" x14ac:dyDescent="0.25">
      <c r="A9" s="24">
        <v>2</v>
      </c>
      <c r="B9" s="24">
        <v>4</v>
      </c>
      <c r="C9" s="24">
        <v>1</v>
      </c>
      <c r="D9" s="24">
        <v>3</v>
      </c>
      <c r="E9" s="24">
        <v>5</v>
      </c>
      <c r="F9" s="24">
        <v>3</v>
      </c>
      <c r="G9" s="24"/>
      <c r="H9" s="24"/>
      <c r="L9" s="35"/>
      <c r="M9" s="31"/>
      <c r="N9" s="32"/>
      <c r="O9" s="32"/>
      <c r="P9" s="32"/>
      <c r="S9" s="55"/>
      <c r="T9" s="54"/>
      <c r="U9" s="54"/>
      <c r="V9" s="54"/>
      <c r="W9" s="54"/>
    </row>
    <row r="10" spans="1:31" s="10" customFormat="1" ht="15.75" x14ac:dyDescent="0.25">
      <c r="A10" s="24">
        <v>2</v>
      </c>
      <c r="B10" s="24">
        <v>5</v>
      </c>
      <c r="C10" s="24">
        <v>3</v>
      </c>
      <c r="D10" s="24">
        <v>1</v>
      </c>
      <c r="E10" s="24">
        <v>4</v>
      </c>
      <c r="F10" s="24">
        <v>4</v>
      </c>
      <c r="G10" s="24"/>
      <c r="H10" s="24"/>
      <c r="M10" s="56"/>
    </row>
    <row r="11" spans="1:31" s="10" customFormat="1" ht="15.75" x14ac:dyDescent="0.25">
      <c r="A11" s="24">
        <v>3</v>
      </c>
      <c r="B11" s="24">
        <v>1</v>
      </c>
      <c r="C11" s="24">
        <v>4</v>
      </c>
      <c r="D11" s="24">
        <v>2</v>
      </c>
      <c r="E11" s="24">
        <v>5</v>
      </c>
      <c r="F11" s="24">
        <v>4</v>
      </c>
      <c r="G11" s="24"/>
      <c r="H11" s="24"/>
      <c r="L11" s="57">
        <v>1</v>
      </c>
      <c r="M11" s="58">
        <f>HLOOKUP(A1,$M$1:$Q$7,2)</f>
        <v>1</v>
      </c>
      <c r="N11" s="59">
        <f>HLOOKUP(B1,$M$1:$Q$7,3)</f>
        <v>1</v>
      </c>
      <c r="O11" s="59">
        <f>HLOOKUP(C1,$M$1:$Q$7,4)</f>
        <v>0.5</v>
      </c>
      <c r="P11" s="60">
        <f>HLOOKUP(D1,$M$1:$Q$7,5)</f>
        <v>0.7</v>
      </c>
      <c r="Q11" s="61">
        <f>HLOOKUP(E1,$M$1:$Q$7,6)</f>
        <v>0.05</v>
      </c>
      <c r="R11" s="59">
        <f>HLOOKUP(F1,$M$1:$Q$7,7)</f>
        <v>0.02</v>
      </c>
      <c r="S11" s="11"/>
      <c r="T11" s="11"/>
      <c r="V11" s="10" t="str">
        <f>M11&amp;" "&amp;N11&amp;" "&amp;O11&amp;" "&amp;P11&amp;" "&amp;Q11&amp;" "&amp;R11&amp;" "</f>
        <v xml:space="preserve">1 1 0.5 0.7 0.05 0.02 </v>
      </c>
      <c r="Z11" s="10">
        <v>1</v>
      </c>
      <c r="AA11" s="15">
        <v>1</v>
      </c>
      <c r="AB11" s="15">
        <v>0.5</v>
      </c>
      <c r="AC11" s="15">
        <v>0.7</v>
      </c>
      <c r="AD11" s="15">
        <v>0.05</v>
      </c>
      <c r="AE11" s="15">
        <v>0.02</v>
      </c>
    </row>
    <row r="12" spans="1:31" s="10" customFormat="1" ht="15.75" x14ac:dyDescent="0.25">
      <c r="A12" s="24">
        <v>3</v>
      </c>
      <c r="B12" s="24">
        <v>2</v>
      </c>
      <c r="C12" s="24">
        <v>1</v>
      </c>
      <c r="D12" s="24">
        <v>5</v>
      </c>
      <c r="E12" s="24">
        <v>4</v>
      </c>
      <c r="F12" s="24">
        <v>5</v>
      </c>
      <c r="G12" s="24"/>
      <c r="H12" s="24"/>
      <c r="L12" s="57">
        <v>2</v>
      </c>
      <c r="M12" s="58">
        <f t="shared" ref="M12:M35" si="0">HLOOKUP(A2,$M$1:$Q$7,2)</f>
        <v>1</v>
      </c>
      <c r="N12" s="59">
        <f t="shared" ref="N12:N35" si="1">HLOOKUP(B2,$M$1:$Q$7,3)</f>
        <v>1.2</v>
      </c>
      <c r="O12" s="59">
        <f t="shared" ref="O12:O35" si="2">HLOOKUP(C2,$M$1:$Q$7,4)</f>
        <v>0.7</v>
      </c>
      <c r="P12" s="60">
        <f t="shared" ref="P12:P35" si="3">HLOOKUP(D2,$M$1:$Q$7,5)</f>
        <v>0.85</v>
      </c>
      <c r="Q12" s="61">
        <f t="shared" ref="Q12:Q35" si="4">HLOOKUP(E2,$M$1:$Q$7,6)</f>
        <v>0.25</v>
      </c>
      <c r="R12" s="59">
        <f t="shared" ref="R12:R35" si="5">HLOOKUP(F2,$M$1:$Q$7,7)</f>
        <v>0.04</v>
      </c>
      <c r="S12" s="11"/>
      <c r="T12" s="11"/>
      <c r="V12" s="10" t="str">
        <f t="shared" ref="V12:V35" si="6">M12&amp;" "&amp;N12&amp;" "&amp;O12&amp;" "&amp;P12&amp;" "&amp;Q12&amp;" "&amp;R12&amp;" "</f>
        <v xml:space="preserve">1 1.2 0.7 0.85 0.25 0.04 </v>
      </c>
      <c r="Z12" s="10">
        <v>1</v>
      </c>
      <c r="AA12" s="15">
        <v>1.2</v>
      </c>
      <c r="AB12" s="15">
        <v>0.7</v>
      </c>
      <c r="AC12" s="15">
        <v>0.85</v>
      </c>
      <c r="AD12" s="15">
        <v>0.25</v>
      </c>
      <c r="AE12" s="15">
        <v>0.04</v>
      </c>
    </row>
    <row r="13" spans="1:31" s="10" customFormat="1" ht="15.75" x14ac:dyDescent="0.25">
      <c r="A13" s="24">
        <v>3</v>
      </c>
      <c r="B13" s="24">
        <v>3</v>
      </c>
      <c r="C13" s="24">
        <v>3</v>
      </c>
      <c r="D13" s="24">
        <v>3</v>
      </c>
      <c r="E13" s="24">
        <v>3</v>
      </c>
      <c r="F13" s="24">
        <v>1</v>
      </c>
      <c r="G13" s="24"/>
      <c r="H13" s="24"/>
      <c r="L13" s="57">
        <v>3</v>
      </c>
      <c r="M13" s="58">
        <f t="shared" si="0"/>
        <v>1</v>
      </c>
      <c r="N13" s="59">
        <f t="shared" si="1"/>
        <v>1.4</v>
      </c>
      <c r="O13" s="59">
        <f t="shared" si="2"/>
        <v>0.9</v>
      </c>
      <c r="P13" s="60">
        <f t="shared" si="3"/>
        <v>0.75</v>
      </c>
      <c r="Q13" s="61">
        <f t="shared" si="4"/>
        <v>0.2</v>
      </c>
      <c r="R13" s="59">
        <f t="shared" si="5"/>
        <v>0.06</v>
      </c>
      <c r="S13" s="11"/>
      <c r="T13" s="11"/>
      <c r="V13" s="10" t="str">
        <f t="shared" si="6"/>
        <v xml:space="preserve">1 1.4 0.9 0.75 0.2 0.06 </v>
      </c>
      <c r="Z13" s="10">
        <v>1</v>
      </c>
      <c r="AA13" s="15">
        <v>1.4</v>
      </c>
      <c r="AB13" s="15">
        <v>0.9</v>
      </c>
      <c r="AC13" s="15">
        <v>0.75</v>
      </c>
      <c r="AD13" s="15">
        <v>0.2</v>
      </c>
      <c r="AE13" s="15">
        <v>0.06</v>
      </c>
    </row>
    <row r="14" spans="1:31" s="10" customFormat="1" ht="15.75" x14ac:dyDescent="0.25">
      <c r="A14" s="24">
        <v>3</v>
      </c>
      <c r="B14" s="24">
        <v>4</v>
      </c>
      <c r="C14" s="24">
        <v>5</v>
      </c>
      <c r="D14" s="24">
        <v>1</v>
      </c>
      <c r="E14" s="24">
        <v>2</v>
      </c>
      <c r="F14" s="24">
        <v>2</v>
      </c>
      <c r="G14" s="24"/>
      <c r="H14" s="24"/>
      <c r="L14" s="57">
        <v>4</v>
      </c>
      <c r="M14" s="58">
        <f t="shared" si="0"/>
        <v>1</v>
      </c>
      <c r="N14" s="59">
        <f t="shared" si="1"/>
        <v>1.6</v>
      </c>
      <c r="O14" s="59">
        <f t="shared" si="2"/>
        <v>0.6</v>
      </c>
      <c r="P14" s="60">
        <f t="shared" si="3"/>
        <v>0.9</v>
      </c>
      <c r="Q14" s="61">
        <f t="shared" si="4"/>
        <v>0.15</v>
      </c>
      <c r="R14" s="59">
        <f t="shared" si="5"/>
        <v>0.08</v>
      </c>
      <c r="S14" s="11"/>
      <c r="T14" s="11"/>
      <c r="V14" s="10" t="str">
        <f t="shared" si="6"/>
        <v xml:space="preserve">1 1.6 0.6 0.9 0.15 0.08 </v>
      </c>
      <c r="Z14" s="10">
        <v>1</v>
      </c>
      <c r="AA14" s="15">
        <v>1.6</v>
      </c>
      <c r="AB14" s="15">
        <v>0.6</v>
      </c>
      <c r="AC14" s="15">
        <v>0.9</v>
      </c>
      <c r="AD14" s="15">
        <v>0.15</v>
      </c>
      <c r="AE14" s="15">
        <v>0.08</v>
      </c>
    </row>
    <row r="15" spans="1:31" s="10" customFormat="1" ht="15.75" x14ac:dyDescent="0.25">
      <c r="A15" s="24">
        <v>3</v>
      </c>
      <c r="B15" s="24">
        <v>5</v>
      </c>
      <c r="C15" s="24">
        <v>2</v>
      </c>
      <c r="D15" s="24">
        <v>4</v>
      </c>
      <c r="E15" s="24">
        <v>1</v>
      </c>
      <c r="F15" s="24">
        <v>3</v>
      </c>
      <c r="G15" s="24"/>
      <c r="H15" s="24"/>
      <c r="L15" s="57">
        <v>5</v>
      </c>
      <c r="M15" s="58">
        <f t="shared" si="0"/>
        <v>1</v>
      </c>
      <c r="N15" s="59">
        <f t="shared" si="1"/>
        <v>1.8</v>
      </c>
      <c r="O15" s="59">
        <f t="shared" si="2"/>
        <v>0.8</v>
      </c>
      <c r="P15" s="60">
        <f t="shared" si="3"/>
        <v>0.8</v>
      </c>
      <c r="Q15" s="61">
        <f t="shared" si="4"/>
        <v>0.1</v>
      </c>
      <c r="R15" s="59">
        <f t="shared" si="5"/>
        <v>0.1</v>
      </c>
      <c r="S15" s="11"/>
      <c r="T15" s="11"/>
      <c r="V15" s="10" t="str">
        <f t="shared" si="6"/>
        <v xml:space="preserve">1 1.8 0.8 0.8 0.1 0.1 </v>
      </c>
      <c r="Z15" s="10">
        <v>1</v>
      </c>
      <c r="AA15" s="15">
        <v>1.8</v>
      </c>
      <c r="AB15" s="15">
        <v>0.8</v>
      </c>
      <c r="AC15" s="15">
        <v>0.8</v>
      </c>
      <c r="AD15" s="15">
        <v>0.1</v>
      </c>
      <c r="AE15" s="15">
        <v>0.1</v>
      </c>
    </row>
    <row r="16" spans="1:31" s="10" customFormat="1" ht="15.75" x14ac:dyDescent="0.25">
      <c r="A16" s="24">
        <v>4</v>
      </c>
      <c r="B16" s="24">
        <v>1</v>
      </c>
      <c r="C16" s="24">
        <v>3</v>
      </c>
      <c r="D16" s="24">
        <v>5</v>
      </c>
      <c r="E16" s="24">
        <v>2</v>
      </c>
      <c r="F16" s="24">
        <v>3</v>
      </c>
      <c r="G16" s="24"/>
      <c r="H16" s="24"/>
      <c r="L16" s="57">
        <v>6</v>
      </c>
      <c r="M16" s="58">
        <f t="shared" si="0"/>
        <v>1.5</v>
      </c>
      <c r="N16" s="59">
        <f t="shared" si="1"/>
        <v>1</v>
      </c>
      <c r="O16" s="59">
        <f t="shared" si="2"/>
        <v>0.9</v>
      </c>
      <c r="P16" s="60">
        <f t="shared" si="3"/>
        <v>0.85</v>
      </c>
      <c r="Q16" s="61">
        <f t="shared" si="4"/>
        <v>0.15</v>
      </c>
      <c r="R16" s="59">
        <f t="shared" si="5"/>
        <v>0.1</v>
      </c>
      <c r="S16" s="11"/>
      <c r="T16" s="11"/>
      <c r="V16" s="10" t="str">
        <f t="shared" si="6"/>
        <v xml:space="preserve">1.5 1 0.9 0.85 0.15 0.1 </v>
      </c>
      <c r="Z16" s="10">
        <v>1.5</v>
      </c>
      <c r="AA16" s="15">
        <v>1</v>
      </c>
      <c r="AB16" s="15">
        <v>0.9</v>
      </c>
      <c r="AC16" s="15">
        <v>0.85</v>
      </c>
      <c r="AD16" s="15">
        <v>0.15</v>
      </c>
      <c r="AE16" s="15">
        <v>0.1</v>
      </c>
    </row>
    <row r="17" spans="1:31" s="10" customFormat="1" ht="15.75" x14ac:dyDescent="0.25">
      <c r="A17" s="24">
        <v>4</v>
      </c>
      <c r="B17" s="24">
        <v>2</v>
      </c>
      <c r="C17" s="24">
        <v>5</v>
      </c>
      <c r="D17" s="24">
        <v>3</v>
      </c>
      <c r="E17" s="24">
        <v>1</v>
      </c>
      <c r="F17" s="24">
        <v>4</v>
      </c>
      <c r="G17" s="24"/>
      <c r="H17" s="24"/>
      <c r="L17" s="57">
        <v>7</v>
      </c>
      <c r="M17" s="58">
        <f t="shared" si="0"/>
        <v>1.5</v>
      </c>
      <c r="N17" s="59">
        <f t="shared" si="1"/>
        <v>1.2</v>
      </c>
      <c r="O17" s="59">
        <f t="shared" si="2"/>
        <v>0.6</v>
      </c>
      <c r="P17" s="60">
        <f t="shared" si="3"/>
        <v>0.75</v>
      </c>
      <c r="Q17" s="61">
        <f t="shared" si="4"/>
        <v>0.1</v>
      </c>
      <c r="R17" s="59">
        <f t="shared" si="5"/>
        <v>0.02</v>
      </c>
      <c r="S17" s="11"/>
      <c r="T17" s="11"/>
      <c r="V17" s="10" t="str">
        <f t="shared" si="6"/>
        <v xml:space="preserve">1.5 1.2 0.6 0.75 0.1 0.02 </v>
      </c>
      <c r="Z17" s="10">
        <v>1.5</v>
      </c>
      <c r="AA17" s="15">
        <v>1.2</v>
      </c>
      <c r="AB17" s="15">
        <v>0.6</v>
      </c>
      <c r="AC17" s="15">
        <v>0.75</v>
      </c>
      <c r="AD17" s="15">
        <v>0.1</v>
      </c>
      <c r="AE17" s="15">
        <v>0.02</v>
      </c>
    </row>
    <row r="18" spans="1:31" s="10" customFormat="1" ht="15.75" x14ac:dyDescent="0.25">
      <c r="A18" s="24">
        <v>4</v>
      </c>
      <c r="B18" s="24">
        <v>3</v>
      </c>
      <c r="C18" s="24">
        <v>2</v>
      </c>
      <c r="D18" s="24">
        <v>1</v>
      </c>
      <c r="E18" s="24">
        <v>5</v>
      </c>
      <c r="F18" s="24">
        <v>5</v>
      </c>
      <c r="G18" s="24"/>
      <c r="H18" s="24"/>
      <c r="L18" s="57">
        <v>8</v>
      </c>
      <c r="M18" s="58">
        <f t="shared" si="0"/>
        <v>1.5</v>
      </c>
      <c r="N18" s="59">
        <f t="shared" si="1"/>
        <v>1.4</v>
      </c>
      <c r="O18" s="59">
        <f t="shared" si="2"/>
        <v>0.8</v>
      </c>
      <c r="P18" s="60">
        <f t="shared" si="3"/>
        <v>0.9</v>
      </c>
      <c r="Q18" s="61">
        <f t="shared" si="4"/>
        <v>0.05</v>
      </c>
      <c r="R18" s="59">
        <f t="shared" si="5"/>
        <v>0.04</v>
      </c>
      <c r="S18" s="11"/>
      <c r="T18" s="11"/>
      <c r="V18" s="10" t="str">
        <f t="shared" si="6"/>
        <v xml:space="preserve">1.5 1.4 0.8 0.9 0.05 0.04 </v>
      </c>
      <c r="Z18" s="10">
        <v>1.5</v>
      </c>
      <c r="AA18" s="15">
        <v>1.4</v>
      </c>
      <c r="AB18" s="15">
        <v>0.8</v>
      </c>
      <c r="AC18" s="15">
        <v>0.9</v>
      </c>
      <c r="AD18" s="15">
        <v>0.05</v>
      </c>
      <c r="AE18" s="15">
        <v>0.04</v>
      </c>
    </row>
    <row r="19" spans="1:31" s="10" customFormat="1" ht="15.75" x14ac:dyDescent="0.25">
      <c r="A19" s="24">
        <v>4</v>
      </c>
      <c r="B19" s="24">
        <v>4</v>
      </c>
      <c r="C19" s="24">
        <v>4</v>
      </c>
      <c r="D19" s="24">
        <v>4</v>
      </c>
      <c r="E19" s="24">
        <v>4</v>
      </c>
      <c r="F19" s="24">
        <v>1</v>
      </c>
      <c r="G19" s="24"/>
      <c r="H19" s="24"/>
      <c r="L19" s="57">
        <v>9</v>
      </c>
      <c r="M19" s="58">
        <f t="shared" si="0"/>
        <v>1.5</v>
      </c>
      <c r="N19" s="59">
        <f t="shared" si="1"/>
        <v>1.6</v>
      </c>
      <c r="O19" s="59">
        <f t="shared" si="2"/>
        <v>0.5</v>
      </c>
      <c r="P19" s="60">
        <f t="shared" si="3"/>
        <v>0.8</v>
      </c>
      <c r="Q19" s="61">
        <f t="shared" si="4"/>
        <v>0.25</v>
      </c>
      <c r="R19" s="59">
        <f t="shared" si="5"/>
        <v>0.06</v>
      </c>
      <c r="S19" s="11"/>
      <c r="T19" s="11"/>
      <c r="V19" s="10" t="str">
        <f t="shared" si="6"/>
        <v xml:space="preserve">1.5 1.6 0.5 0.8 0.25 0.06 </v>
      </c>
      <c r="Z19" s="10">
        <v>1.5</v>
      </c>
      <c r="AA19" s="15">
        <v>1.6</v>
      </c>
      <c r="AB19" s="15">
        <v>0.5</v>
      </c>
      <c r="AC19" s="15">
        <v>0.8</v>
      </c>
      <c r="AD19" s="15">
        <v>0.25</v>
      </c>
      <c r="AE19" s="15">
        <v>0.06</v>
      </c>
    </row>
    <row r="20" spans="1:31" s="10" customFormat="1" ht="15.75" x14ac:dyDescent="0.25">
      <c r="A20" s="24">
        <v>4</v>
      </c>
      <c r="B20" s="24">
        <v>5</v>
      </c>
      <c r="C20" s="24">
        <v>1</v>
      </c>
      <c r="D20" s="24">
        <v>2</v>
      </c>
      <c r="E20" s="24">
        <v>3</v>
      </c>
      <c r="F20" s="24">
        <v>2</v>
      </c>
      <c r="G20" s="24"/>
      <c r="H20" s="24"/>
      <c r="L20" s="57">
        <v>10</v>
      </c>
      <c r="M20" s="58">
        <f t="shared" si="0"/>
        <v>1.5</v>
      </c>
      <c r="N20" s="59">
        <f t="shared" si="1"/>
        <v>1.8</v>
      </c>
      <c r="O20" s="59">
        <f t="shared" si="2"/>
        <v>0.7</v>
      </c>
      <c r="P20" s="60">
        <f t="shared" si="3"/>
        <v>0.7</v>
      </c>
      <c r="Q20" s="61">
        <f t="shared" si="4"/>
        <v>0.2</v>
      </c>
      <c r="R20" s="59">
        <f t="shared" si="5"/>
        <v>0.08</v>
      </c>
      <c r="S20" s="11"/>
      <c r="T20" s="11"/>
      <c r="V20" s="10" t="str">
        <f t="shared" si="6"/>
        <v xml:space="preserve">1.5 1.8 0.7 0.7 0.2 0.08 </v>
      </c>
      <c r="Z20" s="10">
        <v>1.5</v>
      </c>
      <c r="AA20" s="15">
        <v>1.8</v>
      </c>
      <c r="AB20" s="15">
        <v>0.7</v>
      </c>
      <c r="AC20" s="15">
        <v>0.7</v>
      </c>
      <c r="AD20" s="15">
        <v>0.2</v>
      </c>
      <c r="AE20" s="15">
        <v>0.08</v>
      </c>
    </row>
    <row r="21" spans="1:31" s="10" customFormat="1" ht="15.75" x14ac:dyDescent="0.25">
      <c r="A21" s="24">
        <v>5</v>
      </c>
      <c r="B21" s="24">
        <v>1</v>
      </c>
      <c r="C21" s="24">
        <v>2</v>
      </c>
      <c r="D21" s="24">
        <v>3</v>
      </c>
      <c r="E21" s="24">
        <v>4</v>
      </c>
      <c r="F21" s="24">
        <v>2</v>
      </c>
      <c r="G21" s="24"/>
      <c r="H21" s="24"/>
      <c r="L21" s="57">
        <v>11</v>
      </c>
      <c r="M21" s="58">
        <f t="shared" si="0"/>
        <v>2</v>
      </c>
      <c r="N21" s="59">
        <f t="shared" si="1"/>
        <v>1</v>
      </c>
      <c r="O21" s="59">
        <f t="shared" si="2"/>
        <v>0.8</v>
      </c>
      <c r="P21" s="60">
        <f t="shared" si="3"/>
        <v>0.75</v>
      </c>
      <c r="Q21" s="61">
        <f t="shared" si="4"/>
        <v>0.25</v>
      </c>
      <c r="R21" s="59">
        <f t="shared" si="5"/>
        <v>0.08</v>
      </c>
      <c r="S21" s="11"/>
      <c r="T21" s="11"/>
      <c r="V21" s="10" t="str">
        <f t="shared" si="6"/>
        <v xml:space="preserve">2 1 0.8 0.75 0.25 0.08 </v>
      </c>
      <c r="Z21" s="10">
        <v>2</v>
      </c>
      <c r="AA21" s="15">
        <v>1</v>
      </c>
      <c r="AB21" s="15">
        <v>0.8</v>
      </c>
      <c r="AC21" s="15">
        <v>0.75</v>
      </c>
      <c r="AD21" s="15">
        <v>0.25</v>
      </c>
      <c r="AE21" s="15">
        <v>0.08</v>
      </c>
    </row>
    <row r="22" spans="1:31" s="10" customFormat="1" ht="15.75" x14ac:dyDescent="0.25">
      <c r="A22" s="24">
        <v>5</v>
      </c>
      <c r="B22" s="24">
        <v>2</v>
      </c>
      <c r="C22" s="24">
        <v>4</v>
      </c>
      <c r="D22" s="24">
        <v>1</v>
      </c>
      <c r="E22" s="24">
        <v>3</v>
      </c>
      <c r="F22" s="24">
        <v>3</v>
      </c>
      <c r="G22" s="24"/>
      <c r="H22" s="24"/>
      <c r="L22" s="57">
        <v>12</v>
      </c>
      <c r="M22" s="58">
        <f t="shared" si="0"/>
        <v>2</v>
      </c>
      <c r="N22" s="59">
        <f t="shared" si="1"/>
        <v>1.2</v>
      </c>
      <c r="O22" s="59">
        <f t="shared" si="2"/>
        <v>0.5</v>
      </c>
      <c r="P22" s="60">
        <f t="shared" si="3"/>
        <v>0.9</v>
      </c>
      <c r="Q22" s="61">
        <f t="shared" si="4"/>
        <v>0.2</v>
      </c>
      <c r="R22" s="59">
        <f t="shared" si="5"/>
        <v>0.1</v>
      </c>
      <c r="S22" s="11"/>
      <c r="T22" s="11"/>
      <c r="V22" s="10" t="str">
        <f t="shared" si="6"/>
        <v xml:space="preserve">2 1.2 0.5 0.9 0.2 0.1 </v>
      </c>
      <c r="Z22" s="10">
        <v>2</v>
      </c>
      <c r="AA22" s="15">
        <v>1.2</v>
      </c>
      <c r="AB22" s="15">
        <v>0.5</v>
      </c>
      <c r="AC22" s="15">
        <v>0.9</v>
      </c>
      <c r="AD22" s="15">
        <v>0.2</v>
      </c>
      <c r="AE22" s="15">
        <v>0.1</v>
      </c>
    </row>
    <row r="23" spans="1:31" s="10" customFormat="1" ht="15.75" x14ac:dyDescent="0.25">
      <c r="A23" s="24">
        <v>5</v>
      </c>
      <c r="B23" s="24">
        <v>3</v>
      </c>
      <c r="C23" s="24">
        <v>1</v>
      </c>
      <c r="D23" s="24">
        <v>4</v>
      </c>
      <c r="E23" s="24">
        <v>2</v>
      </c>
      <c r="F23" s="24">
        <v>4</v>
      </c>
      <c r="G23" s="24"/>
      <c r="H23" s="24"/>
      <c r="L23" s="57">
        <v>13</v>
      </c>
      <c r="M23" s="58">
        <f t="shared" si="0"/>
        <v>2</v>
      </c>
      <c r="N23" s="59">
        <f t="shared" si="1"/>
        <v>1.4</v>
      </c>
      <c r="O23" s="59">
        <f t="shared" si="2"/>
        <v>0.7</v>
      </c>
      <c r="P23" s="60">
        <f t="shared" si="3"/>
        <v>0.8</v>
      </c>
      <c r="Q23" s="61">
        <f t="shared" si="4"/>
        <v>0.15</v>
      </c>
      <c r="R23" s="59">
        <f t="shared" si="5"/>
        <v>0.02</v>
      </c>
      <c r="S23" s="11"/>
      <c r="T23" s="11"/>
      <c r="V23" s="10" t="str">
        <f t="shared" si="6"/>
        <v xml:space="preserve">2 1.4 0.7 0.8 0.15 0.02 </v>
      </c>
      <c r="Z23" s="10">
        <v>2</v>
      </c>
      <c r="AA23" s="15">
        <v>1.4</v>
      </c>
      <c r="AB23" s="15">
        <v>0.7</v>
      </c>
      <c r="AC23" s="15">
        <v>0.8</v>
      </c>
      <c r="AD23" s="15">
        <v>0.15</v>
      </c>
      <c r="AE23" s="15">
        <v>0.02</v>
      </c>
    </row>
    <row r="24" spans="1:31" s="10" customFormat="1" ht="15.75" x14ac:dyDescent="0.25">
      <c r="A24" s="24">
        <v>5</v>
      </c>
      <c r="B24" s="24">
        <v>4</v>
      </c>
      <c r="C24" s="24">
        <v>3</v>
      </c>
      <c r="D24" s="24">
        <v>2</v>
      </c>
      <c r="E24" s="24">
        <v>1</v>
      </c>
      <c r="F24" s="24">
        <v>5</v>
      </c>
      <c r="G24" s="24"/>
      <c r="H24" s="24"/>
      <c r="L24" s="57">
        <v>14</v>
      </c>
      <c r="M24" s="58">
        <f t="shared" si="0"/>
        <v>2</v>
      </c>
      <c r="N24" s="59">
        <f t="shared" si="1"/>
        <v>1.6</v>
      </c>
      <c r="O24" s="59">
        <f t="shared" si="2"/>
        <v>0.9</v>
      </c>
      <c r="P24" s="60">
        <f t="shared" si="3"/>
        <v>0.7</v>
      </c>
      <c r="Q24" s="61">
        <f t="shared" si="4"/>
        <v>0.1</v>
      </c>
      <c r="R24" s="59">
        <f t="shared" si="5"/>
        <v>0.04</v>
      </c>
      <c r="S24" s="11"/>
      <c r="T24" s="11"/>
      <c r="V24" s="10" t="str">
        <f t="shared" si="6"/>
        <v xml:space="preserve">2 1.6 0.9 0.7 0.1 0.04 </v>
      </c>
      <c r="Z24" s="10">
        <v>2</v>
      </c>
      <c r="AA24" s="15">
        <v>1.6</v>
      </c>
      <c r="AB24" s="15">
        <v>0.9</v>
      </c>
      <c r="AC24" s="15">
        <v>0.7</v>
      </c>
      <c r="AD24" s="15">
        <v>0.1</v>
      </c>
      <c r="AE24" s="15">
        <v>0.04</v>
      </c>
    </row>
    <row r="25" spans="1:31" s="10" customFormat="1" ht="15.75" x14ac:dyDescent="0.25">
      <c r="A25" s="24">
        <v>5</v>
      </c>
      <c r="B25" s="24">
        <v>5</v>
      </c>
      <c r="C25" s="24">
        <v>5</v>
      </c>
      <c r="D25" s="24">
        <v>5</v>
      </c>
      <c r="E25" s="24">
        <v>5</v>
      </c>
      <c r="F25" s="24">
        <v>1</v>
      </c>
      <c r="G25" s="24"/>
      <c r="H25" s="24"/>
      <c r="L25" s="57">
        <v>15</v>
      </c>
      <c r="M25" s="58">
        <f t="shared" si="0"/>
        <v>2</v>
      </c>
      <c r="N25" s="59">
        <f t="shared" si="1"/>
        <v>1.8</v>
      </c>
      <c r="O25" s="59">
        <f t="shared" si="2"/>
        <v>0.6</v>
      </c>
      <c r="P25" s="60">
        <f t="shared" si="3"/>
        <v>0.85</v>
      </c>
      <c r="Q25" s="61">
        <f t="shared" si="4"/>
        <v>0.05</v>
      </c>
      <c r="R25" s="59">
        <f t="shared" si="5"/>
        <v>0.06</v>
      </c>
      <c r="S25" s="11"/>
      <c r="T25" s="11"/>
      <c r="V25" s="10" t="str">
        <f t="shared" si="6"/>
        <v xml:space="preserve">2 1.8 0.6 0.85 0.05 0.06 </v>
      </c>
      <c r="Z25" s="10">
        <v>2</v>
      </c>
      <c r="AA25" s="15">
        <v>1.8</v>
      </c>
      <c r="AB25" s="15">
        <v>0.6</v>
      </c>
      <c r="AC25" s="15">
        <v>0.85</v>
      </c>
      <c r="AD25" s="15">
        <v>0.05</v>
      </c>
      <c r="AE25" s="15">
        <v>0.06</v>
      </c>
    </row>
    <row r="26" spans="1:31" s="10" customFormat="1" ht="15.75" x14ac:dyDescent="0.25">
      <c r="A26" s="62"/>
      <c r="B26" s="24"/>
      <c r="C26" s="24"/>
      <c r="D26" s="24"/>
      <c r="E26" s="24"/>
      <c r="F26" s="24"/>
      <c r="G26" s="24"/>
      <c r="H26" s="24"/>
      <c r="L26" s="57">
        <v>16</v>
      </c>
      <c r="M26" s="58">
        <f t="shared" si="0"/>
        <v>2.5</v>
      </c>
      <c r="N26" s="59">
        <f t="shared" si="1"/>
        <v>1</v>
      </c>
      <c r="O26" s="59">
        <f t="shared" si="2"/>
        <v>0.7</v>
      </c>
      <c r="P26" s="60">
        <f t="shared" si="3"/>
        <v>0.9</v>
      </c>
      <c r="Q26" s="61">
        <f t="shared" si="4"/>
        <v>0.1</v>
      </c>
      <c r="R26" s="59">
        <f t="shared" si="5"/>
        <v>0.06</v>
      </c>
      <c r="S26" s="11"/>
      <c r="T26" s="11"/>
      <c r="V26" s="10" t="str">
        <f t="shared" si="6"/>
        <v xml:space="preserve">2.5 1 0.7 0.9 0.1 0.06 </v>
      </c>
      <c r="Z26" s="10">
        <v>2.5</v>
      </c>
      <c r="AA26" s="15">
        <v>1</v>
      </c>
      <c r="AB26" s="15">
        <v>0.7</v>
      </c>
      <c r="AC26" s="15">
        <v>0.9</v>
      </c>
      <c r="AD26" s="15">
        <v>0.1</v>
      </c>
      <c r="AE26" s="15">
        <v>0.06</v>
      </c>
    </row>
    <row r="27" spans="1:31" s="10" customFormat="1" ht="15.75" x14ac:dyDescent="0.25">
      <c r="A27" s="62"/>
      <c r="B27" s="24"/>
      <c r="C27" s="24"/>
      <c r="D27" s="24"/>
      <c r="E27" s="24"/>
      <c r="F27" s="24"/>
      <c r="G27" s="24"/>
      <c r="H27" s="24"/>
      <c r="L27" s="57">
        <v>17</v>
      </c>
      <c r="M27" s="58">
        <f t="shared" si="0"/>
        <v>2.5</v>
      </c>
      <c r="N27" s="59">
        <f t="shared" si="1"/>
        <v>1.2</v>
      </c>
      <c r="O27" s="59">
        <f t="shared" si="2"/>
        <v>0.9</v>
      </c>
      <c r="P27" s="60">
        <f t="shared" si="3"/>
        <v>0.8</v>
      </c>
      <c r="Q27" s="61">
        <f t="shared" si="4"/>
        <v>0.05</v>
      </c>
      <c r="R27" s="59">
        <f t="shared" si="5"/>
        <v>0.08</v>
      </c>
      <c r="S27" s="11"/>
      <c r="T27" s="11"/>
      <c r="V27" s="10" t="str">
        <f t="shared" si="6"/>
        <v xml:space="preserve">2.5 1.2 0.9 0.8 0.05 0.08 </v>
      </c>
      <c r="Z27" s="10">
        <v>2.5</v>
      </c>
      <c r="AA27" s="15">
        <v>1.2</v>
      </c>
      <c r="AB27" s="15">
        <v>0.9</v>
      </c>
      <c r="AC27" s="15">
        <v>0.8</v>
      </c>
      <c r="AD27" s="15">
        <v>0.05</v>
      </c>
      <c r="AE27" s="15">
        <v>0.08</v>
      </c>
    </row>
    <row r="28" spans="1:31" s="10" customFormat="1" ht="15.75" x14ac:dyDescent="0.25">
      <c r="A28" s="62"/>
      <c r="B28" s="24"/>
      <c r="C28" s="24"/>
      <c r="D28" s="24"/>
      <c r="E28" s="24"/>
      <c r="F28" s="24"/>
      <c r="G28" s="24"/>
      <c r="H28" s="24"/>
      <c r="L28" s="57">
        <v>18</v>
      </c>
      <c r="M28" s="58">
        <f t="shared" si="0"/>
        <v>2.5</v>
      </c>
      <c r="N28" s="59">
        <f t="shared" si="1"/>
        <v>1.4</v>
      </c>
      <c r="O28" s="59">
        <f t="shared" si="2"/>
        <v>0.6</v>
      </c>
      <c r="P28" s="60">
        <f t="shared" si="3"/>
        <v>0.7</v>
      </c>
      <c r="Q28" s="61">
        <f t="shared" si="4"/>
        <v>0.25</v>
      </c>
      <c r="R28" s="59">
        <f t="shared" si="5"/>
        <v>0.1</v>
      </c>
      <c r="S28" s="11"/>
      <c r="T28" s="11"/>
      <c r="V28" s="10" t="str">
        <f t="shared" si="6"/>
        <v xml:space="preserve">2.5 1.4 0.6 0.7 0.25 0.1 </v>
      </c>
      <c r="Z28" s="10">
        <v>2.5</v>
      </c>
      <c r="AA28" s="15">
        <v>1.4</v>
      </c>
      <c r="AB28" s="15">
        <v>0.6</v>
      </c>
      <c r="AC28" s="15">
        <v>0.7</v>
      </c>
      <c r="AD28" s="15">
        <v>0.25</v>
      </c>
      <c r="AE28" s="15">
        <v>0.1</v>
      </c>
    </row>
    <row r="29" spans="1:31" s="10" customFormat="1" ht="15.75" x14ac:dyDescent="0.25">
      <c r="A29" s="62"/>
      <c r="B29" s="24"/>
      <c r="C29" s="24"/>
      <c r="D29" s="24"/>
      <c r="E29" s="24"/>
      <c r="F29" s="24"/>
      <c r="G29" s="24"/>
      <c r="H29" s="24"/>
      <c r="L29" s="57">
        <v>19</v>
      </c>
      <c r="M29" s="58">
        <f t="shared" si="0"/>
        <v>2.5</v>
      </c>
      <c r="N29" s="59">
        <f t="shared" si="1"/>
        <v>1.6</v>
      </c>
      <c r="O29" s="59">
        <f t="shared" si="2"/>
        <v>0.8</v>
      </c>
      <c r="P29" s="60">
        <f t="shared" si="3"/>
        <v>0.85</v>
      </c>
      <c r="Q29" s="61">
        <f t="shared" si="4"/>
        <v>0.2</v>
      </c>
      <c r="R29" s="59">
        <f t="shared" si="5"/>
        <v>0.02</v>
      </c>
      <c r="S29" s="11"/>
      <c r="T29" s="11"/>
      <c r="V29" s="10" t="str">
        <f t="shared" si="6"/>
        <v xml:space="preserve">2.5 1.6 0.8 0.85 0.2 0.02 </v>
      </c>
      <c r="Z29" s="10">
        <v>2.5</v>
      </c>
      <c r="AA29" s="15">
        <v>1.6</v>
      </c>
      <c r="AB29" s="15">
        <v>0.8</v>
      </c>
      <c r="AC29" s="15">
        <v>0.85</v>
      </c>
      <c r="AD29" s="15">
        <v>0.2</v>
      </c>
      <c r="AE29" s="15">
        <v>0.02</v>
      </c>
    </row>
    <row r="30" spans="1:31" s="10" customFormat="1" ht="15.75" x14ac:dyDescent="0.25">
      <c r="A30" s="62"/>
      <c r="B30" s="24"/>
      <c r="C30" s="24"/>
      <c r="D30" s="24"/>
      <c r="E30" s="24"/>
      <c r="F30" s="24"/>
      <c r="G30" s="24"/>
      <c r="H30" s="24"/>
      <c r="L30" s="57">
        <v>20</v>
      </c>
      <c r="M30" s="58">
        <f t="shared" si="0"/>
        <v>2.5</v>
      </c>
      <c r="N30" s="59">
        <f t="shared" si="1"/>
        <v>1.8</v>
      </c>
      <c r="O30" s="59">
        <f t="shared" si="2"/>
        <v>0.5</v>
      </c>
      <c r="P30" s="60">
        <f t="shared" si="3"/>
        <v>0.75</v>
      </c>
      <c r="Q30" s="61">
        <f t="shared" si="4"/>
        <v>0.15</v>
      </c>
      <c r="R30" s="59">
        <f t="shared" si="5"/>
        <v>0.04</v>
      </c>
      <c r="S30" s="11"/>
      <c r="T30" s="11"/>
      <c r="V30" s="10" t="str">
        <f t="shared" si="6"/>
        <v xml:space="preserve">2.5 1.8 0.5 0.75 0.15 0.04 </v>
      </c>
      <c r="Z30" s="10">
        <v>2.5</v>
      </c>
      <c r="AA30" s="15">
        <v>1.8</v>
      </c>
      <c r="AB30" s="15">
        <v>0.5</v>
      </c>
      <c r="AC30" s="15">
        <v>0.75</v>
      </c>
      <c r="AD30" s="15">
        <v>0.15</v>
      </c>
      <c r="AE30" s="15">
        <v>0.04</v>
      </c>
    </row>
    <row r="31" spans="1:31" s="10" customFormat="1" ht="15.75" x14ac:dyDescent="0.25">
      <c r="A31" s="62"/>
      <c r="B31" s="24"/>
      <c r="C31" s="24"/>
      <c r="D31" s="24"/>
      <c r="E31" s="24"/>
      <c r="F31" s="24"/>
      <c r="G31" s="24"/>
      <c r="H31" s="24"/>
      <c r="L31" s="57">
        <v>21</v>
      </c>
      <c r="M31" s="58">
        <f t="shared" si="0"/>
        <v>3</v>
      </c>
      <c r="N31" s="59">
        <f t="shared" si="1"/>
        <v>1</v>
      </c>
      <c r="O31" s="59">
        <f t="shared" si="2"/>
        <v>0.6</v>
      </c>
      <c r="P31" s="60">
        <f t="shared" si="3"/>
        <v>0.8</v>
      </c>
      <c r="Q31" s="61">
        <f t="shared" si="4"/>
        <v>0.2</v>
      </c>
      <c r="R31" s="59">
        <f t="shared" si="5"/>
        <v>0.04</v>
      </c>
      <c r="S31" s="11"/>
      <c r="T31" s="11"/>
      <c r="V31" s="10" t="str">
        <f t="shared" si="6"/>
        <v xml:space="preserve">3 1 0.6 0.8 0.2 0.04 </v>
      </c>
      <c r="Z31" s="10">
        <v>3</v>
      </c>
      <c r="AA31" s="15">
        <v>1</v>
      </c>
      <c r="AB31" s="15">
        <v>0.6</v>
      </c>
      <c r="AC31" s="15">
        <v>0.8</v>
      </c>
      <c r="AD31" s="15">
        <v>0.2</v>
      </c>
      <c r="AE31" s="15">
        <v>0.04</v>
      </c>
    </row>
    <row r="32" spans="1:31" s="10" customFormat="1" ht="15.75" x14ac:dyDescent="0.25">
      <c r="A32" s="62"/>
      <c r="B32" s="24"/>
      <c r="C32" s="24"/>
      <c r="D32" s="24"/>
      <c r="E32" s="24"/>
      <c r="F32" s="24"/>
      <c r="G32" s="24"/>
      <c r="H32" s="24"/>
      <c r="L32" s="57">
        <v>22</v>
      </c>
      <c r="M32" s="58">
        <f t="shared" si="0"/>
        <v>3</v>
      </c>
      <c r="N32" s="59">
        <f t="shared" si="1"/>
        <v>1.2</v>
      </c>
      <c r="O32" s="59">
        <f t="shared" si="2"/>
        <v>0.8</v>
      </c>
      <c r="P32" s="60">
        <f t="shared" si="3"/>
        <v>0.7</v>
      </c>
      <c r="Q32" s="61">
        <f t="shared" si="4"/>
        <v>0.15</v>
      </c>
      <c r="R32" s="59">
        <f t="shared" si="5"/>
        <v>0.06</v>
      </c>
      <c r="S32" s="11"/>
      <c r="T32" s="11"/>
      <c r="V32" s="10" t="str">
        <f t="shared" si="6"/>
        <v xml:space="preserve">3 1.2 0.8 0.7 0.15 0.06 </v>
      </c>
      <c r="Z32" s="10">
        <v>3</v>
      </c>
      <c r="AA32" s="15">
        <v>1.2</v>
      </c>
      <c r="AB32" s="15">
        <v>0.8</v>
      </c>
      <c r="AC32" s="15">
        <v>0.7</v>
      </c>
      <c r="AD32" s="15">
        <v>0.15</v>
      </c>
      <c r="AE32" s="15">
        <v>0.06</v>
      </c>
    </row>
    <row r="33" spans="1:31" s="10" customFormat="1" ht="15.75" x14ac:dyDescent="0.25">
      <c r="A33" s="63"/>
      <c r="L33" s="57">
        <v>23</v>
      </c>
      <c r="M33" s="58">
        <f t="shared" si="0"/>
        <v>3</v>
      </c>
      <c r="N33" s="59">
        <f t="shared" si="1"/>
        <v>1.4</v>
      </c>
      <c r="O33" s="59">
        <f t="shared" si="2"/>
        <v>0.5</v>
      </c>
      <c r="P33" s="60">
        <f t="shared" si="3"/>
        <v>0.85</v>
      </c>
      <c r="Q33" s="61">
        <f t="shared" si="4"/>
        <v>0.1</v>
      </c>
      <c r="R33" s="59">
        <f t="shared" si="5"/>
        <v>0.08</v>
      </c>
      <c r="S33" s="11"/>
      <c r="T33" s="11"/>
      <c r="V33" s="10" t="str">
        <f t="shared" si="6"/>
        <v xml:space="preserve">3 1.4 0.5 0.85 0.1 0.08 </v>
      </c>
      <c r="Z33" s="10">
        <v>3</v>
      </c>
      <c r="AA33" s="15">
        <v>1.4</v>
      </c>
      <c r="AB33" s="15">
        <v>0.5</v>
      </c>
      <c r="AC33" s="15">
        <v>0.85</v>
      </c>
      <c r="AD33" s="15">
        <v>0.1</v>
      </c>
      <c r="AE33" s="15">
        <v>0.08</v>
      </c>
    </row>
    <row r="34" spans="1:31" s="10" customFormat="1" ht="15.75" x14ac:dyDescent="0.25">
      <c r="A34" s="63"/>
      <c r="L34" s="57">
        <v>24</v>
      </c>
      <c r="M34" s="58">
        <f t="shared" si="0"/>
        <v>3</v>
      </c>
      <c r="N34" s="59">
        <f t="shared" si="1"/>
        <v>1.6</v>
      </c>
      <c r="O34" s="59">
        <f t="shared" si="2"/>
        <v>0.7</v>
      </c>
      <c r="P34" s="60">
        <f t="shared" si="3"/>
        <v>0.75</v>
      </c>
      <c r="Q34" s="61">
        <f t="shared" si="4"/>
        <v>0.05</v>
      </c>
      <c r="R34" s="59">
        <f t="shared" si="5"/>
        <v>0.1</v>
      </c>
      <c r="S34" s="11"/>
      <c r="T34" s="11"/>
      <c r="V34" s="10" t="str">
        <f t="shared" si="6"/>
        <v xml:space="preserve">3 1.6 0.7 0.75 0.05 0.1 </v>
      </c>
      <c r="Z34" s="10">
        <v>3</v>
      </c>
      <c r="AA34" s="15">
        <v>1.6</v>
      </c>
      <c r="AB34" s="15">
        <v>0.7</v>
      </c>
      <c r="AC34" s="15">
        <v>0.75</v>
      </c>
      <c r="AD34" s="15">
        <v>0.05</v>
      </c>
      <c r="AE34" s="15">
        <v>0.1</v>
      </c>
    </row>
    <row r="35" spans="1:31" s="10" customFormat="1" ht="15.75" x14ac:dyDescent="0.25">
      <c r="A35" s="63"/>
      <c r="L35" s="57">
        <v>25</v>
      </c>
      <c r="M35" s="58">
        <f t="shared" si="0"/>
        <v>3</v>
      </c>
      <c r="N35" s="59">
        <f t="shared" si="1"/>
        <v>1.8</v>
      </c>
      <c r="O35" s="59">
        <f t="shared" si="2"/>
        <v>0.9</v>
      </c>
      <c r="P35" s="60">
        <f t="shared" si="3"/>
        <v>0.9</v>
      </c>
      <c r="Q35" s="61">
        <f t="shared" si="4"/>
        <v>0.25</v>
      </c>
      <c r="R35" s="59">
        <f t="shared" si="5"/>
        <v>0.02</v>
      </c>
      <c r="S35" s="11"/>
      <c r="T35" s="11"/>
      <c r="V35" s="10" t="str">
        <f t="shared" si="6"/>
        <v xml:space="preserve">3 1.8 0.9 0.9 0.25 0.02 </v>
      </c>
      <c r="Z35" s="10">
        <v>3</v>
      </c>
      <c r="AA35" s="15">
        <v>1.8</v>
      </c>
      <c r="AB35" s="15">
        <v>0.9</v>
      </c>
      <c r="AC35" s="15">
        <v>0.9</v>
      </c>
      <c r="AD35" s="15">
        <v>0.25</v>
      </c>
      <c r="AE35" s="15">
        <v>0.02</v>
      </c>
    </row>
    <row r="36" spans="1:31" s="10" customFormat="1" ht="15.75" x14ac:dyDescent="0.25">
      <c r="A36" s="63"/>
      <c r="L36" s="57"/>
      <c r="M36" s="64"/>
      <c r="N36" s="11"/>
      <c r="O36" s="11"/>
      <c r="P36" s="54"/>
      <c r="Q36" s="54"/>
      <c r="R36" s="11"/>
      <c r="S36" s="11"/>
      <c r="T36" s="11"/>
    </row>
    <row r="37" spans="1:31" s="10" customFormat="1" ht="15.75" x14ac:dyDescent="0.25">
      <c r="A37" s="63"/>
      <c r="L37" s="57"/>
      <c r="M37" s="64"/>
      <c r="N37" s="11"/>
      <c r="O37" s="59"/>
      <c r="P37" s="54"/>
      <c r="Q37" s="54"/>
      <c r="R37" s="11"/>
      <c r="S37" s="11"/>
      <c r="T37" s="11"/>
    </row>
    <row r="38" spans="1:31" s="10" customFormat="1" ht="15.75" x14ac:dyDescent="0.25">
      <c r="A38" s="63"/>
      <c r="L38" s="57"/>
      <c r="M38" s="64"/>
      <c r="N38" s="11"/>
      <c r="O38" s="11"/>
      <c r="P38" s="54"/>
      <c r="Q38" s="54"/>
      <c r="R38" s="11"/>
      <c r="S38" s="11"/>
      <c r="T38" s="11"/>
    </row>
    <row r="39" spans="1:31" s="10" customFormat="1" ht="15.75" x14ac:dyDescent="0.25">
      <c r="A39" s="63"/>
      <c r="L39" s="57"/>
      <c r="M39" s="64"/>
      <c r="N39" s="11"/>
      <c r="O39" s="11"/>
      <c r="P39" s="54"/>
      <c r="Q39" s="54"/>
      <c r="R39" s="11"/>
      <c r="S39" s="11"/>
      <c r="T39" s="11"/>
    </row>
    <row r="40" spans="1:31" s="10" customFormat="1" ht="15.75" x14ac:dyDescent="0.25">
      <c r="A40" s="63"/>
      <c r="L40" s="57"/>
      <c r="M40" s="64"/>
      <c r="N40" s="11"/>
      <c r="O40" s="11"/>
      <c r="P40" s="54"/>
      <c r="Q40" s="54"/>
      <c r="R40" s="11"/>
      <c r="S40" s="11"/>
      <c r="T40" s="11"/>
    </row>
    <row r="41" spans="1:31" s="66" customFormat="1" ht="15.75" x14ac:dyDescent="0.2">
      <c r="A41" s="65"/>
      <c r="L41" s="57"/>
      <c r="M41" s="64"/>
      <c r="N41" s="11"/>
      <c r="O41" s="11"/>
      <c r="P41" s="54"/>
      <c r="Q41" s="54"/>
      <c r="R41" s="11"/>
      <c r="S41" s="11"/>
      <c r="T41" s="11"/>
    </row>
    <row r="42" spans="1:31" s="66" customFormat="1" ht="15.75" x14ac:dyDescent="0.2">
      <c r="A42" s="65"/>
      <c r="L42" s="57"/>
      <c r="M42" s="64"/>
      <c r="N42" s="11"/>
      <c r="O42" s="59"/>
      <c r="P42" s="54"/>
      <c r="Q42" s="54"/>
      <c r="R42" s="11"/>
      <c r="S42" s="11"/>
      <c r="T42" s="11"/>
    </row>
    <row r="43" spans="1:31" s="66" customFormat="1" x14ac:dyDescent="0.2">
      <c r="A43" s="65"/>
      <c r="M43" s="67"/>
    </row>
    <row r="44" spans="1:31" s="66" customFormat="1" x14ac:dyDescent="0.2">
      <c r="A44" s="65"/>
      <c r="M44" s="67"/>
    </row>
    <row r="45" spans="1:31" s="66" customFormat="1" x14ac:dyDescent="0.2">
      <c r="A45" s="65"/>
      <c r="M45" s="67"/>
    </row>
    <row r="46" spans="1:31" s="66" customFormat="1" x14ac:dyDescent="0.2">
      <c r="A46" s="65"/>
      <c r="M46" s="67"/>
    </row>
    <row r="47" spans="1:31" s="66" customFormat="1" x14ac:dyDescent="0.2">
      <c r="A47" s="65"/>
      <c r="M47" s="67"/>
    </row>
    <row r="48" spans="1:31" s="66" customFormat="1" x14ac:dyDescent="0.2">
      <c r="A48" s="65"/>
      <c r="M48" s="67"/>
    </row>
    <row r="49" spans="1:13" s="66" customFormat="1" x14ac:dyDescent="0.2">
      <c r="A49" s="65"/>
      <c r="M49" s="67"/>
    </row>
    <row r="50" spans="1:13" s="66" customFormat="1" x14ac:dyDescent="0.2">
      <c r="A50" s="65"/>
      <c r="M50" s="67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7"/>
  <sheetViews>
    <sheetView tabSelected="1" topLeftCell="E1" zoomScale="85" zoomScaleNormal="85" workbookViewId="0">
      <selection activeCell="K36" sqref="K36"/>
    </sheetView>
  </sheetViews>
  <sheetFormatPr defaultColWidth="8.875" defaultRowHeight="15" x14ac:dyDescent="0.25"/>
  <cols>
    <col min="1" max="1" width="30.875" style="5" customWidth="1"/>
    <col min="2" max="2" width="5.875" style="5" bestFit="1" customWidth="1"/>
    <col min="3" max="3" width="6.875" style="5" bestFit="1" customWidth="1"/>
    <col min="4" max="4" width="7" style="5" bestFit="1" customWidth="1"/>
    <col min="5" max="5" width="8.125" style="5" customWidth="1"/>
    <col min="6" max="6" width="7.625" style="5" bestFit="1" customWidth="1"/>
    <col min="7" max="12" width="10.75" style="5" bestFit="1" customWidth="1"/>
    <col min="13" max="13" width="6" style="5" customWidth="1"/>
    <col min="14" max="14" width="4.5" style="5" bestFit="1" customWidth="1"/>
    <col min="15" max="15" width="4.375" style="5" bestFit="1" customWidth="1"/>
    <col min="16" max="16" width="4.125" style="5" bestFit="1" customWidth="1"/>
    <col min="17" max="19" width="5.25" style="5" bestFit="1" customWidth="1"/>
    <col min="20" max="20" width="6.125" style="5" bestFit="1" customWidth="1"/>
    <col min="21" max="21" width="4.625" style="5" customWidth="1"/>
    <col min="22" max="23" width="9.625" style="5" bestFit="1" customWidth="1"/>
    <col min="24" max="24" width="13.375" style="6" customWidth="1"/>
    <col min="25" max="25" width="10.5" style="5" customWidth="1"/>
    <col min="26" max="28" width="8.875" style="5"/>
    <col min="29" max="29" width="12.125" style="5" bestFit="1" customWidth="1"/>
    <col min="30" max="34" width="8.875" style="5"/>
    <col min="35" max="37" width="10.375" style="5" bestFit="1" customWidth="1"/>
    <col min="38" max="16384" width="8.875" style="5"/>
  </cols>
  <sheetData>
    <row r="1" spans="1:48" s="10" customFormat="1" ht="26.25" customHeight="1" x14ac:dyDescent="0.25">
      <c r="A1" s="16">
        <f>'Para. setting'!L1</f>
        <v>0</v>
      </c>
      <c r="B1" s="16">
        <f>'Para. setting'!M1</f>
        <v>1</v>
      </c>
      <c r="C1" s="16">
        <f>'Para. setting'!N1</f>
        <v>2</v>
      </c>
      <c r="D1" s="16">
        <f>'Para. setting'!O1</f>
        <v>3</v>
      </c>
      <c r="E1" s="16">
        <f>'Para. setting'!P1</f>
        <v>4</v>
      </c>
      <c r="F1" s="16">
        <f>'Para. setting'!Q1</f>
        <v>5</v>
      </c>
      <c r="G1" s="74" t="s">
        <v>3</v>
      </c>
      <c r="H1" s="74"/>
      <c r="I1" s="74"/>
      <c r="J1" s="74"/>
      <c r="K1" s="74"/>
      <c r="L1" s="74"/>
      <c r="M1" s="19"/>
      <c r="N1" s="20" t="s">
        <v>6</v>
      </c>
      <c r="O1" s="20" t="s">
        <v>17</v>
      </c>
      <c r="P1" s="21" t="s">
        <v>18</v>
      </c>
      <c r="Q1" s="20" t="s">
        <v>16</v>
      </c>
      <c r="R1" s="20" t="s">
        <v>20</v>
      </c>
      <c r="S1" s="20" t="s">
        <v>21</v>
      </c>
      <c r="T1" s="20" t="s">
        <v>19</v>
      </c>
      <c r="U1" s="22"/>
      <c r="V1" s="23" t="s">
        <v>7</v>
      </c>
      <c r="W1" s="69" t="s">
        <v>8</v>
      </c>
      <c r="X1" s="11"/>
      <c r="Y1" s="11"/>
      <c r="Z1" s="11"/>
      <c r="AA1" s="11"/>
      <c r="AB1" s="11"/>
      <c r="AC1" s="11"/>
      <c r="AD1" s="11"/>
      <c r="AF1" s="11"/>
      <c r="AG1" s="11"/>
      <c r="AH1" s="11"/>
      <c r="AI1" s="11"/>
      <c r="AJ1" s="11"/>
      <c r="AK1" s="11"/>
      <c r="AL1" s="11"/>
      <c r="AM1" s="11"/>
      <c r="AO1" s="11"/>
      <c r="AP1" s="26"/>
      <c r="AQ1" s="26"/>
      <c r="AR1" s="26"/>
      <c r="AS1" s="11"/>
      <c r="AT1" s="26"/>
      <c r="AU1" s="26"/>
      <c r="AV1" s="26"/>
    </row>
    <row r="2" spans="1:48" s="10" customFormat="1" ht="15.75" x14ac:dyDescent="0.25">
      <c r="A2" s="16" t="str">
        <f>'Para. setting'!L2</f>
        <v>the population size factor</v>
      </c>
      <c r="B2" s="16">
        <f>'Para. setting'!M2</f>
        <v>1</v>
      </c>
      <c r="C2" s="16">
        <f>'Para. setting'!N2</f>
        <v>1.5</v>
      </c>
      <c r="D2" s="73">
        <f>'Para. setting'!O2</f>
        <v>2</v>
      </c>
      <c r="E2" s="16">
        <f>'Para. setting'!P2</f>
        <v>2.5</v>
      </c>
      <c r="F2" s="16">
        <f>'Para. setting'!Q2</f>
        <v>3</v>
      </c>
      <c r="G2" s="23">
        <v>1</v>
      </c>
      <c r="H2" s="23">
        <v>1</v>
      </c>
      <c r="I2" s="23">
        <v>1</v>
      </c>
      <c r="J2" s="23">
        <v>1</v>
      </c>
      <c r="K2" s="23">
        <v>1</v>
      </c>
      <c r="L2" s="23">
        <v>1</v>
      </c>
      <c r="M2" s="69"/>
      <c r="N2" s="30">
        <v>1</v>
      </c>
      <c r="O2" s="11">
        <f>HLOOKUP(G2,$B$1:$F$7,2)</f>
        <v>1</v>
      </c>
      <c r="P2" s="11">
        <f>HLOOKUP(H2,$B$1:$F$7,3)</f>
        <v>1</v>
      </c>
      <c r="Q2" s="11">
        <f>HLOOKUP(I2,$B$1:$F$7,4)</f>
        <v>0.5</v>
      </c>
      <c r="R2" s="11">
        <f>HLOOKUP(J2,$B$1:$F$7,5)</f>
        <v>0.7</v>
      </c>
      <c r="S2" s="11">
        <f>HLOOKUP(K2,$B$1:$F$7,6)</f>
        <v>0.05</v>
      </c>
      <c r="T2" s="11">
        <f>HLOOKUP(L2,$B$1:$F$7,7)</f>
        <v>0.02</v>
      </c>
      <c r="V2" s="14">
        <f>W2/360</f>
        <v>5.7386710953969359E-3</v>
      </c>
      <c r="W2" s="14">
        <f>Total!AH4</f>
        <v>2.065921594342897</v>
      </c>
      <c r="X2" s="14"/>
      <c r="Y2" s="14"/>
      <c r="Z2" s="14"/>
      <c r="AB2" s="14"/>
      <c r="AC2" s="14"/>
      <c r="AD2" s="14"/>
      <c r="AG2" s="14"/>
      <c r="AH2" s="14"/>
      <c r="AI2" s="14"/>
      <c r="AK2" s="14"/>
      <c r="AL2" s="14"/>
      <c r="AM2" s="14"/>
      <c r="AP2" s="14"/>
      <c r="AQ2" s="14"/>
      <c r="AR2" s="14"/>
      <c r="AT2" s="14"/>
      <c r="AU2" s="14"/>
      <c r="AV2" s="14"/>
    </row>
    <row r="3" spans="1:48" s="10" customFormat="1" ht="15.75" x14ac:dyDescent="0.25">
      <c r="A3" s="16" t="str">
        <f>'Para. setting'!L3</f>
        <v>the scale factor</v>
      </c>
      <c r="B3" s="16">
        <f>'Para. setting'!M3</f>
        <v>1</v>
      </c>
      <c r="C3" s="16">
        <f>'Para. setting'!N3</f>
        <v>1.2</v>
      </c>
      <c r="D3" s="16">
        <f>'Para. setting'!O3</f>
        <v>1.4</v>
      </c>
      <c r="E3" s="73">
        <f>'Para. setting'!P3</f>
        <v>1.6</v>
      </c>
      <c r="F3" s="16">
        <f>'Para. setting'!Q3</f>
        <v>1.8</v>
      </c>
      <c r="G3" s="23">
        <v>1</v>
      </c>
      <c r="H3" s="23">
        <v>2</v>
      </c>
      <c r="I3" s="23">
        <v>3</v>
      </c>
      <c r="J3" s="23">
        <v>4</v>
      </c>
      <c r="K3" s="23">
        <v>5</v>
      </c>
      <c r="L3" s="23">
        <v>2</v>
      </c>
      <c r="M3" s="69"/>
      <c r="N3" s="30">
        <v>2</v>
      </c>
      <c r="O3" s="11">
        <f t="shared" ref="O3:O26" si="0">HLOOKUP(G3,$B$1:$F$7,2)</f>
        <v>1</v>
      </c>
      <c r="P3" s="11">
        <f t="shared" ref="P3:P26" si="1">HLOOKUP(H3,$B$1:$F$7,3)</f>
        <v>1.2</v>
      </c>
      <c r="Q3" s="11">
        <f t="shared" ref="Q3:Q26" si="2">HLOOKUP(I3,$B$1:$F$7,4)</f>
        <v>0.7</v>
      </c>
      <c r="R3" s="11">
        <f t="shared" ref="R3:R26" si="3">HLOOKUP(J3,$B$1:$F$7,5)</f>
        <v>0.85</v>
      </c>
      <c r="S3" s="11">
        <f t="shared" ref="S3:S26" si="4">HLOOKUP(K3,$B$1:$F$7,6)</f>
        <v>0.25</v>
      </c>
      <c r="T3" s="11">
        <f t="shared" ref="T3:T26" si="5">HLOOKUP(L3,$B$1:$F$7,7)</f>
        <v>0.04</v>
      </c>
      <c r="U3" s="33"/>
      <c r="V3" s="14">
        <f t="shared" ref="V3:V26" si="6">W3/360</f>
        <v>5.3814556124601679E-3</v>
      </c>
      <c r="W3" s="14">
        <f>Total!AH5</f>
        <v>1.9373240204856603</v>
      </c>
      <c r="X3" s="14"/>
      <c r="Y3" s="14"/>
      <c r="Z3" s="14"/>
      <c r="AB3" s="14"/>
      <c r="AC3" s="14"/>
      <c r="AD3" s="14"/>
      <c r="AG3" s="14"/>
      <c r="AH3" s="14"/>
      <c r="AI3" s="14"/>
      <c r="AK3" s="14"/>
      <c r="AL3" s="14"/>
      <c r="AM3" s="14"/>
      <c r="AP3" s="14"/>
      <c r="AQ3" s="14"/>
      <c r="AR3" s="14"/>
      <c r="AT3" s="14"/>
      <c r="AU3" s="14"/>
      <c r="AV3" s="14"/>
    </row>
    <row r="4" spans="1:48" s="10" customFormat="1" ht="15.75" x14ac:dyDescent="0.25">
      <c r="A4" s="16" t="str">
        <f>'Para. setting'!L4</f>
        <v>the weight factor</v>
      </c>
      <c r="B4" s="16">
        <f>'Para. setting'!M4</f>
        <v>0.5</v>
      </c>
      <c r="C4" s="16">
        <f>'Para. setting'!N4</f>
        <v>0.6</v>
      </c>
      <c r="D4" s="73">
        <f>'Para. setting'!O4</f>
        <v>0.7</v>
      </c>
      <c r="E4" s="16">
        <f>'Para. setting'!P4</f>
        <v>0.8</v>
      </c>
      <c r="F4" s="16">
        <f>'Para. setting'!Q4</f>
        <v>0.9</v>
      </c>
      <c r="G4" s="23">
        <v>1</v>
      </c>
      <c r="H4" s="23">
        <v>3</v>
      </c>
      <c r="I4" s="23">
        <v>5</v>
      </c>
      <c r="J4" s="23">
        <v>2</v>
      </c>
      <c r="K4" s="23">
        <v>4</v>
      </c>
      <c r="L4" s="23">
        <v>3</v>
      </c>
      <c r="M4" s="69"/>
      <c r="N4" s="30">
        <v>3</v>
      </c>
      <c r="O4" s="11">
        <f t="shared" si="0"/>
        <v>1</v>
      </c>
      <c r="P4" s="11">
        <f t="shared" si="1"/>
        <v>1.4</v>
      </c>
      <c r="Q4" s="11">
        <f t="shared" si="2"/>
        <v>0.9</v>
      </c>
      <c r="R4" s="11">
        <f t="shared" si="3"/>
        <v>0.75</v>
      </c>
      <c r="S4" s="11">
        <f t="shared" si="4"/>
        <v>0.2</v>
      </c>
      <c r="T4" s="11">
        <f t="shared" si="5"/>
        <v>0.06</v>
      </c>
      <c r="V4" s="14">
        <f t="shared" si="6"/>
        <v>5.8915392501166508E-3</v>
      </c>
      <c r="W4" s="14">
        <f>Total!AH6</f>
        <v>2.1209541300419943</v>
      </c>
      <c r="X4" s="14"/>
      <c r="Y4" s="14"/>
      <c r="Z4" s="14"/>
      <c r="AB4" s="14"/>
      <c r="AC4" s="14"/>
      <c r="AD4" s="14"/>
      <c r="AG4" s="14"/>
      <c r="AH4" s="14"/>
      <c r="AI4" s="14"/>
      <c r="AK4" s="14"/>
      <c r="AL4" s="14"/>
      <c r="AM4" s="14"/>
      <c r="AP4" s="14"/>
      <c r="AQ4" s="14"/>
      <c r="AR4" s="14"/>
      <c r="AT4" s="14"/>
      <c r="AU4" s="14"/>
      <c r="AV4" s="14"/>
    </row>
    <row r="5" spans="1:48" s="10" customFormat="1" ht="15.75" x14ac:dyDescent="0.25">
      <c r="A5" s="16" t="str">
        <f>'Para. setting'!L5</f>
        <v>the biases rate</v>
      </c>
      <c r="B5" s="16">
        <f>'Para. setting'!M5</f>
        <v>0.7</v>
      </c>
      <c r="C5" s="16">
        <f>'Para. setting'!N5</f>
        <v>0.75</v>
      </c>
      <c r="D5" s="16">
        <f>'Para. setting'!O5</f>
        <v>0.8</v>
      </c>
      <c r="E5" s="73">
        <f>'Para. setting'!P5</f>
        <v>0.85</v>
      </c>
      <c r="F5" s="16">
        <f>'Para. setting'!Q5</f>
        <v>0.9</v>
      </c>
      <c r="G5" s="23">
        <v>1</v>
      </c>
      <c r="H5" s="23">
        <v>4</v>
      </c>
      <c r="I5" s="23">
        <v>2</v>
      </c>
      <c r="J5" s="23">
        <v>5</v>
      </c>
      <c r="K5" s="23">
        <v>3</v>
      </c>
      <c r="L5" s="23">
        <v>4</v>
      </c>
      <c r="M5" s="69"/>
      <c r="N5" s="30">
        <v>4</v>
      </c>
      <c r="O5" s="11">
        <f t="shared" si="0"/>
        <v>1</v>
      </c>
      <c r="P5" s="11">
        <f t="shared" si="1"/>
        <v>1.6</v>
      </c>
      <c r="Q5" s="11">
        <f t="shared" si="2"/>
        <v>0.6</v>
      </c>
      <c r="R5" s="11">
        <f t="shared" si="3"/>
        <v>0.9</v>
      </c>
      <c r="S5" s="11">
        <f t="shared" si="4"/>
        <v>0.15</v>
      </c>
      <c r="T5" s="11">
        <f t="shared" si="5"/>
        <v>0.08</v>
      </c>
      <c r="V5" s="14">
        <f t="shared" si="6"/>
        <v>5.8059875581472726E-3</v>
      </c>
      <c r="W5" s="14">
        <f>Total!AH7</f>
        <v>2.0901555209330183</v>
      </c>
      <c r="X5" s="14"/>
      <c r="Y5" s="14"/>
      <c r="Z5" s="14"/>
      <c r="AB5" s="14"/>
      <c r="AC5" s="14"/>
      <c r="AD5" s="14"/>
      <c r="AG5" s="14"/>
      <c r="AH5" s="14"/>
      <c r="AI5" s="14"/>
      <c r="AK5" s="14"/>
      <c r="AL5" s="14"/>
      <c r="AM5" s="14"/>
      <c r="AP5" s="14"/>
      <c r="AQ5" s="14"/>
      <c r="AR5" s="14"/>
      <c r="AT5" s="14"/>
      <c r="AU5" s="14"/>
      <c r="AV5" s="14"/>
    </row>
    <row r="6" spans="1:48" s="10" customFormat="1" ht="15.75" x14ac:dyDescent="0.25">
      <c r="A6" s="16" t="str">
        <f>'Para. setting'!L6</f>
        <v>the immigration rate</v>
      </c>
      <c r="B6" s="16">
        <f>'Para. setting'!M6</f>
        <v>0.05</v>
      </c>
      <c r="C6" s="73">
        <f>'Para. setting'!N6</f>
        <v>0.1</v>
      </c>
      <c r="D6" s="16">
        <f>'Para. setting'!O6</f>
        <v>0.15</v>
      </c>
      <c r="E6" s="16">
        <f>'Para. setting'!P6</f>
        <v>0.2</v>
      </c>
      <c r="F6" s="16">
        <f>'Para. setting'!Q6</f>
        <v>0.25</v>
      </c>
      <c r="G6" s="23">
        <v>1</v>
      </c>
      <c r="H6" s="23">
        <v>5</v>
      </c>
      <c r="I6" s="23">
        <v>4</v>
      </c>
      <c r="J6" s="23">
        <v>3</v>
      </c>
      <c r="K6" s="23">
        <v>2</v>
      </c>
      <c r="L6" s="23">
        <v>5</v>
      </c>
      <c r="M6" s="69"/>
      <c r="N6" s="30">
        <v>5</v>
      </c>
      <c r="O6" s="11">
        <f t="shared" si="0"/>
        <v>1</v>
      </c>
      <c r="P6" s="11">
        <f t="shared" si="1"/>
        <v>1.8</v>
      </c>
      <c r="Q6" s="11">
        <f t="shared" si="2"/>
        <v>0.8</v>
      </c>
      <c r="R6" s="11">
        <f t="shared" si="3"/>
        <v>0.8</v>
      </c>
      <c r="S6" s="11">
        <f t="shared" si="4"/>
        <v>0.1</v>
      </c>
      <c r="T6" s="11">
        <f t="shared" si="5"/>
        <v>0.1</v>
      </c>
      <c r="V6" s="14">
        <f t="shared" si="6"/>
        <v>5.9434100321314343E-3</v>
      </c>
      <c r="W6" s="14">
        <f>Total!AH8</f>
        <v>2.1396276115673163</v>
      </c>
      <c r="X6" s="14"/>
      <c r="Y6" s="14"/>
      <c r="Z6" s="14"/>
      <c r="AB6" s="14"/>
      <c r="AC6" s="14"/>
      <c r="AD6" s="14"/>
      <c r="AG6" s="14"/>
      <c r="AH6" s="14"/>
      <c r="AI6" s="14"/>
      <c r="AK6" s="14"/>
      <c r="AL6" s="14"/>
      <c r="AM6" s="14"/>
      <c r="AP6" s="14"/>
      <c r="AQ6" s="14"/>
      <c r="AR6" s="14"/>
      <c r="AT6" s="14"/>
      <c r="AU6" s="14"/>
      <c r="AV6" s="14"/>
    </row>
    <row r="7" spans="1:48" s="10" customFormat="1" ht="15.75" x14ac:dyDescent="0.25">
      <c r="A7" s="16" t="str">
        <f>'Para. setting'!L7</f>
        <v>the improvement rate</v>
      </c>
      <c r="B7" s="16">
        <f>'Para. setting'!M7</f>
        <v>0.02</v>
      </c>
      <c r="C7" s="16">
        <f>'Para. setting'!N7</f>
        <v>0.04</v>
      </c>
      <c r="D7" s="72">
        <f>'Para. setting'!O7</f>
        <v>0.06</v>
      </c>
      <c r="E7" s="73">
        <f>'Para. setting'!P7</f>
        <v>0.08</v>
      </c>
      <c r="F7" s="16">
        <f>'Para. setting'!Q7</f>
        <v>0.1</v>
      </c>
      <c r="G7" s="23">
        <v>2</v>
      </c>
      <c r="H7" s="23">
        <v>1</v>
      </c>
      <c r="I7" s="23">
        <v>5</v>
      </c>
      <c r="J7" s="23">
        <v>4</v>
      </c>
      <c r="K7" s="23">
        <v>3</v>
      </c>
      <c r="L7" s="23">
        <v>5</v>
      </c>
      <c r="M7" s="69"/>
      <c r="N7" s="30">
        <v>6</v>
      </c>
      <c r="O7" s="11">
        <f t="shared" si="0"/>
        <v>1.5</v>
      </c>
      <c r="P7" s="11">
        <f t="shared" si="1"/>
        <v>1</v>
      </c>
      <c r="Q7" s="11">
        <f t="shared" si="2"/>
        <v>0.9</v>
      </c>
      <c r="R7" s="11">
        <f t="shared" si="3"/>
        <v>0.85</v>
      </c>
      <c r="S7" s="11">
        <f t="shared" si="4"/>
        <v>0.15</v>
      </c>
      <c r="T7" s="11">
        <f t="shared" si="5"/>
        <v>0.1</v>
      </c>
      <c r="V7" s="14">
        <f t="shared" si="6"/>
        <v>5.1608293338395164E-3</v>
      </c>
      <c r="W7" s="14">
        <f>Total!AH9</f>
        <v>1.8578985601822258</v>
      </c>
      <c r="X7" s="14"/>
      <c r="Y7" s="14"/>
      <c r="Z7" s="14"/>
      <c r="AB7" s="14"/>
      <c r="AC7" s="14"/>
      <c r="AD7" s="14"/>
      <c r="AG7" s="14"/>
      <c r="AH7" s="14"/>
      <c r="AI7" s="14"/>
      <c r="AK7" s="14"/>
      <c r="AL7" s="14"/>
      <c r="AM7" s="14"/>
      <c r="AP7" s="14"/>
      <c r="AQ7" s="14"/>
      <c r="AR7" s="14"/>
      <c r="AT7" s="14"/>
      <c r="AU7" s="14"/>
      <c r="AV7" s="14"/>
    </row>
    <row r="8" spans="1:48" s="10" customFormat="1" ht="15.75" x14ac:dyDescent="0.25">
      <c r="A8" s="35"/>
      <c r="B8" s="36"/>
      <c r="C8" s="36"/>
      <c r="D8" s="36"/>
      <c r="E8" s="36"/>
      <c r="G8" s="23">
        <v>2</v>
      </c>
      <c r="H8" s="23">
        <v>2</v>
      </c>
      <c r="I8" s="23">
        <v>2</v>
      </c>
      <c r="J8" s="23">
        <v>2</v>
      </c>
      <c r="K8" s="23">
        <v>2</v>
      </c>
      <c r="L8" s="23">
        <v>1</v>
      </c>
      <c r="M8" s="69"/>
      <c r="N8" s="30">
        <v>7</v>
      </c>
      <c r="O8" s="11">
        <f t="shared" si="0"/>
        <v>1.5</v>
      </c>
      <c r="P8" s="11">
        <f t="shared" si="1"/>
        <v>1.2</v>
      </c>
      <c r="Q8" s="11">
        <f t="shared" si="2"/>
        <v>0.6</v>
      </c>
      <c r="R8" s="11">
        <f t="shared" si="3"/>
        <v>0.75</v>
      </c>
      <c r="S8" s="11">
        <f t="shared" si="4"/>
        <v>0.1</v>
      </c>
      <c r="T8" s="11">
        <f t="shared" si="5"/>
        <v>0.02</v>
      </c>
      <c r="V8" s="14">
        <f t="shared" si="6"/>
        <v>4.7613996731315066E-3</v>
      </c>
      <c r="W8" s="14">
        <f>Total!AH10</f>
        <v>1.7141038823273422</v>
      </c>
      <c r="X8" s="14"/>
      <c r="Y8" s="14"/>
      <c r="Z8" s="14"/>
      <c r="AB8" s="14"/>
      <c r="AC8" s="14"/>
      <c r="AD8" s="14"/>
      <c r="AG8" s="14"/>
      <c r="AH8" s="14"/>
      <c r="AI8" s="14"/>
      <c r="AK8" s="14"/>
      <c r="AL8" s="14"/>
      <c r="AM8" s="14"/>
      <c r="AP8" s="14"/>
      <c r="AQ8" s="14"/>
      <c r="AR8" s="14"/>
      <c r="AT8" s="14"/>
      <c r="AU8" s="14"/>
      <c r="AV8" s="14"/>
    </row>
    <row r="9" spans="1:48" s="10" customFormat="1" ht="15.75" x14ac:dyDescent="0.25">
      <c r="A9" s="35"/>
      <c r="B9" s="32"/>
      <c r="C9" s="32"/>
      <c r="D9" s="32"/>
      <c r="E9" s="32"/>
      <c r="G9" s="23">
        <v>2</v>
      </c>
      <c r="H9" s="23">
        <v>3</v>
      </c>
      <c r="I9" s="23">
        <v>4</v>
      </c>
      <c r="J9" s="23">
        <v>5</v>
      </c>
      <c r="K9" s="23">
        <v>1</v>
      </c>
      <c r="L9" s="23">
        <v>2</v>
      </c>
      <c r="M9" s="69"/>
      <c r="N9" s="30">
        <v>8</v>
      </c>
      <c r="O9" s="11">
        <f t="shared" si="0"/>
        <v>1.5</v>
      </c>
      <c r="P9" s="11">
        <f t="shared" si="1"/>
        <v>1.4</v>
      </c>
      <c r="Q9" s="11">
        <f t="shared" si="2"/>
        <v>0.8</v>
      </c>
      <c r="R9" s="11">
        <f t="shared" si="3"/>
        <v>0.9</v>
      </c>
      <c r="S9" s="11">
        <f t="shared" si="4"/>
        <v>0.05</v>
      </c>
      <c r="T9" s="11">
        <f t="shared" si="5"/>
        <v>0.04</v>
      </c>
      <c r="V9" s="14">
        <f t="shared" si="6"/>
        <v>5.3857260620671166E-3</v>
      </c>
      <c r="W9" s="14">
        <f>Total!AH11</f>
        <v>1.9388613823441621</v>
      </c>
      <c r="X9" s="14"/>
      <c r="Y9" s="14"/>
      <c r="Z9" s="14"/>
      <c r="AB9" s="14"/>
      <c r="AC9" s="14"/>
      <c r="AD9" s="14"/>
      <c r="AG9" s="14"/>
      <c r="AH9" s="14"/>
      <c r="AI9" s="14"/>
      <c r="AK9" s="14"/>
      <c r="AL9" s="14"/>
      <c r="AM9" s="14"/>
      <c r="AP9" s="14"/>
      <c r="AQ9" s="14"/>
      <c r="AR9" s="14"/>
      <c r="AT9" s="14"/>
      <c r="AU9" s="14"/>
      <c r="AV9" s="14"/>
    </row>
    <row r="10" spans="1:48" s="10" customFormat="1" ht="15.75" x14ac:dyDescent="0.25">
      <c r="A10" s="37"/>
      <c r="G10" s="23">
        <v>2</v>
      </c>
      <c r="H10" s="23">
        <v>4</v>
      </c>
      <c r="I10" s="23">
        <v>1</v>
      </c>
      <c r="J10" s="23">
        <v>3</v>
      </c>
      <c r="K10" s="23">
        <v>5</v>
      </c>
      <c r="L10" s="23">
        <v>3</v>
      </c>
      <c r="M10" s="69"/>
      <c r="N10" s="30">
        <v>9</v>
      </c>
      <c r="O10" s="11">
        <f t="shared" si="0"/>
        <v>1.5</v>
      </c>
      <c r="P10" s="11">
        <f t="shared" si="1"/>
        <v>1.6</v>
      </c>
      <c r="Q10" s="11">
        <f t="shared" si="2"/>
        <v>0.5</v>
      </c>
      <c r="R10" s="11">
        <f t="shared" si="3"/>
        <v>0.8</v>
      </c>
      <c r="S10" s="11">
        <f t="shared" si="4"/>
        <v>0.25</v>
      </c>
      <c r="T10" s="11">
        <f t="shared" si="5"/>
        <v>0.06</v>
      </c>
      <c r="V10" s="14">
        <f t="shared" si="6"/>
        <v>5.4805966071613506E-3</v>
      </c>
      <c r="W10" s="14">
        <f>Total!AH12</f>
        <v>1.9730147785780863</v>
      </c>
      <c r="X10" s="14"/>
      <c r="Y10" s="14"/>
      <c r="Z10" s="14"/>
      <c r="AB10" s="14"/>
      <c r="AC10" s="14"/>
      <c r="AD10" s="14"/>
      <c r="AG10" s="14"/>
      <c r="AH10" s="14"/>
      <c r="AI10" s="14"/>
      <c r="AK10" s="14"/>
      <c r="AL10" s="14"/>
      <c r="AM10" s="14"/>
      <c r="AP10" s="14"/>
      <c r="AQ10" s="14"/>
      <c r="AR10" s="14"/>
      <c r="AT10" s="14"/>
      <c r="AU10" s="14"/>
      <c r="AV10" s="14"/>
    </row>
    <row r="11" spans="1:48" s="10" customFormat="1" ht="15.75" x14ac:dyDescent="0.25">
      <c r="G11" s="23">
        <v>2</v>
      </c>
      <c r="H11" s="23">
        <v>5</v>
      </c>
      <c r="I11" s="23">
        <v>3</v>
      </c>
      <c r="J11" s="23">
        <v>1</v>
      </c>
      <c r="K11" s="23">
        <v>4</v>
      </c>
      <c r="L11" s="23">
        <v>4</v>
      </c>
      <c r="M11" s="69"/>
      <c r="N11" s="30">
        <v>10</v>
      </c>
      <c r="O11" s="11">
        <f t="shared" si="0"/>
        <v>1.5</v>
      </c>
      <c r="P11" s="11">
        <f t="shared" si="1"/>
        <v>1.8</v>
      </c>
      <c r="Q11" s="11">
        <f t="shared" si="2"/>
        <v>0.7</v>
      </c>
      <c r="R11" s="11">
        <f t="shared" si="3"/>
        <v>0.7</v>
      </c>
      <c r="S11" s="11">
        <f t="shared" si="4"/>
        <v>0.2</v>
      </c>
      <c r="T11" s="11">
        <f t="shared" si="5"/>
        <v>0.08</v>
      </c>
      <c r="V11" s="14">
        <f t="shared" si="6"/>
        <v>5.2315982284613814E-3</v>
      </c>
      <c r="W11" s="14">
        <f>Total!AH13</f>
        <v>1.8833753622460974</v>
      </c>
      <c r="X11" s="14"/>
      <c r="Y11" s="14"/>
      <c r="Z11" s="14"/>
      <c r="AB11" s="14"/>
      <c r="AC11" s="14"/>
      <c r="AD11" s="14"/>
      <c r="AG11" s="14"/>
      <c r="AH11" s="14"/>
      <c r="AI11" s="14"/>
      <c r="AK11" s="14"/>
      <c r="AL11" s="14"/>
      <c r="AM11" s="14"/>
      <c r="AP11" s="14"/>
      <c r="AQ11" s="14"/>
      <c r="AR11" s="14"/>
      <c r="AT11" s="14"/>
      <c r="AU11" s="14"/>
      <c r="AV11" s="14"/>
    </row>
    <row r="12" spans="1:48" s="10" customFormat="1" ht="15.75" x14ac:dyDescent="0.25">
      <c r="G12" s="23">
        <v>3</v>
      </c>
      <c r="H12" s="23">
        <v>1</v>
      </c>
      <c r="I12" s="23">
        <v>4</v>
      </c>
      <c r="J12" s="23">
        <v>2</v>
      </c>
      <c r="K12" s="23">
        <v>5</v>
      </c>
      <c r="L12" s="23">
        <v>4</v>
      </c>
      <c r="M12" s="69"/>
      <c r="N12" s="30">
        <v>11</v>
      </c>
      <c r="O12" s="11">
        <f t="shared" si="0"/>
        <v>2</v>
      </c>
      <c r="P12" s="11">
        <f t="shared" si="1"/>
        <v>1</v>
      </c>
      <c r="Q12" s="11">
        <f t="shared" si="2"/>
        <v>0.8</v>
      </c>
      <c r="R12" s="11">
        <f t="shared" si="3"/>
        <v>0.75</v>
      </c>
      <c r="S12" s="11">
        <f t="shared" si="4"/>
        <v>0.25</v>
      </c>
      <c r="T12" s="11">
        <f t="shared" si="5"/>
        <v>0.08</v>
      </c>
      <c r="V12" s="14">
        <f t="shared" si="6"/>
        <v>5.3093300464630106E-3</v>
      </c>
      <c r="W12" s="14">
        <f>Total!AH14</f>
        <v>1.911358816726684</v>
      </c>
      <c r="X12" s="14"/>
      <c r="Y12" s="14"/>
      <c r="Z12" s="14"/>
      <c r="AB12" s="14"/>
      <c r="AC12" s="14"/>
      <c r="AD12" s="14"/>
      <c r="AG12" s="14"/>
      <c r="AH12" s="14"/>
      <c r="AI12" s="14"/>
      <c r="AK12" s="14"/>
      <c r="AL12" s="14"/>
      <c r="AM12" s="14"/>
      <c r="AP12" s="14"/>
      <c r="AQ12" s="14"/>
      <c r="AR12" s="14"/>
      <c r="AT12" s="14"/>
      <c r="AU12" s="14"/>
      <c r="AV12" s="14"/>
    </row>
    <row r="13" spans="1:48" s="10" customFormat="1" ht="15.75" x14ac:dyDescent="0.25">
      <c r="G13" s="23">
        <v>3</v>
      </c>
      <c r="H13" s="23">
        <v>2</v>
      </c>
      <c r="I13" s="23">
        <v>1</v>
      </c>
      <c r="J13" s="23">
        <v>5</v>
      </c>
      <c r="K13" s="23">
        <v>4</v>
      </c>
      <c r="L13" s="23">
        <v>5</v>
      </c>
      <c r="M13" s="69"/>
      <c r="N13" s="30">
        <v>12</v>
      </c>
      <c r="O13" s="11">
        <f t="shared" si="0"/>
        <v>2</v>
      </c>
      <c r="P13" s="11">
        <f t="shared" si="1"/>
        <v>1.2</v>
      </c>
      <c r="Q13" s="11">
        <f t="shared" si="2"/>
        <v>0.5</v>
      </c>
      <c r="R13" s="11">
        <f t="shared" si="3"/>
        <v>0.9</v>
      </c>
      <c r="S13" s="11">
        <f t="shared" si="4"/>
        <v>0.2</v>
      </c>
      <c r="T13" s="11">
        <f t="shared" si="5"/>
        <v>0.1</v>
      </c>
      <c r="V13" s="14">
        <f t="shared" si="6"/>
        <v>5.6132614384774519E-3</v>
      </c>
      <c r="W13" s="14">
        <f>Total!AH15</f>
        <v>2.0207741178518828</v>
      </c>
      <c r="X13" s="14"/>
      <c r="Y13" s="14"/>
      <c r="Z13" s="14"/>
      <c r="AB13" s="14"/>
      <c r="AC13" s="14"/>
      <c r="AD13" s="14"/>
      <c r="AG13" s="14"/>
      <c r="AH13" s="14"/>
      <c r="AI13" s="14"/>
      <c r="AK13" s="14"/>
      <c r="AL13" s="14"/>
      <c r="AM13" s="14"/>
      <c r="AP13" s="14"/>
      <c r="AQ13" s="14"/>
      <c r="AR13" s="14"/>
      <c r="AT13" s="14"/>
      <c r="AU13" s="14"/>
      <c r="AV13" s="14"/>
    </row>
    <row r="14" spans="1:48" s="10" customFormat="1" ht="15.75" x14ac:dyDescent="0.25">
      <c r="G14" s="23">
        <v>3</v>
      </c>
      <c r="H14" s="23">
        <v>3</v>
      </c>
      <c r="I14" s="23">
        <v>3</v>
      </c>
      <c r="J14" s="23">
        <v>3</v>
      </c>
      <c r="K14" s="23">
        <v>3</v>
      </c>
      <c r="L14" s="23">
        <v>1</v>
      </c>
      <c r="M14" s="69"/>
      <c r="N14" s="30">
        <v>13</v>
      </c>
      <c r="O14" s="11">
        <f t="shared" si="0"/>
        <v>2</v>
      </c>
      <c r="P14" s="11">
        <f t="shared" si="1"/>
        <v>1.4</v>
      </c>
      <c r="Q14" s="11">
        <f t="shared" si="2"/>
        <v>0.7</v>
      </c>
      <c r="R14" s="11">
        <f t="shared" si="3"/>
        <v>0.8</v>
      </c>
      <c r="S14" s="11">
        <f t="shared" si="4"/>
        <v>0.15</v>
      </c>
      <c r="T14" s="11">
        <f t="shared" si="5"/>
        <v>0.02</v>
      </c>
      <c r="V14" s="14">
        <f t="shared" si="6"/>
        <v>5.1009231193267683E-3</v>
      </c>
      <c r="W14" s="14">
        <f>Total!AH16</f>
        <v>1.8363323229576367</v>
      </c>
      <c r="X14" s="14"/>
      <c r="Y14" s="14"/>
      <c r="Z14" s="14"/>
      <c r="AB14" s="14"/>
      <c r="AC14" s="14"/>
      <c r="AD14" s="14"/>
      <c r="AG14" s="14"/>
      <c r="AH14" s="14"/>
      <c r="AI14" s="14"/>
      <c r="AK14" s="14"/>
      <c r="AL14" s="14"/>
      <c r="AM14" s="14"/>
      <c r="AP14" s="14"/>
      <c r="AQ14" s="14"/>
      <c r="AR14" s="14"/>
      <c r="AT14" s="14"/>
      <c r="AU14" s="14"/>
      <c r="AV14" s="14"/>
    </row>
    <row r="15" spans="1:48" s="10" customFormat="1" ht="15.75" x14ac:dyDescent="0.25">
      <c r="G15" s="23">
        <v>3</v>
      </c>
      <c r="H15" s="23">
        <v>4</v>
      </c>
      <c r="I15" s="23">
        <v>5</v>
      </c>
      <c r="J15" s="23">
        <v>1</v>
      </c>
      <c r="K15" s="23">
        <v>2</v>
      </c>
      <c r="L15" s="23">
        <v>2</v>
      </c>
      <c r="M15" s="69"/>
      <c r="N15" s="30">
        <v>14</v>
      </c>
      <c r="O15" s="11">
        <f t="shared" si="0"/>
        <v>2</v>
      </c>
      <c r="P15" s="11">
        <f t="shared" si="1"/>
        <v>1.6</v>
      </c>
      <c r="Q15" s="11">
        <f t="shared" si="2"/>
        <v>0.9</v>
      </c>
      <c r="R15" s="11">
        <f t="shared" si="3"/>
        <v>0.7</v>
      </c>
      <c r="S15" s="11">
        <f t="shared" si="4"/>
        <v>0.1</v>
      </c>
      <c r="T15" s="11">
        <f t="shared" si="5"/>
        <v>0.04</v>
      </c>
      <c r="V15" s="14">
        <f t="shared" si="6"/>
        <v>4.7320735149299544E-3</v>
      </c>
      <c r="W15" s="14">
        <f>Total!AH17</f>
        <v>1.7035464653747836</v>
      </c>
      <c r="X15" s="14"/>
      <c r="Y15" s="14"/>
      <c r="Z15" s="14"/>
      <c r="AB15" s="14"/>
      <c r="AC15" s="14"/>
      <c r="AD15" s="14"/>
      <c r="AG15" s="14"/>
      <c r="AH15" s="14"/>
      <c r="AI15" s="14"/>
      <c r="AK15" s="14"/>
      <c r="AL15" s="14"/>
      <c r="AM15" s="14"/>
      <c r="AP15" s="14"/>
      <c r="AQ15" s="14"/>
      <c r="AR15" s="14"/>
      <c r="AT15" s="14"/>
      <c r="AU15" s="14"/>
      <c r="AV15" s="14"/>
    </row>
    <row r="16" spans="1:48" s="10" customFormat="1" ht="15.75" x14ac:dyDescent="0.25">
      <c r="A16" s="38"/>
      <c r="B16" s="39"/>
      <c r="C16" s="39"/>
      <c r="D16" s="39"/>
      <c r="E16" s="39"/>
      <c r="G16" s="23">
        <v>3</v>
      </c>
      <c r="H16" s="23">
        <v>5</v>
      </c>
      <c r="I16" s="23">
        <v>2</v>
      </c>
      <c r="J16" s="23">
        <v>4</v>
      </c>
      <c r="K16" s="23">
        <v>1</v>
      </c>
      <c r="L16" s="23">
        <v>3</v>
      </c>
      <c r="M16" s="69"/>
      <c r="N16" s="30">
        <v>15</v>
      </c>
      <c r="O16" s="11">
        <f t="shared" si="0"/>
        <v>2</v>
      </c>
      <c r="P16" s="11">
        <f t="shared" si="1"/>
        <v>1.8</v>
      </c>
      <c r="Q16" s="11">
        <f t="shared" si="2"/>
        <v>0.6</v>
      </c>
      <c r="R16" s="11">
        <f t="shared" si="3"/>
        <v>0.85</v>
      </c>
      <c r="S16" s="11">
        <f t="shared" si="4"/>
        <v>0.05</v>
      </c>
      <c r="T16" s="11">
        <f t="shared" si="5"/>
        <v>0.06</v>
      </c>
      <c r="V16" s="14">
        <f t="shared" si="6"/>
        <v>5.1971752888749188E-3</v>
      </c>
      <c r="W16" s="14">
        <f>Total!AH18</f>
        <v>1.8709831039949707</v>
      </c>
      <c r="X16" s="14"/>
      <c r="Y16" s="14"/>
      <c r="Z16" s="14"/>
      <c r="AB16" s="14"/>
      <c r="AC16" s="14"/>
      <c r="AD16" s="14"/>
      <c r="AG16" s="14"/>
      <c r="AH16" s="14"/>
      <c r="AI16" s="14"/>
      <c r="AK16" s="14"/>
      <c r="AL16" s="14"/>
      <c r="AM16" s="14"/>
      <c r="AP16" s="14"/>
      <c r="AQ16" s="14"/>
      <c r="AR16" s="14"/>
      <c r="AT16" s="14"/>
      <c r="AU16" s="14"/>
      <c r="AV16" s="14"/>
    </row>
    <row r="17" spans="1:48" s="10" customFormat="1" ht="15.75" x14ac:dyDescent="0.25">
      <c r="A17" s="40"/>
      <c r="B17" s="11"/>
      <c r="C17" s="11"/>
      <c r="D17" s="11"/>
      <c r="E17" s="11"/>
      <c r="G17" s="23">
        <v>4</v>
      </c>
      <c r="H17" s="23">
        <v>1</v>
      </c>
      <c r="I17" s="23">
        <v>3</v>
      </c>
      <c r="J17" s="23">
        <v>5</v>
      </c>
      <c r="K17" s="23">
        <v>2</v>
      </c>
      <c r="L17" s="23">
        <v>3</v>
      </c>
      <c r="M17" s="69"/>
      <c r="N17" s="30">
        <v>16</v>
      </c>
      <c r="O17" s="11">
        <f t="shared" si="0"/>
        <v>2.5</v>
      </c>
      <c r="P17" s="11">
        <f t="shared" si="1"/>
        <v>1</v>
      </c>
      <c r="Q17" s="11">
        <f t="shared" si="2"/>
        <v>0.7</v>
      </c>
      <c r="R17" s="11">
        <f t="shared" si="3"/>
        <v>0.9</v>
      </c>
      <c r="S17" s="11">
        <f t="shared" si="4"/>
        <v>0.1</v>
      </c>
      <c r="T17" s="11">
        <f t="shared" si="5"/>
        <v>0.06</v>
      </c>
      <c r="V17" s="14">
        <f t="shared" si="6"/>
        <v>4.8803355788269902E-3</v>
      </c>
      <c r="W17" s="14">
        <f>Total!AH19</f>
        <v>1.7569208083777164</v>
      </c>
      <c r="X17" s="14"/>
      <c r="Y17" s="14"/>
      <c r="Z17" s="14"/>
      <c r="AB17" s="14"/>
      <c r="AC17" s="14"/>
      <c r="AD17" s="14"/>
      <c r="AG17" s="14"/>
      <c r="AH17" s="14"/>
      <c r="AI17" s="14"/>
      <c r="AK17" s="14"/>
      <c r="AL17" s="14"/>
      <c r="AM17" s="14"/>
      <c r="AP17" s="14"/>
      <c r="AQ17" s="14"/>
      <c r="AR17" s="14"/>
      <c r="AT17" s="14"/>
      <c r="AU17" s="14"/>
      <c r="AV17" s="14"/>
    </row>
    <row r="18" spans="1:48" s="10" customFormat="1" ht="15.75" x14ac:dyDescent="0.25">
      <c r="A18" s="41"/>
      <c r="B18" s="11"/>
      <c r="C18" s="11"/>
      <c r="D18" s="11"/>
      <c r="E18" s="11"/>
      <c r="G18" s="23">
        <v>4</v>
      </c>
      <c r="H18" s="23">
        <v>2</v>
      </c>
      <c r="I18" s="23">
        <v>5</v>
      </c>
      <c r="J18" s="23">
        <v>3</v>
      </c>
      <c r="K18" s="23">
        <v>1</v>
      </c>
      <c r="L18" s="23">
        <v>4</v>
      </c>
      <c r="M18" s="69"/>
      <c r="N18" s="30">
        <v>17</v>
      </c>
      <c r="O18" s="11">
        <f t="shared" si="0"/>
        <v>2.5</v>
      </c>
      <c r="P18" s="11">
        <f t="shared" si="1"/>
        <v>1.2</v>
      </c>
      <c r="Q18" s="11">
        <f t="shared" si="2"/>
        <v>0.9</v>
      </c>
      <c r="R18" s="11">
        <f t="shared" si="3"/>
        <v>0.8</v>
      </c>
      <c r="S18" s="11">
        <f t="shared" si="4"/>
        <v>0.05</v>
      </c>
      <c r="T18" s="11">
        <f t="shared" si="5"/>
        <v>0.08</v>
      </c>
      <c r="V18" s="14">
        <f t="shared" si="6"/>
        <v>4.6017784707179646E-3</v>
      </c>
      <c r="W18" s="14">
        <f>Total!AH20</f>
        <v>1.6566402494584671</v>
      </c>
      <c r="X18" s="14"/>
      <c r="Y18" s="14"/>
      <c r="Z18" s="14"/>
      <c r="AB18" s="14"/>
      <c r="AC18" s="14"/>
      <c r="AD18" s="14"/>
      <c r="AG18" s="14"/>
      <c r="AH18" s="14"/>
      <c r="AI18" s="14"/>
      <c r="AK18" s="14"/>
      <c r="AL18" s="14"/>
      <c r="AM18" s="14"/>
      <c r="AP18" s="14"/>
      <c r="AQ18" s="14"/>
      <c r="AR18" s="14"/>
      <c r="AT18" s="14"/>
      <c r="AU18" s="14"/>
      <c r="AV18" s="14"/>
    </row>
    <row r="19" spans="1:48" s="10" customFormat="1" ht="15.75" x14ac:dyDescent="0.25">
      <c r="A19" s="41"/>
      <c r="B19" s="11"/>
      <c r="C19" s="11"/>
      <c r="D19" s="11"/>
      <c r="E19" s="11"/>
      <c r="G19" s="23">
        <v>4</v>
      </c>
      <c r="H19" s="23">
        <v>3</v>
      </c>
      <c r="I19" s="23">
        <v>2</v>
      </c>
      <c r="J19" s="23">
        <v>1</v>
      </c>
      <c r="K19" s="23">
        <v>5</v>
      </c>
      <c r="L19" s="23">
        <v>5</v>
      </c>
      <c r="M19" s="69"/>
      <c r="N19" s="30">
        <v>18</v>
      </c>
      <c r="O19" s="11">
        <f t="shared" si="0"/>
        <v>2.5</v>
      </c>
      <c r="P19" s="11">
        <f t="shared" si="1"/>
        <v>1.4</v>
      </c>
      <c r="Q19" s="11">
        <f t="shared" si="2"/>
        <v>0.6</v>
      </c>
      <c r="R19" s="11">
        <f t="shared" si="3"/>
        <v>0.7</v>
      </c>
      <c r="S19" s="11">
        <f t="shared" si="4"/>
        <v>0.25</v>
      </c>
      <c r="T19" s="11">
        <f t="shared" si="5"/>
        <v>0.1</v>
      </c>
      <c r="V19" s="14">
        <f t="shared" si="6"/>
        <v>6.1645305874965858E-3</v>
      </c>
      <c r="W19" s="14">
        <f>Total!AH21</f>
        <v>2.219231011498771</v>
      </c>
      <c r="X19" s="14"/>
      <c r="Y19" s="14"/>
      <c r="Z19" s="14"/>
      <c r="AB19" s="14"/>
      <c r="AC19" s="14"/>
      <c r="AD19" s="14"/>
      <c r="AG19" s="14"/>
      <c r="AH19" s="14"/>
      <c r="AI19" s="14"/>
      <c r="AK19" s="14"/>
      <c r="AL19" s="14"/>
      <c r="AM19" s="14"/>
      <c r="AP19" s="14"/>
      <c r="AQ19" s="14"/>
      <c r="AR19" s="14"/>
      <c r="AT19" s="14"/>
      <c r="AU19" s="14"/>
      <c r="AV19" s="14"/>
    </row>
    <row r="20" spans="1:48" s="10" customFormat="1" ht="15.75" x14ac:dyDescent="0.25">
      <c r="A20" s="41"/>
      <c r="B20" s="11"/>
      <c r="C20" s="11"/>
      <c r="D20" s="11"/>
      <c r="E20" s="11"/>
      <c r="G20" s="23">
        <v>4</v>
      </c>
      <c r="H20" s="23">
        <v>4</v>
      </c>
      <c r="I20" s="23">
        <v>4</v>
      </c>
      <c r="J20" s="23">
        <v>4</v>
      </c>
      <c r="K20" s="23">
        <v>4</v>
      </c>
      <c r="L20" s="23">
        <v>1</v>
      </c>
      <c r="M20" s="69"/>
      <c r="N20" s="30">
        <v>19</v>
      </c>
      <c r="O20" s="11">
        <f t="shared" si="0"/>
        <v>2.5</v>
      </c>
      <c r="P20" s="11">
        <f t="shared" si="1"/>
        <v>1.6</v>
      </c>
      <c r="Q20" s="11">
        <f t="shared" si="2"/>
        <v>0.8</v>
      </c>
      <c r="R20" s="11">
        <f t="shared" si="3"/>
        <v>0.85</v>
      </c>
      <c r="S20" s="11">
        <f t="shared" si="4"/>
        <v>0.2</v>
      </c>
      <c r="T20" s="11">
        <f t="shared" si="5"/>
        <v>0.02</v>
      </c>
      <c r="V20" s="14">
        <f t="shared" si="6"/>
        <v>4.8554842412797897E-3</v>
      </c>
      <c r="W20" s="14">
        <f>Total!AH22</f>
        <v>1.7479743268607244</v>
      </c>
      <c r="X20" s="14"/>
      <c r="Y20" s="14"/>
      <c r="Z20" s="14"/>
      <c r="AB20" s="14"/>
      <c r="AC20" s="14"/>
      <c r="AD20" s="14"/>
      <c r="AG20" s="14"/>
      <c r="AH20" s="14"/>
      <c r="AI20" s="14"/>
      <c r="AK20" s="14"/>
      <c r="AL20" s="14"/>
      <c r="AM20" s="14"/>
      <c r="AP20" s="14"/>
      <c r="AQ20" s="14"/>
      <c r="AR20" s="14"/>
      <c r="AT20" s="14"/>
      <c r="AU20" s="14"/>
      <c r="AV20" s="14"/>
    </row>
    <row r="21" spans="1:48" s="10" customFormat="1" ht="15.75" x14ac:dyDescent="0.25">
      <c r="A21" s="41"/>
      <c r="B21" s="11"/>
      <c r="C21" s="11"/>
      <c r="D21" s="11"/>
      <c r="E21" s="11"/>
      <c r="G21" s="23">
        <v>4</v>
      </c>
      <c r="H21" s="23">
        <v>5</v>
      </c>
      <c r="I21" s="23">
        <v>1</v>
      </c>
      <c r="J21" s="23">
        <v>2</v>
      </c>
      <c r="K21" s="23">
        <v>3</v>
      </c>
      <c r="L21" s="23">
        <v>2</v>
      </c>
      <c r="M21" s="69"/>
      <c r="N21" s="30">
        <v>20</v>
      </c>
      <c r="O21" s="11">
        <f t="shared" si="0"/>
        <v>2.5</v>
      </c>
      <c r="P21" s="11">
        <f t="shared" si="1"/>
        <v>1.8</v>
      </c>
      <c r="Q21" s="11">
        <f t="shared" si="2"/>
        <v>0.5</v>
      </c>
      <c r="R21" s="11">
        <f t="shared" si="3"/>
        <v>0.75</v>
      </c>
      <c r="S21" s="11">
        <f t="shared" si="4"/>
        <v>0.15</v>
      </c>
      <c r="T21" s="11">
        <f t="shared" si="5"/>
        <v>0.04</v>
      </c>
      <c r="V21" s="14">
        <f t="shared" si="6"/>
        <v>5.6381071886784555E-3</v>
      </c>
      <c r="W21" s="14">
        <f>Total!AH23</f>
        <v>2.0297185879242439</v>
      </c>
      <c r="X21" s="14"/>
      <c r="Y21" s="14"/>
      <c r="Z21" s="14"/>
      <c r="AB21" s="14"/>
      <c r="AC21" s="14"/>
      <c r="AD21" s="14"/>
      <c r="AG21" s="14"/>
      <c r="AH21" s="14"/>
      <c r="AI21" s="14"/>
      <c r="AK21" s="14"/>
      <c r="AL21" s="14"/>
      <c r="AM21" s="14"/>
      <c r="AP21" s="14"/>
      <c r="AQ21" s="14"/>
      <c r="AR21" s="14"/>
      <c r="AT21" s="14"/>
      <c r="AU21" s="14"/>
      <c r="AV21" s="14"/>
    </row>
    <row r="22" spans="1:48" s="10" customFormat="1" ht="15.75" x14ac:dyDescent="0.25">
      <c r="A22" s="41"/>
      <c r="B22" s="11"/>
      <c r="C22" s="11"/>
      <c r="D22" s="11"/>
      <c r="E22" s="11"/>
      <c r="G22" s="23">
        <v>5</v>
      </c>
      <c r="H22" s="23">
        <v>1</v>
      </c>
      <c r="I22" s="23">
        <v>2</v>
      </c>
      <c r="J22" s="23">
        <v>3</v>
      </c>
      <c r="K22" s="23">
        <v>4</v>
      </c>
      <c r="L22" s="23">
        <v>2</v>
      </c>
      <c r="M22" s="69"/>
      <c r="N22" s="30">
        <v>21</v>
      </c>
      <c r="O22" s="11">
        <f t="shared" si="0"/>
        <v>3</v>
      </c>
      <c r="P22" s="11">
        <f t="shared" si="1"/>
        <v>1</v>
      </c>
      <c r="Q22" s="11">
        <f t="shared" si="2"/>
        <v>0.6</v>
      </c>
      <c r="R22" s="11">
        <f t="shared" si="3"/>
        <v>0.8</v>
      </c>
      <c r="S22" s="11">
        <f t="shared" si="4"/>
        <v>0.2</v>
      </c>
      <c r="T22" s="11">
        <f t="shared" si="5"/>
        <v>0.04</v>
      </c>
      <c r="V22" s="14">
        <f t="shared" si="6"/>
        <v>5.0246927764037753E-3</v>
      </c>
      <c r="W22" s="14">
        <f>Total!AH24</f>
        <v>1.8088893995053592</v>
      </c>
      <c r="X22" s="14"/>
      <c r="Y22" s="14"/>
      <c r="Z22" s="14"/>
      <c r="AB22" s="14"/>
      <c r="AC22" s="14"/>
      <c r="AD22" s="14"/>
      <c r="AG22" s="14"/>
      <c r="AH22" s="14"/>
      <c r="AI22" s="14"/>
      <c r="AK22" s="14"/>
      <c r="AL22" s="14"/>
      <c r="AM22" s="14"/>
      <c r="AP22" s="14"/>
      <c r="AQ22" s="14"/>
      <c r="AR22" s="14"/>
      <c r="AT22" s="14"/>
      <c r="AU22" s="14"/>
      <c r="AV22" s="14"/>
    </row>
    <row r="23" spans="1:48" s="10" customFormat="1" ht="15.75" x14ac:dyDescent="0.25">
      <c r="A23" s="41"/>
      <c r="B23" s="11"/>
      <c r="C23" s="11"/>
      <c r="D23" s="11"/>
      <c r="E23" s="11"/>
      <c r="G23" s="23">
        <v>5</v>
      </c>
      <c r="H23" s="23">
        <v>2</v>
      </c>
      <c r="I23" s="23">
        <v>4</v>
      </c>
      <c r="J23" s="23">
        <v>1</v>
      </c>
      <c r="K23" s="23">
        <v>3</v>
      </c>
      <c r="L23" s="23">
        <v>3</v>
      </c>
      <c r="M23" s="69"/>
      <c r="N23" s="30">
        <v>22</v>
      </c>
      <c r="O23" s="11">
        <f t="shared" si="0"/>
        <v>3</v>
      </c>
      <c r="P23" s="11">
        <f t="shared" si="1"/>
        <v>1.2</v>
      </c>
      <c r="Q23" s="11">
        <f t="shared" si="2"/>
        <v>0.8</v>
      </c>
      <c r="R23" s="11">
        <f t="shared" si="3"/>
        <v>0.7</v>
      </c>
      <c r="S23" s="11">
        <f t="shared" si="4"/>
        <v>0.15</v>
      </c>
      <c r="T23" s="11">
        <f t="shared" si="5"/>
        <v>0.06</v>
      </c>
      <c r="V23" s="14">
        <f t="shared" si="6"/>
        <v>5.8088276646017E-3</v>
      </c>
      <c r="W23" s="14">
        <f>Total!AH25</f>
        <v>2.091177959256612</v>
      </c>
      <c r="X23" s="14"/>
      <c r="Y23" s="14"/>
      <c r="Z23" s="14"/>
      <c r="AB23" s="14"/>
      <c r="AC23" s="14"/>
      <c r="AD23" s="14"/>
      <c r="AG23" s="14"/>
      <c r="AH23" s="14"/>
      <c r="AI23" s="14"/>
      <c r="AK23" s="14"/>
      <c r="AL23" s="14"/>
      <c r="AM23" s="14"/>
      <c r="AP23" s="14"/>
      <c r="AQ23" s="14"/>
      <c r="AR23" s="14"/>
      <c r="AT23" s="14"/>
      <c r="AU23" s="14"/>
      <c r="AV23" s="14"/>
    </row>
    <row r="24" spans="1:48" s="10" customFormat="1" ht="15.75" x14ac:dyDescent="0.25">
      <c r="A24" s="41"/>
      <c r="B24" s="11"/>
      <c r="C24" s="11"/>
      <c r="D24" s="11"/>
      <c r="E24" s="11"/>
      <c r="G24" s="23">
        <v>5</v>
      </c>
      <c r="H24" s="23">
        <v>3</v>
      </c>
      <c r="I24" s="23">
        <v>1</v>
      </c>
      <c r="J24" s="23">
        <v>4</v>
      </c>
      <c r="K24" s="23">
        <v>2</v>
      </c>
      <c r="L24" s="23">
        <v>4</v>
      </c>
      <c r="M24" s="69"/>
      <c r="N24" s="30">
        <v>23</v>
      </c>
      <c r="O24" s="11">
        <f t="shared" si="0"/>
        <v>3</v>
      </c>
      <c r="P24" s="11">
        <f t="shared" si="1"/>
        <v>1.4</v>
      </c>
      <c r="Q24" s="11">
        <f t="shared" si="2"/>
        <v>0.5</v>
      </c>
      <c r="R24" s="11">
        <f t="shared" si="3"/>
        <v>0.85</v>
      </c>
      <c r="S24" s="11">
        <f t="shared" si="4"/>
        <v>0.1</v>
      </c>
      <c r="T24" s="11">
        <f t="shared" si="5"/>
        <v>0.08</v>
      </c>
      <c r="V24" s="14">
        <f t="shared" si="6"/>
        <v>4.9392777163006149E-3</v>
      </c>
      <c r="W24" s="14">
        <f>Total!AH26</f>
        <v>1.7781399778682214</v>
      </c>
      <c r="X24" s="14"/>
      <c r="Y24" s="14"/>
      <c r="Z24" s="14"/>
      <c r="AB24" s="14"/>
      <c r="AC24" s="14"/>
      <c r="AD24" s="14"/>
      <c r="AG24" s="14"/>
      <c r="AH24" s="14"/>
      <c r="AI24" s="14"/>
      <c r="AK24" s="14"/>
      <c r="AL24" s="14"/>
      <c r="AM24" s="14"/>
      <c r="AP24" s="14"/>
      <c r="AQ24" s="14"/>
      <c r="AR24" s="14"/>
      <c r="AT24" s="14"/>
      <c r="AU24" s="14"/>
      <c r="AV24" s="14"/>
    </row>
    <row r="25" spans="1:48" s="10" customFormat="1" ht="15.75" x14ac:dyDescent="0.25">
      <c r="A25" s="41"/>
      <c r="B25" s="11"/>
      <c r="C25" s="11"/>
      <c r="D25" s="11"/>
      <c r="E25" s="11"/>
      <c r="G25" s="23">
        <v>5</v>
      </c>
      <c r="H25" s="23">
        <v>4</v>
      </c>
      <c r="I25" s="23">
        <v>3</v>
      </c>
      <c r="J25" s="23">
        <v>2</v>
      </c>
      <c r="K25" s="23">
        <v>1</v>
      </c>
      <c r="L25" s="23">
        <v>5</v>
      </c>
      <c r="M25" s="69"/>
      <c r="N25" s="30">
        <v>24</v>
      </c>
      <c r="O25" s="11">
        <f t="shared" si="0"/>
        <v>3</v>
      </c>
      <c r="P25" s="11">
        <f t="shared" si="1"/>
        <v>1.6</v>
      </c>
      <c r="Q25" s="11">
        <f t="shared" si="2"/>
        <v>0.7</v>
      </c>
      <c r="R25" s="11">
        <f t="shared" si="3"/>
        <v>0.75</v>
      </c>
      <c r="S25" s="11">
        <f t="shared" si="4"/>
        <v>0.05</v>
      </c>
      <c r="T25" s="11">
        <f t="shared" si="5"/>
        <v>0.1</v>
      </c>
      <c r="V25" s="14">
        <f t="shared" si="6"/>
        <v>4.7013869458790956E-3</v>
      </c>
      <c r="W25" s="14">
        <f>Total!AH27</f>
        <v>1.6924993005164743</v>
      </c>
      <c r="X25" s="14"/>
      <c r="Y25" s="14"/>
      <c r="Z25" s="14"/>
      <c r="AB25" s="14"/>
      <c r="AC25" s="14"/>
      <c r="AD25" s="14"/>
      <c r="AG25" s="14"/>
      <c r="AH25" s="14"/>
      <c r="AI25" s="14"/>
      <c r="AK25" s="14"/>
      <c r="AL25" s="14"/>
      <c r="AM25" s="14"/>
      <c r="AP25" s="14"/>
      <c r="AQ25" s="14"/>
      <c r="AR25" s="14"/>
      <c r="AT25" s="14"/>
      <c r="AU25" s="14"/>
      <c r="AV25" s="14"/>
    </row>
    <row r="26" spans="1:48" s="10" customFormat="1" ht="15.75" x14ac:dyDescent="0.25">
      <c r="G26" s="69">
        <v>5</v>
      </c>
      <c r="H26" s="69">
        <v>5</v>
      </c>
      <c r="I26" s="69">
        <v>5</v>
      </c>
      <c r="J26" s="69">
        <v>5</v>
      </c>
      <c r="K26" s="69">
        <v>5</v>
      </c>
      <c r="L26" s="69">
        <v>1</v>
      </c>
      <c r="M26" s="69"/>
      <c r="N26" s="30">
        <v>25</v>
      </c>
      <c r="O26" s="11">
        <f t="shared" si="0"/>
        <v>3</v>
      </c>
      <c r="P26" s="11">
        <f t="shared" si="1"/>
        <v>1.8</v>
      </c>
      <c r="Q26" s="11">
        <f t="shared" si="2"/>
        <v>0.9</v>
      </c>
      <c r="R26" s="11">
        <f t="shared" si="3"/>
        <v>0.9</v>
      </c>
      <c r="S26" s="11">
        <f t="shared" si="4"/>
        <v>0.25</v>
      </c>
      <c r="T26" s="11">
        <f t="shared" si="5"/>
        <v>0.02</v>
      </c>
      <c r="V26" s="14">
        <f t="shared" si="6"/>
        <v>5.5162062430130464E-3</v>
      </c>
      <c r="W26" s="14">
        <f>Total!AH28</f>
        <v>1.9858342474846968</v>
      </c>
      <c r="X26" s="14"/>
      <c r="Y26" s="14"/>
      <c r="Z26" s="14"/>
      <c r="AB26" s="14"/>
      <c r="AC26" s="14"/>
      <c r="AD26" s="14"/>
      <c r="AG26" s="14"/>
      <c r="AH26" s="14"/>
      <c r="AI26" s="14"/>
      <c r="AK26" s="14"/>
      <c r="AL26" s="14"/>
      <c r="AM26" s="14"/>
      <c r="AP26" s="14"/>
      <c r="AQ26" s="14"/>
      <c r="AR26" s="14"/>
      <c r="AT26" s="14"/>
      <c r="AU26" s="14"/>
      <c r="AV26" s="14"/>
    </row>
    <row r="27" spans="1:48" s="19" customFormat="1" ht="21" customHeight="1" x14ac:dyDescent="0.25">
      <c r="A27" s="42"/>
      <c r="B27" s="69"/>
      <c r="C27" s="69"/>
      <c r="D27" s="69"/>
      <c r="E27" s="69"/>
      <c r="F27" s="69" t="s">
        <v>5</v>
      </c>
      <c r="G27" s="20" t="s">
        <v>16</v>
      </c>
      <c r="H27" s="20" t="s">
        <v>33</v>
      </c>
      <c r="I27" s="71" t="s">
        <v>34</v>
      </c>
      <c r="J27" s="20" t="s">
        <v>31</v>
      </c>
      <c r="K27" s="20" t="s">
        <v>21</v>
      </c>
      <c r="L27" s="20" t="s">
        <v>32</v>
      </c>
      <c r="M27" s="43"/>
      <c r="N27" s="44"/>
      <c r="T27" s="45"/>
      <c r="U27" s="45"/>
      <c r="V27" s="45"/>
      <c r="W27" s="18"/>
      <c r="X27" s="46"/>
      <c r="Y27" s="45"/>
      <c r="AB27" s="47"/>
    </row>
    <row r="28" spans="1:48" s="10" customFormat="1" x14ac:dyDescent="0.25">
      <c r="A28" s="41"/>
      <c r="B28" s="11"/>
      <c r="C28" s="11"/>
      <c r="D28" s="11"/>
      <c r="E28" s="11"/>
      <c r="F28" s="10">
        <v>1</v>
      </c>
      <c r="G28" s="48">
        <f t="shared" ref="G28:L28" si="7">AVERAGEIF(G2:G26,1,$V$2:$V$26)</f>
        <v>5.7522127096504925E-3</v>
      </c>
      <c r="H28" s="48">
        <f t="shared" si="7"/>
        <v>5.2227717661860453E-3</v>
      </c>
      <c r="I28" s="48">
        <f t="shared" si="7"/>
        <v>5.4819828092029614E-3</v>
      </c>
      <c r="J28" s="48">
        <f t="shared" si="7"/>
        <v>5.5351402181773113E-3</v>
      </c>
      <c r="K28" s="48">
        <f t="shared" si="7"/>
        <v>5.1249475725872063E-3</v>
      </c>
      <c r="L28" s="48">
        <f t="shared" si="7"/>
        <v>5.1945368744296099E-3</v>
      </c>
      <c r="M28" s="49"/>
      <c r="N28" s="11"/>
      <c r="O28" s="33"/>
      <c r="T28" s="15"/>
      <c r="U28" s="50"/>
      <c r="V28" s="50"/>
      <c r="W28" s="68"/>
      <c r="X28" s="51"/>
      <c r="Y28" s="15"/>
      <c r="AB28" s="14"/>
    </row>
    <row r="29" spans="1:48" s="10" customFormat="1" x14ac:dyDescent="0.25">
      <c r="A29" s="41"/>
      <c r="B29" s="11"/>
      <c r="C29" s="11"/>
      <c r="D29" s="11"/>
      <c r="E29" s="11"/>
      <c r="F29" s="10">
        <v>2</v>
      </c>
      <c r="G29" s="48">
        <f t="shared" ref="G29:L29" si="8">AVERAGEIF(G2:G26,2,$V$2:$V$26)</f>
        <v>5.2040299809321738E-3</v>
      </c>
      <c r="H29" s="48">
        <f t="shared" si="8"/>
        <v>5.2333445718777578E-3</v>
      </c>
      <c r="I29" s="48">
        <f t="shared" si="8"/>
        <v>5.3907571768108111E-3</v>
      </c>
      <c r="J29" s="48">
        <f t="shared" si="8"/>
        <v>5.2603526208537437E-3</v>
      </c>
      <c r="K29" s="48">
        <f t="shared" si="8"/>
        <v>5.0512993030641003E-3</v>
      </c>
      <c r="L29" s="48">
        <f t="shared" si="8"/>
        <v>5.2324110309078945E-3</v>
      </c>
      <c r="M29" s="49"/>
      <c r="N29" s="52"/>
      <c r="T29" s="15"/>
      <c r="U29" s="50"/>
      <c r="V29" s="50"/>
      <c r="W29" s="68"/>
      <c r="X29" s="51"/>
      <c r="Y29" s="15"/>
      <c r="AB29" s="14"/>
    </row>
    <row r="30" spans="1:48" s="10" customFormat="1" x14ac:dyDescent="0.25">
      <c r="A30" s="41"/>
      <c r="B30" s="11"/>
      <c r="C30" s="11"/>
      <c r="D30" s="11"/>
      <c r="E30" s="11"/>
      <c r="F30" s="10">
        <v>3</v>
      </c>
      <c r="G30" s="48">
        <f t="shared" ref="G30:L30" si="9">AVERAGEIF(G2:G26,3,$V$2:$V$26)</f>
        <v>5.1905526816144205E-3</v>
      </c>
      <c r="H30" s="48">
        <f t="shared" si="9"/>
        <v>5.4963993470615469E-3</v>
      </c>
      <c r="I30" s="48">
        <f t="shared" si="9"/>
        <v>5.0591398969908798E-3</v>
      </c>
      <c r="J30" s="48">
        <f t="shared" si="9"/>
        <v>5.230280201148259E-3</v>
      </c>
      <c r="K30" s="48">
        <f t="shared" si="9"/>
        <v>5.5029349729187422E-3</v>
      </c>
      <c r="L30" s="48">
        <f t="shared" si="9"/>
        <v>5.4516948779163212E-3</v>
      </c>
      <c r="M30" s="49"/>
      <c r="N30" s="52"/>
      <c r="T30" s="15"/>
      <c r="U30" s="15"/>
      <c r="V30" s="15"/>
      <c r="W30" s="15"/>
      <c r="X30" s="51"/>
      <c r="Y30" s="15"/>
      <c r="AB30" s="14"/>
    </row>
    <row r="31" spans="1:48" s="10" customFormat="1" x14ac:dyDescent="0.25">
      <c r="A31" s="41"/>
      <c r="B31" s="11"/>
      <c r="C31" s="11"/>
      <c r="D31" s="11"/>
      <c r="E31" s="11"/>
      <c r="F31" s="10">
        <v>4</v>
      </c>
      <c r="G31" s="48">
        <f t="shared" ref="G31:L31" si="10">AVERAGEIF(G2:G26,4,$V$2:$V$26)</f>
        <v>5.2280472133999561E-3</v>
      </c>
      <c r="H31" s="48">
        <f t="shared" si="10"/>
        <v>5.1151057734794923E-3</v>
      </c>
      <c r="I31" s="48">
        <f t="shared" si="10"/>
        <v>5.4605556093086103E-3</v>
      </c>
      <c r="J31" s="48">
        <f t="shared" si="10"/>
        <v>5.1068444385510021E-3</v>
      </c>
      <c r="K31" s="48">
        <f t="shared" si="10"/>
        <v>5.32331518694781E-3</v>
      </c>
      <c r="L31" s="48">
        <f t="shared" si="10"/>
        <v>5.1775944040180488E-3</v>
      </c>
      <c r="M31" s="49"/>
      <c r="N31" s="52"/>
      <c r="T31" s="15"/>
      <c r="U31" s="15"/>
      <c r="V31" s="15"/>
      <c r="W31" s="15"/>
      <c r="X31" s="51"/>
      <c r="Y31" s="15"/>
      <c r="AB31" s="14"/>
    </row>
    <row r="32" spans="1:48" s="10" customFormat="1" x14ac:dyDescent="0.25">
      <c r="A32" s="41"/>
      <c r="B32" s="11"/>
      <c r="C32" s="11"/>
      <c r="D32" s="11"/>
      <c r="E32" s="11"/>
      <c r="F32" s="10">
        <v>5</v>
      </c>
      <c r="G32" s="48">
        <f t="shared" ref="G32:L32" si="11">AVERAGEIF(G2:G26,5,$V$2:$V$26)</f>
        <v>5.1980782692396463E-3</v>
      </c>
      <c r="H32" s="48">
        <f t="shared" si="11"/>
        <v>5.5052993962318468E-3</v>
      </c>
      <c r="I32" s="48">
        <f t="shared" si="11"/>
        <v>5.1804853625234274E-3</v>
      </c>
      <c r="J32" s="48">
        <f t="shared" si="11"/>
        <v>5.4403033761063757E-3</v>
      </c>
      <c r="K32" s="48">
        <f t="shared" si="11"/>
        <v>5.5704238193188321E-3</v>
      </c>
      <c r="L32" s="48">
        <f t="shared" si="11"/>
        <v>5.5166836675648164E-3</v>
      </c>
      <c r="M32" s="49"/>
      <c r="N32" s="52"/>
      <c r="X32" s="25"/>
      <c r="AB32" s="14"/>
    </row>
    <row r="33" spans="1:24" s="10" customFormat="1" x14ac:dyDescent="0.25">
      <c r="A33" s="41"/>
      <c r="B33" s="11"/>
      <c r="C33" s="11"/>
      <c r="D33" s="11"/>
      <c r="E33" s="11"/>
      <c r="G33" s="48">
        <f>SUM(G28:G32)</f>
        <v>2.6572920854836687E-2</v>
      </c>
      <c r="H33" s="48">
        <f t="shared" ref="H33:L33" si="12">SUM(H28:H32)</f>
        <v>2.6572920854836691E-2</v>
      </c>
      <c r="I33" s="48">
        <f>SUM(I28:I32)</f>
        <v>2.6572920854836687E-2</v>
      </c>
      <c r="J33" s="48">
        <f>SUM(J28:J32)</f>
        <v>2.6572920854836694E-2</v>
      </c>
      <c r="K33" s="48">
        <f>SUM(K28:K32)</f>
        <v>2.6572920854836691E-2</v>
      </c>
      <c r="L33" s="48">
        <f t="shared" si="12"/>
        <v>2.6572920854836694E-2</v>
      </c>
      <c r="M33" s="49"/>
      <c r="N33" s="52"/>
      <c r="X33" s="25"/>
    </row>
    <row r="34" spans="1:24" s="10" customFormat="1" x14ac:dyDescent="0.25">
      <c r="A34" s="41"/>
      <c r="B34" s="11"/>
      <c r="C34" s="11"/>
      <c r="D34" s="11"/>
      <c r="E34" s="11"/>
      <c r="G34" s="11">
        <v>2</v>
      </c>
      <c r="H34" s="11">
        <v>1.6</v>
      </c>
      <c r="I34" s="11">
        <v>0.7</v>
      </c>
      <c r="J34" s="11">
        <v>0.85</v>
      </c>
      <c r="K34" s="11">
        <v>0.1</v>
      </c>
      <c r="L34" s="11">
        <v>0.08</v>
      </c>
      <c r="M34" s="49"/>
      <c r="N34" s="52"/>
      <c r="X34" s="25"/>
    </row>
    <row r="35" spans="1:24" s="10" customFormat="1" x14ac:dyDescent="0.25">
      <c r="A35" s="41"/>
      <c r="B35" s="11"/>
      <c r="C35" s="11"/>
      <c r="D35" s="11"/>
      <c r="E35" s="11"/>
      <c r="M35" s="49"/>
      <c r="N35" s="52"/>
      <c r="X35" s="25"/>
    </row>
    <row r="36" spans="1:24" s="10" customFormat="1" x14ac:dyDescent="0.25">
      <c r="A36" s="75"/>
      <c r="B36" s="75"/>
      <c r="C36" s="75"/>
      <c r="D36" s="75"/>
      <c r="E36" s="10" t="s">
        <v>4</v>
      </c>
      <c r="G36" s="33">
        <f>(MAX(G28:G32)-MIN(G28:G32))</f>
        <v>5.6166002803607201E-4</v>
      </c>
      <c r="H36" s="33">
        <f t="shared" ref="H36:L36" si="13">(MAX(H28:H32)-MIN(H28:H32))</f>
        <v>3.9019362275235451E-4</v>
      </c>
      <c r="I36" s="33">
        <f t="shared" si="13"/>
        <v>4.2284291221208158E-4</v>
      </c>
      <c r="J36" s="33">
        <f t="shared" si="13"/>
        <v>4.2829577962630924E-4</v>
      </c>
      <c r="K36" s="33">
        <f t="shared" si="13"/>
        <v>5.1912451625473182E-4</v>
      </c>
      <c r="L36" s="33">
        <f t="shared" si="13"/>
        <v>3.3908926354676763E-4</v>
      </c>
      <c r="X36" s="25"/>
    </row>
    <row r="37" spans="1:24" s="10" customFormat="1" x14ac:dyDescent="0.25">
      <c r="X37" s="25"/>
    </row>
    <row r="38" spans="1:24" s="10" customFormat="1" x14ac:dyDescent="0.25">
      <c r="G38" s="5"/>
      <c r="H38" s="5"/>
      <c r="I38" s="5"/>
      <c r="J38" s="5"/>
      <c r="K38" s="5"/>
      <c r="L38" s="5"/>
      <c r="X38" s="25"/>
    </row>
    <row r="39" spans="1:24" s="10" customFormat="1" x14ac:dyDescent="0.25">
      <c r="G39" s="5"/>
      <c r="H39" s="5"/>
      <c r="I39" s="5"/>
      <c r="J39" s="5"/>
      <c r="K39" s="5"/>
      <c r="L39" s="5"/>
      <c r="X39" s="25"/>
    </row>
    <row r="40" spans="1:24" s="10" customFormat="1" x14ac:dyDescent="0.25">
      <c r="G40" s="5"/>
      <c r="H40" s="5"/>
      <c r="I40" s="5"/>
      <c r="J40" s="5"/>
      <c r="K40" s="5"/>
      <c r="L40" s="5"/>
      <c r="X40" s="25"/>
    </row>
    <row r="41" spans="1:24" s="10" customFormat="1" x14ac:dyDescent="0.25">
      <c r="G41" s="5"/>
      <c r="H41" s="5"/>
      <c r="I41" s="5"/>
      <c r="J41" s="5"/>
      <c r="K41" s="5"/>
      <c r="L41" s="5"/>
      <c r="X41" s="25"/>
    </row>
    <row r="42" spans="1:24" s="10" customFormat="1" x14ac:dyDescent="0.25">
      <c r="G42" s="5"/>
      <c r="H42" s="5"/>
      <c r="I42" s="5"/>
      <c r="J42" s="5"/>
      <c r="K42" s="5"/>
      <c r="L42" s="5"/>
      <c r="X42" s="25"/>
    </row>
    <row r="43" spans="1:24" s="10" customFormat="1" x14ac:dyDescent="0.25">
      <c r="G43" s="5"/>
      <c r="H43" s="5"/>
      <c r="I43" s="5"/>
      <c r="J43" s="5"/>
      <c r="K43" s="5"/>
      <c r="L43" s="5"/>
      <c r="X43" s="25"/>
    </row>
    <row r="44" spans="1:24" s="10" customFormat="1" x14ac:dyDescent="0.25">
      <c r="G44" s="5"/>
      <c r="H44" s="5"/>
      <c r="I44" s="5"/>
      <c r="J44" s="5"/>
      <c r="K44" s="5"/>
      <c r="L44" s="5"/>
      <c r="X44" s="25"/>
    </row>
    <row r="45" spans="1:24" s="10" customFormat="1" x14ac:dyDescent="0.25">
      <c r="G45" s="5"/>
      <c r="H45" s="5"/>
      <c r="I45" s="5"/>
      <c r="J45" s="5"/>
      <c r="K45" s="5"/>
      <c r="L45" s="5"/>
      <c r="X45" s="25"/>
    </row>
    <row r="47" spans="1:24" x14ac:dyDescent="0.25">
      <c r="M47" s="7"/>
      <c r="N47" s="7"/>
      <c r="O47" s="7"/>
      <c r="P47" s="7"/>
      <c r="Q47" s="7"/>
      <c r="R47" s="7"/>
      <c r="S47" s="7"/>
    </row>
  </sheetData>
  <mergeCells count="2">
    <mergeCell ref="G1:L1"/>
    <mergeCell ref="A36:D36"/>
  </mergeCells>
  <phoneticPr fontId="1" type="noConversion"/>
  <conditionalFormatting sqref="AB27:AB32">
    <cfRule type="top10" priority="4" bottom="1" rank="1"/>
  </conditionalFormatting>
  <conditionalFormatting sqref="G28:L33">
    <cfRule type="expression" dxfId="1" priority="3">
      <formula>G28=MIN(G$28:G$32)</formula>
    </cfRule>
  </conditionalFormatting>
  <conditionalFormatting sqref="X27">
    <cfRule type="top10" priority="2" bottom="1" rank="1"/>
  </conditionalFormatting>
  <conditionalFormatting sqref="G36:M3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26">
    <cfRule type="top10" priority="6" bottom="1" rank="1"/>
  </conditionalFormatting>
  <conditionalFormatting sqref="W2:W26">
    <cfRule type="top10" priority="7" bottom="1" rank="1"/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40"/>
  <sheetViews>
    <sheetView topLeftCell="O1" zoomScale="70" zoomScaleNormal="70" workbookViewId="0">
      <selection activeCell="AH1" sqref="AH1:AH28"/>
    </sheetView>
  </sheetViews>
  <sheetFormatPr defaultColWidth="8.875" defaultRowHeight="14.25" x14ac:dyDescent="0.2"/>
  <cols>
    <col min="1" max="1" width="12.25" bestFit="1" customWidth="1"/>
    <col min="2" max="2" width="5.625" bestFit="1" customWidth="1"/>
    <col min="3" max="3" width="4.75" bestFit="1" customWidth="1"/>
    <col min="4" max="4" width="3.5" customWidth="1"/>
    <col min="5" max="5" width="13.5" customWidth="1"/>
    <col min="6" max="6" width="3.5" customWidth="1"/>
    <col min="7" max="7" width="4.75" customWidth="1"/>
    <col min="8" max="32" width="8.5" bestFit="1" customWidth="1"/>
    <col min="33" max="33" width="12.125" style="1" customWidth="1"/>
  </cols>
  <sheetData>
    <row r="1" spans="1:34" s="10" customFormat="1" ht="15" x14ac:dyDescent="0.25">
      <c r="A1" s="9" t="s">
        <v>14</v>
      </c>
      <c r="B1" s="9" t="s">
        <v>15</v>
      </c>
      <c r="C1" s="9" t="s">
        <v>10</v>
      </c>
      <c r="E1" s="9" t="s">
        <v>9</v>
      </c>
      <c r="F1" s="9"/>
      <c r="G1" s="9"/>
      <c r="H1" s="11">
        <v>1</v>
      </c>
      <c r="I1" s="11">
        <v>2</v>
      </c>
      <c r="J1" s="11">
        <v>3</v>
      </c>
      <c r="K1" s="11">
        <v>4</v>
      </c>
      <c r="L1" s="11">
        <v>5</v>
      </c>
      <c r="M1" s="11">
        <v>6</v>
      </c>
      <c r="N1" s="11">
        <v>7</v>
      </c>
      <c r="O1" s="11">
        <v>8</v>
      </c>
      <c r="P1" s="11">
        <v>9</v>
      </c>
      <c r="Q1" s="11">
        <v>10</v>
      </c>
      <c r="R1" s="11">
        <v>11</v>
      </c>
      <c r="S1" s="11">
        <v>12</v>
      </c>
      <c r="T1" s="11">
        <v>13</v>
      </c>
      <c r="U1" s="11">
        <v>14</v>
      </c>
      <c r="V1" s="11">
        <v>15</v>
      </c>
      <c r="W1" s="11">
        <v>16</v>
      </c>
      <c r="X1" s="11">
        <v>17</v>
      </c>
      <c r="Y1" s="11">
        <v>18</v>
      </c>
      <c r="Z1" s="11">
        <v>19</v>
      </c>
      <c r="AA1" s="11">
        <v>20</v>
      </c>
      <c r="AB1" s="11">
        <v>21</v>
      </c>
      <c r="AC1" s="11">
        <v>22</v>
      </c>
      <c r="AD1" s="11">
        <v>23</v>
      </c>
      <c r="AE1" s="11">
        <v>24</v>
      </c>
      <c r="AF1" s="11">
        <v>25</v>
      </c>
      <c r="AG1" s="11"/>
      <c r="AH1" s="10" t="s">
        <v>35</v>
      </c>
    </row>
    <row r="2" spans="1:34" s="10" customFormat="1" ht="15" x14ac:dyDescent="0.25">
      <c r="A2" s="5" t="s">
        <v>27</v>
      </c>
      <c r="B2" s="5">
        <v>30</v>
      </c>
      <c r="C2" s="5">
        <v>0.4</v>
      </c>
      <c r="E2" s="12">
        <f ca="1">MIN('1:25'!L2:U2)</f>
        <v>237.17606000000001</v>
      </c>
      <c r="F2" s="13"/>
      <c r="H2" s="12">
        <f ca="1">INDIRECT(COLUMN(A1)&amp;"!AM"&amp;ROW(A1)+1)</f>
        <v>0</v>
      </c>
      <c r="I2" s="12">
        <f t="shared" ref="I2:AF2" ca="1" si="0">INDIRECT(COLUMN(B1)&amp;"!AM"&amp;ROW(B1)+1)</f>
        <v>0</v>
      </c>
      <c r="J2" s="12">
        <f t="shared" ca="1" si="0"/>
        <v>0</v>
      </c>
      <c r="K2" s="12">
        <f t="shared" ca="1" si="0"/>
        <v>0</v>
      </c>
      <c r="L2" s="12">
        <f t="shared" ca="1" si="0"/>
        <v>0</v>
      </c>
      <c r="M2" s="12">
        <f t="shared" ca="1" si="0"/>
        <v>0</v>
      </c>
      <c r="N2" s="12">
        <f t="shared" ca="1" si="0"/>
        <v>0</v>
      </c>
      <c r="O2" s="12">
        <f t="shared" ca="1" si="0"/>
        <v>0</v>
      </c>
      <c r="P2" s="12">
        <f t="shared" ca="1" si="0"/>
        <v>0</v>
      </c>
      <c r="Q2" s="12">
        <f t="shared" ca="1" si="0"/>
        <v>0</v>
      </c>
      <c r="R2" s="12">
        <f t="shared" ca="1" si="0"/>
        <v>0</v>
      </c>
      <c r="S2" s="12">
        <f t="shared" ca="1" si="0"/>
        <v>0</v>
      </c>
      <c r="T2" s="12">
        <f t="shared" ca="1" si="0"/>
        <v>0</v>
      </c>
      <c r="U2" s="12">
        <f t="shared" ca="1" si="0"/>
        <v>0</v>
      </c>
      <c r="V2" s="12">
        <f t="shared" ca="1" si="0"/>
        <v>0</v>
      </c>
      <c r="W2" s="12">
        <f t="shared" ca="1" si="0"/>
        <v>0</v>
      </c>
      <c r="X2" s="12">
        <f t="shared" ca="1" si="0"/>
        <v>0</v>
      </c>
      <c r="Y2" s="12">
        <f t="shared" ca="1" si="0"/>
        <v>0</v>
      </c>
      <c r="Z2" s="12">
        <f t="shared" ca="1" si="0"/>
        <v>0</v>
      </c>
      <c r="AA2" s="12">
        <f t="shared" ca="1" si="0"/>
        <v>0</v>
      </c>
      <c r="AB2" s="12">
        <f t="shared" ca="1" si="0"/>
        <v>0</v>
      </c>
      <c r="AC2" s="12">
        <f t="shared" ca="1" si="0"/>
        <v>0</v>
      </c>
      <c r="AD2" s="12">
        <f t="shared" ca="1" si="0"/>
        <v>0</v>
      </c>
      <c r="AE2" s="12">
        <f t="shared" ca="1" si="0"/>
        <v>0</v>
      </c>
      <c r="AF2" s="12">
        <f t="shared" ca="1" si="0"/>
        <v>0</v>
      </c>
      <c r="AG2" s="9"/>
    </row>
    <row r="3" spans="1:34" s="10" customFormat="1" ht="15" x14ac:dyDescent="0.25">
      <c r="A3" s="5" t="s">
        <v>27</v>
      </c>
      <c r="B3" s="5">
        <v>30</v>
      </c>
      <c r="C3" s="5">
        <v>0.7</v>
      </c>
      <c r="E3" s="12">
        <f ca="1">MIN('1:25'!L3:U3)</f>
        <v>170.35004000000001</v>
      </c>
      <c r="F3" s="13"/>
      <c r="H3" s="12">
        <f t="shared" ref="H3:H37" ca="1" si="1">INDIRECT(COLUMN(A2)&amp;"!AM"&amp;ROW(A2)+1)</f>
        <v>0</v>
      </c>
      <c r="I3" s="12">
        <f t="shared" ref="I3:I37" ca="1" si="2">INDIRECT(COLUMN(B2)&amp;"!AM"&amp;ROW(B2)+1)</f>
        <v>0</v>
      </c>
      <c r="J3" s="12">
        <f t="shared" ref="J3:J37" ca="1" si="3">INDIRECT(COLUMN(C2)&amp;"!AM"&amp;ROW(C2)+1)</f>
        <v>0</v>
      </c>
      <c r="K3" s="12">
        <f t="shared" ref="K3:K37" ca="1" si="4">INDIRECT(COLUMN(D2)&amp;"!AM"&amp;ROW(D2)+1)</f>
        <v>0</v>
      </c>
      <c r="L3" s="12">
        <f t="shared" ref="L3:L37" ca="1" si="5">INDIRECT(COLUMN(E2)&amp;"!AM"&amp;ROW(E2)+1)</f>
        <v>1.2132078160944522E-3</v>
      </c>
      <c r="M3" s="12">
        <f t="shared" ref="M3:M37" ca="1" si="6">INDIRECT(COLUMN(F2)&amp;"!AM"&amp;ROW(F2)+1)</f>
        <v>0</v>
      </c>
      <c r="N3" s="12">
        <f t="shared" ref="N3:N37" ca="1" si="7">INDIRECT(COLUMN(G2)&amp;"!AM"&amp;ROW(G2)+1)</f>
        <v>0</v>
      </c>
      <c r="O3" s="12">
        <f t="shared" ref="O3:O37" ca="1" si="8">INDIRECT(COLUMN(H2)&amp;"!AM"&amp;ROW(H2)+1)</f>
        <v>7.4364526125143989E-4</v>
      </c>
      <c r="P3" s="12">
        <f t="shared" ref="P3:P37" ca="1" si="9">INDIRECT(COLUMN(I2)&amp;"!AM"&amp;ROW(I2)+1)</f>
        <v>7.8309344688146025E-5</v>
      </c>
      <c r="Q3" s="12">
        <f t="shared" ref="Q3:Q37" ca="1" si="10">INDIRECT(COLUMN(J2)&amp;"!AM"&amp;ROW(J2)+1)</f>
        <v>0</v>
      </c>
      <c r="R3" s="12">
        <f t="shared" ref="R3:R37" ca="1" si="11">INDIRECT(COLUMN(K2)&amp;"!AM"&amp;ROW(K2)+1)</f>
        <v>0</v>
      </c>
      <c r="S3" s="12">
        <f t="shared" ref="S3:S37" ca="1" si="12">INDIRECT(COLUMN(L2)&amp;"!AM"&amp;ROW(L2)+1)</f>
        <v>0</v>
      </c>
      <c r="T3" s="12">
        <f t="shared" ref="T3:T37" ca="1" si="13">INDIRECT(COLUMN(M2)&amp;"!AM"&amp;ROW(M2)+1)</f>
        <v>0</v>
      </c>
      <c r="U3" s="12">
        <f t="shared" ref="U3:U37" ca="1" si="14">INDIRECT(COLUMN(N2)&amp;"!AM"&amp;ROW(N2)+1)</f>
        <v>0</v>
      </c>
      <c r="V3" s="12">
        <f t="shared" ref="V3:V37" ca="1" si="15">INDIRECT(COLUMN(O2)&amp;"!AM"&amp;ROW(O2)+1)</f>
        <v>0</v>
      </c>
      <c r="W3" s="12">
        <f t="shared" ref="W3:W37" ca="1" si="16">INDIRECT(COLUMN(P2)&amp;"!AM"&amp;ROW(P2)+1)</f>
        <v>0</v>
      </c>
      <c r="X3" s="12">
        <f t="shared" ref="X3:X37" ca="1" si="17">INDIRECT(COLUMN(Q2)&amp;"!AM"&amp;ROW(Q2)+1)</f>
        <v>0</v>
      </c>
      <c r="Y3" s="12">
        <f t="shared" ref="Y3:Y37" ca="1" si="18">INDIRECT(COLUMN(R2)&amp;"!AM"&amp;ROW(R2)+1)</f>
        <v>0</v>
      </c>
      <c r="Z3" s="12">
        <f t="shared" ref="Z3:Z37" ca="1" si="19">INDIRECT(COLUMN(S2)&amp;"!AM"&amp;ROW(S2)+1)</f>
        <v>0</v>
      </c>
      <c r="AA3" s="12">
        <f t="shared" ref="AA3:AA37" ca="1" si="20">INDIRECT(COLUMN(T2)&amp;"!AM"&amp;ROW(T2)+1)</f>
        <v>0</v>
      </c>
      <c r="AB3" s="12">
        <f t="shared" ref="AB3:AB37" ca="1" si="21">INDIRECT(COLUMN(U2)&amp;"!AM"&amp;ROW(U2)+1)</f>
        <v>0</v>
      </c>
      <c r="AC3" s="12">
        <f t="shared" ref="AC3:AC37" ca="1" si="22">INDIRECT(COLUMN(V2)&amp;"!AM"&amp;ROW(V2)+1)</f>
        <v>0</v>
      </c>
      <c r="AD3" s="12">
        <f t="shared" ref="AD3:AD37" ca="1" si="23">INDIRECT(COLUMN(W2)&amp;"!AM"&amp;ROW(W2)+1)</f>
        <v>0</v>
      </c>
      <c r="AE3" s="12">
        <f t="shared" ref="AE3:AE37" ca="1" si="24">INDIRECT(COLUMN(X2)&amp;"!AM"&amp;ROW(X2)+1)</f>
        <v>0</v>
      </c>
      <c r="AF3" s="12">
        <f t="shared" ref="AF3:AF37" ca="1" si="25">INDIRECT(COLUMN(Y2)&amp;"!AM"&amp;ROW(Y2)+1)</f>
        <v>0</v>
      </c>
      <c r="AG3" s="9"/>
      <c r="AH3" s="10" t="s">
        <v>29</v>
      </c>
    </row>
    <row r="4" spans="1:34" s="10" customFormat="1" ht="15" x14ac:dyDescent="0.25">
      <c r="A4" s="5" t="s">
        <v>27</v>
      </c>
      <c r="B4" s="5">
        <v>30</v>
      </c>
      <c r="C4" s="5">
        <v>1</v>
      </c>
      <c r="E4" s="12">
        <f ca="1">MIN('1:25'!L4:U4)</f>
        <v>156.12666999999999</v>
      </c>
      <c r="F4" s="13"/>
      <c r="H4" s="12">
        <f t="shared" ca="1" si="1"/>
        <v>0</v>
      </c>
      <c r="I4" s="12">
        <f t="shared" ca="1" si="2"/>
        <v>0</v>
      </c>
      <c r="J4" s="12">
        <f t="shared" ca="1" si="3"/>
        <v>0</v>
      </c>
      <c r="K4" s="12">
        <f t="shared" ca="1" si="4"/>
        <v>0</v>
      </c>
      <c r="L4" s="12">
        <f t="shared" ca="1" si="5"/>
        <v>0</v>
      </c>
      <c r="M4" s="12">
        <f t="shared" ca="1" si="6"/>
        <v>0</v>
      </c>
      <c r="N4" s="12">
        <f t="shared" ca="1" si="7"/>
        <v>0</v>
      </c>
      <c r="O4" s="12">
        <f t="shared" ca="1" si="8"/>
        <v>0</v>
      </c>
      <c r="P4" s="12">
        <f t="shared" ca="1" si="9"/>
        <v>0</v>
      </c>
      <c r="Q4" s="12">
        <f t="shared" ca="1" si="10"/>
        <v>0</v>
      </c>
      <c r="R4" s="12">
        <f t="shared" ca="1" si="11"/>
        <v>0</v>
      </c>
      <c r="S4" s="12">
        <f t="shared" ca="1" si="12"/>
        <v>0</v>
      </c>
      <c r="T4" s="12">
        <f t="shared" ca="1" si="13"/>
        <v>0</v>
      </c>
      <c r="U4" s="12">
        <f t="shared" ca="1" si="14"/>
        <v>0</v>
      </c>
      <c r="V4" s="12">
        <f t="shared" ca="1" si="15"/>
        <v>0</v>
      </c>
      <c r="W4" s="12">
        <f t="shared" ca="1" si="16"/>
        <v>0</v>
      </c>
      <c r="X4" s="12">
        <f t="shared" ca="1" si="17"/>
        <v>0</v>
      </c>
      <c r="Y4" s="12">
        <f t="shared" ca="1" si="18"/>
        <v>0</v>
      </c>
      <c r="Z4" s="12">
        <f t="shared" ca="1" si="19"/>
        <v>0</v>
      </c>
      <c r="AA4" s="12">
        <f t="shared" ca="1" si="20"/>
        <v>0</v>
      </c>
      <c r="AB4" s="12">
        <f t="shared" ca="1" si="21"/>
        <v>0</v>
      </c>
      <c r="AC4" s="12">
        <f t="shared" ca="1" si="22"/>
        <v>0</v>
      </c>
      <c r="AD4" s="12">
        <f t="shared" ca="1" si="23"/>
        <v>0</v>
      </c>
      <c r="AE4" s="12">
        <f t="shared" ca="1" si="24"/>
        <v>0</v>
      </c>
      <c r="AF4" s="12">
        <f t="shared" ca="1" si="25"/>
        <v>0</v>
      </c>
      <c r="AG4" s="9"/>
      <c r="AH4" s="10">
        <v>2.065921594342897</v>
      </c>
    </row>
    <row r="5" spans="1:34" s="10" customFormat="1" ht="15" x14ac:dyDescent="0.25">
      <c r="A5" s="5" t="s">
        <v>27</v>
      </c>
      <c r="B5" s="5">
        <v>50</v>
      </c>
      <c r="C5" s="5">
        <v>0.4</v>
      </c>
      <c r="E5" s="12">
        <f ca="1">MIN('1:25'!L5:U5)</f>
        <v>491.35005000000001</v>
      </c>
      <c r="F5" s="13"/>
      <c r="H5" s="12">
        <f t="shared" ca="1" si="1"/>
        <v>0</v>
      </c>
      <c r="I5" s="12">
        <f t="shared" ca="1" si="2"/>
        <v>0</v>
      </c>
      <c r="J5" s="12">
        <f t="shared" ca="1" si="3"/>
        <v>0</v>
      </c>
      <c r="K5" s="12">
        <f t="shared" ca="1" si="4"/>
        <v>0</v>
      </c>
      <c r="L5" s="12">
        <f t="shared" ca="1" si="5"/>
        <v>0</v>
      </c>
      <c r="M5" s="12">
        <f t="shared" ca="1" si="6"/>
        <v>0</v>
      </c>
      <c r="N5" s="12">
        <f t="shared" ca="1" si="7"/>
        <v>0</v>
      </c>
      <c r="O5" s="12">
        <f t="shared" ca="1" si="8"/>
        <v>0</v>
      </c>
      <c r="P5" s="12">
        <f t="shared" ca="1" si="9"/>
        <v>0</v>
      </c>
      <c r="Q5" s="12">
        <f t="shared" ca="1" si="10"/>
        <v>0</v>
      </c>
      <c r="R5" s="12">
        <f t="shared" ca="1" si="11"/>
        <v>0</v>
      </c>
      <c r="S5" s="12">
        <f t="shared" ca="1" si="12"/>
        <v>0</v>
      </c>
      <c r="T5" s="12">
        <f t="shared" ca="1" si="13"/>
        <v>0</v>
      </c>
      <c r="U5" s="12">
        <f t="shared" ca="1" si="14"/>
        <v>0</v>
      </c>
      <c r="V5" s="12">
        <f t="shared" ca="1" si="15"/>
        <v>0</v>
      </c>
      <c r="W5" s="12">
        <f t="shared" ca="1" si="16"/>
        <v>0</v>
      </c>
      <c r="X5" s="12">
        <f t="shared" ca="1" si="17"/>
        <v>0</v>
      </c>
      <c r="Y5" s="12">
        <f t="shared" ca="1" si="18"/>
        <v>0</v>
      </c>
      <c r="Z5" s="12">
        <f t="shared" ca="1" si="19"/>
        <v>0</v>
      </c>
      <c r="AA5" s="12">
        <f t="shared" ca="1" si="20"/>
        <v>0</v>
      </c>
      <c r="AB5" s="12">
        <f t="shared" ca="1" si="21"/>
        <v>0</v>
      </c>
      <c r="AC5" s="12">
        <f t="shared" ca="1" si="22"/>
        <v>0</v>
      </c>
      <c r="AD5" s="12">
        <f t="shared" ca="1" si="23"/>
        <v>0</v>
      </c>
      <c r="AE5" s="12">
        <f t="shared" ca="1" si="24"/>
        <v>0</v>
      </c>
      <c r="AF5" s="12">
        <f t="shared" ca="1" si="25"/>
        <v>0</v>
      </c>
      <c r="AG5" s="9"/>
      <c r="AH5" s="10">
        <v>1.9373240204856603</v>
      </c>
    </row>
    <row r="6" spans="1:34" s="10" customFormat="1" ht="15" x14ac:dyDescent="0.25">
      <c r="A6" s="5" t="s">
        <v>27</v>
      </c>
      <c r="B6" s="5">
        <v>50</v>
      </c>
      <c r="C6" s="5">
        <v>0.7</v>
      </c>
      <c r="E6" s="12">
        <f ca="1">MIN('1:25'!L6:U6)</f>
        <v>203.32952</v>
      </c>
      <c r="F6" s="13"/>
      <c r="H6" s="12">
        <f t="shared" ca="1" si="1"/>
        <v>0</v>
      </c>
      <c r="I6" s="12">
        <f t="shared" ca="1" si="2"/>
        <v>0</v>
      </c>
      <c r="J6" s="12">
        <f t="shared" ca="1" si="3"/>
        <v>0</v>
      </c>
      <c r="K6" s="12">
        <f t="shared" ca="1" si="4"/>
        <v>0</v>
      </c>
      <c r="L6" s="12">
        <f t="shared" ca="1" si="5"/>
        <v>0</v>
      </c>
      <c r="M6" s="12">
        <f t="shared" ca="1" si="6"/>
        <v>0</v>
      </c>
      <c r="N6" s="12">
        <f t="shared" ca="1" si="7"/>
        <v>0</v>
      </c>
      <c r="O6" s="12">
        <f t="shared" ca="1" si="8"/>
        <v>0</v>
      </c>
      <c r="P6" s="12">
        <f t="shared" ca="1" si="9"/>
        <v>0</v>
      </c>
      <c r="Q6" s="12">
        <f t="shared" ca="1" si="10"/>
        <v>0</v>
      </c>
      <c r="R6" s="12">
        <f t="shared" ca="1" si="11"/>
        <v>0</v>
      </c>
      <c r="S6" s="12">
        <f t="shared" ca="1" si="12"/>
        <v>0</v>
      </c>
      <c r="T6" s="12">
        <f t="shared" ca="1" si="13"/>
        <v>0</v>
      </c>
      <c r="U6" s="12">
        <f t="shared" ca="1" si="14"/>
        <v>0</v>
      </c>
      <c r="V6" s="12">
        <f t="shared" ca="1" si="15"/>
        <v>0</v>
      </c>
      <c r="W6" s="12">
        <f t="shared" ca="1" si="16"/>
        <v>0</v>
      </c>
      <c r="X6" s="12">
        <f t="shared" ca="1" si="17"/>
        <v>0</v>
      </c>
      <c r="Y6" s="12">
        <f t="shared" ca="1" si="18"/>
        <v>0</v>
      </c>
      <c r="Z6" s="12">
        <f t="shared" ca="1" si="19"/>
        <v>0</v>
      </c>
      <c r="AA6" s="12">
        <f t="shared" ca="1" si="20"/>
        <v>0</v>
      </c>
      <c r="AB6" s="12">
        <f t="shared" ca="1" si="21"/>
        <v>0</v>
      </c>
      <c r="AC6" s="12">
        <f t="shared" ca="1" si="22"/>
        <v>0</v>
      </c>
      <c r="AD6" s="12">
        <f t="shared" ca="1" si="23"/>
        <v>0</v>
      </c>
      <c r="AE6" s="12">
        <f t="shared" ca="1" si="24"/>
        <v>0</v>
      </c>
      <c r="AF6" s="12">
        <f t="shared" ca="1" si="25"/>
        <v>0</v>
      </c>
      <c r="AG6" s="9"/>
      <c r="AH6" s="10">
        <v>2.1209541300419943</v>
      </c>
    </row>
    <row r="7" spans="1:34" s="10" customFormat="1" ht="15" x14ac:dyDescent="0.25">
      <c r="A7" s="5" t="s">
        <v>27</v>
      </c>
      <c r="B7" s="5">
        <v>50</v>
      </c>
      <c r="C7" s="5">
        <v>1</v>
      </c>
      <c r="E7" s="12">
        <f ca="1">MIN('1:25'!L7:U7)</f>
        <v>179.67332999999999</v>
      </c>
      <c r="F7" s="13"/>
      <c r="H7" s="12">
        <f t="shared" ca="1" si="1"/>
        <v>0.10708745699765279</v>
      </c>
      <c r="I7" s="12">
        <f t="shared" ca="1" si="2"/>
        <v>0.12086045268933421</v>
      </c>
      <c r="J7" s="12">
        <f t="shared" ca="1" si="3"/>
        <v>4.0200067533673653E-2</v>
      </c>
      <c r="K7" s="12">
        <f t="shared" ca="1" si="4"/>
        <v>0.11375099465235092</v>
      </c>
      <c r="L7" s="12">
        <f t="shared" ca="1" si="5"/>
        <v>8.5579145218715139E-2</v>
      </c>
      <c r="M7" s="12">
        <f t="shared" ca="1" si="6"/>
        <v>0.10676937974044397</v>
      </c>
      <c r="N7" s="12">
        <f t="shared" ca="1" si="7"/>
        <v>6.6100238694301844E-2</v>
      </c>
      <c r="O7" s="12">
        <f t="shared" ca="1" si="8"/>
        <v>7.3563783784717132E-2</v>
      </c>
      <c r="P7" s="12">
        <f t="shared" ca="1" si="9"/>
        <v>0.11136271587998102</v>
      </c>
      <c r="Q7" s="12">
        <f t="shared" ca="1" si="10"/>
        <v>5.7150385090542058E-2</v>
      </c>
      <c r="R7" s="12">
        <f t="shared" ca="1" si="11"/>
        <v>6.0120441915336366E-2</v>
      </c>
      <c r="S7" s="12">
        <f t="shared" ca="1" si="12"/>
        <v>0.11517864114835574</v>
      </c>
      <c r="T7" s="12">
        <f t="shared" ca="1" si="13"/>
        <v>8.988846591756311E-2</v>
      </c>
      <c r="U7" s="12">
        <f t="shared" ca="1" si="14"/>
        <v>8.0756003130793494E-2</v>
      </c>
      <c r="V7" s="12">
        <f t="shared" ca="1" si="15"/>
        <v>7.689688836957663E-2</v>
      </c>
      <c r="W7" s="12">
        <f t="shared" ca="1" si="16"/>
        <v>8.3208453920234557E-2</v>
      </c>
      <c r="X7" s="12">
        <f t="shared" ca="1" si="17"/>
        <v>8.3406146031801492E-2</v>
      </c>
      <c r="Y7" s="12">
        <f t="shared" ca="1" si="18"/>
        <v>6.6172592226125426E-2</v>
      </c>
      <c r="Z7" s="12">
        <f t="shared" ca="1" si="19"/>
        <v>7.9903010647156741E-2</v>
      </c>
      <c r="AA7" s="12">
        <f t="shared" ca="1" si="20"/>
        <v>6.9265316115642156E-2</v>
      </c>
      <c r="AB7" s="12">
        <f t="shared" ca="1" si="21"/>
        <v>8.5511800777555935E-2</v>
      </c>
      <c r="AC7" s="12">
        <f t="shared" ca="1" si="22"/>
        <v>6.7848856588788406E-2</v>
      </c>
      <c r="AD7" s="12">
        <f t="shared" ca="1" si="23"/>
        <v>7.4187081633095564E-2</v>
      </c>
      <c r="AE7" s="12">
        <f t="shared" ca="1" si="24"/>
        <v>4.2108976329431155E-2</v>
      </c>
      <c r="AF7" s="12">
        <f t="shared" ca="1" si="25"/>
        <v>9.9212220311161906E-2</v>
      </c>
      <c r="AG7" s="9"/>
      <c r="AH7" s="10">
        <v>2.0901555209330183</v>
      </c>
    </row>
    <row r="8" spans="1:34" s="10" customFormat="1" ht="15" x14ac:dyDescent="0.25">
      <c r="A8" s="5" t="s">
        <v>27</v>
      </c>
      <c r="B8" s="5">
        <v>100</v>
      </c>
      <c r="C8" s="5">
        <v>0.4</v>
      </c>
      <c r="E8" s="12">
        <f ca="1">MIN('1:25'!L8:U8)</f>
        <v>282.75520999999998</v>
      </c>
      <c r="F8" s="13"/>
      <c r="H8" s="12">
        <f t="shared" ca="1" si="1"/>
        <v>0</v>
      </c>
      <c r="I8" s="12">
        <f t="shared" ca="1" si="2"/>
        <v>0</v>
      </c>
      <c r="J8" s="12">
        <f t="shared" ca="1" si="3"/>
        <v>0</v>
      </c>
      <c r="K8" s="12">
        <f t="shared" ca="1" si="4"/>
        <v>0</v>
      </c>
      <c r="L8" s="12">
        <f t="shared" ca="1" si="5"/>
        <v>0</v>
      </c>
      <c r="M8" s="12">
        <f t="shared" ca="1" si="6"/>
        <v>0</v>
      </c>
      <c r="N8" s="12">
        <f t="shared" ca="1" si="7"/>
        <v>0</v>
      </c>
      <c r="O8" s="12">
        <f t="shared" ca="1" si="8"/>
        <v>0</v>
      </c>
      <c r="P8" s="12">
        <f t="shared" ca="1" si="9"/>
        <v>0</v>
      </c>
      <c r="Q8" s="12">
        <f t="shared" ca="1" si="10"/>
        <v>0</v>
      </c>
      <c r="R8" s="12">
        <f t="shared" ca="1" si="11"/>
        <v>0</v>
      </c>
      <c r="S8" s="12">
        <f t="shared" ca="1" si="12"/>
        <v>0</v>
      </c>
      <c r="T8" s="12">
        <f t="shared" ca="1" si="13"/>
        <v>0</v>
      </c>
      <c r="U8" s="12">
        <f t="shared" ca="1" si="14"/>
        <v>0</v>
      </c>
      <c r="V8" s="12">
        <f t="shared" ca="1" si="15"/>
        <v>0</v>
      </c>
      <c r="W8" s="12">
        <f t="shared" ca="1" si="16"/>
        <v>0</v>
      </c>
      <c r="X8" s="12">
        <f t="shared" ca="1" si="17"/>
        <v>0</v>
      </c>
      <c r="Y8" s="12">
        <f t="shared" ca="1" si="18"/>
        <v>0</v>
      </c>
      <c r="Z8" s="12">
        <f t="shared" ca="1" si="19"/>
        <v>0</v>
      </c>
      <c r="AA8" s="12">
        <f t="shared" ca="1" si="20"/>
        <v>0</v>
      </c>
      <c r="AB8" s="12">
        <f t="shared" ca="1" si="21"/>
        <v>0</v>
      </c>
      <c r="AC8" s="12">
        <f t="shared" ca="1" si="22"/>
        <v>0</v>
      </c>
      <c r="AD8" s="12">
        <f t="shared" ca="1" si="23"/>
        <v>0</v>
      </c>
      <c r="AE8" s="12">
        <f t="shared" ca="1" si="24"/>
        <v>0</v>
      </c>
      <c r="AF8" s="12">
        <f t="shared" ca="1" si="25"/>
        <v>0</v>
      </c>
      <c r="AG8" s="9"/>
      <c r="AH8" s="10">
        <v>2.1396276115673163</v>
      </c>
    </row>
    <row r="9" spans="1:34" s="10" customFormat="1" ht="15" x14ac:dyDescent="0.25">
      <c r="A9" s="5" t="s">
        <v>27</v>
      </c>
      <c r="B9" s="5">
        <v>100</v>
      </c>
      <c r="C9" s="5">
        <v>0.7</v>
      </c>
      <c r="E9" s="12">
        <f ca="1">MIN('1:25'!L9:U9)</f>
        <v>255.18879999999999</v>
      </c>
      <c r="F9" s="13"/>
      <c r="H9" s="12">
        <f t="shared" ca="1" si="1"/>
        <v>9.7034078298107798E-2</v>
      </c>
      <c r="I9" s="12">
        <f t="shared" ca="1" si="2"/>
        <v>0.12396127886490364</v>
      </c>
      <c r="J9" s="12">
        <f t="shared" ca="1" si="3"/>
        <v>0.11974275516793861</v>
      </c>
      <c r="K9" s="12">
        <f t="shared" ca="1" si="4"/>
        <v>0.12256999523490061</v>
      </c>
      <c r="L9" s="12">
        <f t="shared" ca="1" si="5"/>
        <v>0.12173535829158685</v>
      </c>
      <c r="M9" s="12">
        <f t="shared" ca="1" si="6"/>
        <v>9.8223511376675288E-2</v>
      </c>
      <c r="N9" s="12">
        <f t="shared" ca="1" si="7"/>
        <v>8.7124121434797336E-2</v>
      </c>
      <c r="O9" s="12">
        <f t="shared" ca="1" si="8"/>
        <v>0.14736959459035853</v>
      </c>
      <c r="P9" s="12">
        <f t="shared" ca="1" si="9"/>
        <v>8.4047771689039957E-2</v>
      </c>
      <c r="Q9" s="12">
        <f t="shared" ca="1" si="10"/>
        <v>6.5819777357000883E-2</v>
      </c>
      <c r="R9" s="12">
        <f t="shared" ca="1" si="11"/>
        <v>0.11629691428464005</v>
      </c>
      <c r="S9" s="12">
        <f t="shared" ca="1" si="12"/>
        <v>0.14128817565661281</v>
      </c>
      <c r="T9" s="12">
        <f t="shared" ca="1" si="13"/>
        <v>7.0609995422997174E-2</v>
      </c>
      <c r="U9" s="12">
        <f t="shared" ca="1" si="14"/>
        <v>7.9902056830080628E-2</v>
      </c>
      <c r="V9" s="12">
        <f t="shared" ca="1" si="15"/>
        <v>0.11924057795639972</v>
      </c>
      <c r="W9" s="12">
        <f t="shared" ca="1" si="16"/>
        <v>0.11345960324277622</v>
      </c>
      <c r="X9" s="12">
        <f t="shared" ca="1" si="17"/>
        <v>9.6796881367834889E-2</v>
      </c>
      <c r="Y9" s="12">
        <f t="shared" ca="1" si="18"/>
        <v>0.12842087897274554</v>
      </c>
      <c r="Z9" s="12">
        <f t="shared" ca="1" si="19"/>
        <v>9.6273896033055362E-2</v>
      </c>
      <c r="AA9" s="12">
        <f t="shared" ca="1" si="20"/>
        <v>7.6097226837542054E-2</v>
      </c>
      <c r="AB9" s="12">
        <f t="shared" ca="1" si="21"/>
        <v>0.11236613832582015</v>
      </c>
      <c r="AC9" s="12">
        <f t="shared" ca="1" si="22"/>
        <v>0.12068742828838962</v>
      </c>
      <c r="AD9" s="12">
        <f t="shared" ca="1" si="23"/>
        <v>0.13067846237765976</v>
      </c>
      <c r="AE9" s="12">
        <f t="shared" ca="1" si="24"/>
        <v>7.6357465531403407E-2</v>
      </c>
      <c r="AF9" s="12">
        <f t="shared" ca="1" si="25"/>
        <v>0.11094487689114953</v>
      </c>
      <c r="AG9" s="9"/>
      <c r="AH9" s="10">
        <v>1.8578985601822258</v>
      </c>
    </row>
    <row r="10" spans="1:34" s="10" customFormat="1" ht="15" x14ac:dyDescent="0.25">
      <c r="A10" s="5" t="s">
        <v>27</v>
      </c>
      <c r="B10" s="5">
        <v>100</v>
      </c>
      <c r="C10" s="5">
        <v>1</v>
      </c>
      <c r="E10" s="12">
        <f ca="1">MIN('1:25'!L10:U10)</f>
        <v>238.77667</v>
      </c>
      <c r="F10" s="13"/>
      <c r="H10" s="12">
        <f t="shared" ca="1" si="1"/>
        <v>2.7506079216198288E-2</v>
      </c>
      <c r="I10" s="12">
        <f t="shared" ca="1" si="2"/>
        <v>3.7710091191070112E-2</v>
      </c>
      <c r="J10" s="12">
        <f t="shared" ca="1" si="3"/>
        <v>5.8143913306103134E-2</v>
      </c>
      <c r="K10" s="12">
        <f t="shared" ca="1" si="4"/>
        <v>5.3672622203835847E-2</v>
      </c>
      <c r="L10" s="12">
        <f t="shared" ca="1" si="5"/>
        <v>7.7586013742465154E-2</v>
      </c>
      <c r="M10" s="12">
        <f t="shared" ca="1" si="6"/>
        <v>7.6738150339394601E-2</v>
      </c>
      <c r="N10" s="12">
        <f t="shared" ca="1" si="7"/>
        <v>3.620399765186471E-2</v>
      </c>
      <c r="O10" s="12">
        <f t="shared" ca="1" si="8"/>
        <v>5.8589517979290164E-2</v>
      </c>
      <c r="P10" s="12">
        <f t="shared" ca="1" si="9"/>
        <v>1.7331802139631383E-2</v>
      </c>
      <c r="Q10" s="12">
        <f t="shared" ca="1" si="10"/>
        <v>2.4195035469755408E-2</v>
      </c>
      <c r="R10" s="12">
        <f t="shared" ca="1" si="11"/>
        <v>2.9581784518563074E-2</v>
      </c>
      <c r="S10" s="12">
        <f t="shared" ca="1" si="12"/>
        <v>2.3696201140589256E-2</v>
      </c>
      <c r="T10" s="12">
        <f t="shared" ca="1" si="13"/>
        <v>3.4206063766615044E-2</v>
      </c>
      <c r="U10" s="12">
        <f t="shared" ca="1" si="14"/>
        <v>4.4557619469272496E-2</v>
      </c>
      <c r="V10" s="12">
        <f t="shared" ca="1" si="15"/>
        <v>1.9624027757820676E-2</v>
      </c>
      <c r="W10" s="12">
        <f t="shared" ca="1" si="16"/>
        <v>2.1720254328029796E-2</v>
      </c>
      <c r="X10" s="12">
        <f t="shared" ca="1" si="17"/>
        <v>5.6686526367923817E-2</v>
      </c>
      <c r="Y10" s="12">
        <f t="shared" ca="1" si="18"/>
        <v>1.5117264178280132E-2</v>
      </c>
      <c r="Z10" s="12">
        <f t="shared" ca="1" si="19"/>
        <v>2.63047055644091E-2</v>
      </c>
      <c r="AA10" s="12">
        <f t="shared" ca="1" si="20"/>
        <v>1.4723590876780473E-2</v>
      </c>
      <c r="AB10" s="12">
        <f t="shared" ca="1" si="21"/>
        <v>1.4959962378234392E-2</v>
      </c>
      <c r="AC10" s="12">
        <f t="shared" ca="1" si="22"/>
        <v>1.9276925170285803E-2</v>
      </c>
      <c r="AD10" s="12">
        <f t="shared" ca="1" si="23"/>
        <v>1.8089790765572135E-2</v>
      </c>
      <c r="AE10" s="12">
        <f t="shared" ca="1" si="24"/>
        <v>1.0043024722641611E-2</v>
      </c>
      <c r="AF10" s="12">
        <f t="shared" ca="1" si="25"/>
        <v>4.5853265312729492E-2</v>
      </c>
      <c r="AG10" s="9"/>
      <c r="AH10" s="10">
        <v>1.7141038823273422</v>
      </c>
    </row>
    <row r="11" spans="1:34" s="10" customFormat="1" ht="15" x14ac:dyDescent="0.25">
      <c r="A11" s="5" t="s">
        <v>2</v>
      </c>
      <c r="B11" s="5">
        <v>24</v>
      </c>
      <c r="C11" s="5">
        <v>0.4</v>
      </c>
      <c r="E11" s="12">
        <f ca="1">MIN('1:25'!L11:U11)</f>
        <v>3177.6379999999999</v>
      </c>
      <c r="F11" s="13"/>
      <c r="H11" s="12">
        <f t="shared" ca="1" si="1"/>
        <v>0</v>
      </c>
      <c r="I11" s="12">
        <f t="shared" ca="1" si="2"/>
        <v>0</v>
      </c>
      <c r="J11" s="12">
        <f t="shared" ca="1" si="3"/>
        <v>0</v>
      </c>
      <c r="K11" s="12">
        <f t="shared" ca="1" si="4"/>
        <v>0</v>
      </c>
      <c r="L11" s="12">
        <f t="shared" ca="1" si="5"/>
        <v>0</v>
      </c>
      <c r="M11" s="12">
        <f t="shared" ca="1" si="6"/>
        <v>0</v>
      </c>
      <c r="N11" s="12">
        <f t="shared" ca="1" si="7"/>
        <v>0</v>
      </c>
      <c r="O11" s="12">
        <f t="shared" ca="1" si="8"/>
        <v>0</v>
      </c>
      <c r="P11" s="12">
        <f t="shared" ca="1" si="9"/>
        <v>0</v>
      </c>
      <c r="Q11" s="12">
        <f t="shared" ca="1" si="10"/>
        <v>0</v>
      </c>
      <c r="R11" s="12">
        <f t="shared" ca="1" si="11"/>
        <v>0</v>
      </c>
      <c r="S11" s="12">
        <f t="shared" ca="1" si="12"/>
        <v>0</v>
      </c>
      <c r="T11" s="12">
        <f t="shared" ca="1" si="13"/>
        <v>0</v>
      </c>
      <c r="U11" s="12">
        <f t="shared" ca="1" si="14"/>
        <v>0</v>
      </c>
      <c r="V11" s="12">
        <f t="shared" ca="1" si="15"/>
        <v>0</v>
      </c>
      <c r="W11" s="12">
        <f t="shared" ca="1" si="16"/>
        <v>0</v>
      </c>
      <c r="X11" s="12">
        <f t="shared" ca="1" si="17"/>
        <v>0</v>
      </c>
      <c r="Y11" s="12">
        <f t="shared" ca="1" si="18"/>
        <v>0</v>
      </c>
      <c r="Z11" s="12">
        <f t="shared" ca="1" si="19"/>
        <v>0</v>
      </c>
      <c r="AA11" s="12">
        <f t="shared" ca="1" si="20"/>
        <v>0</v>
      </c>
      <c r="AB11" s="12">
        <f t="shared" ca="1" si="21"/>
        <v>0</v>
      </c>
      <c r="AC11" s="12">
        <f t="shared" ca="1" si="22"/>
        <v>0</v>
      </c>
      <c r="AD11" s="12">
        <f t="shared" ca="1" si="23"/>
        <v>0</v>
      </c>
      <c r="AE11" s="12">
        <f t="shared" ca="1" si="24"/>
        <v>0</v>
      </c>
      <c r="AF11" s="12">
        <f t="shared" ca="1" si="25"/>
        <v>0</v>
      </c>
      <c r="AG11" s="9"/>
      <c r="AH11" s="10">
        <v>1.9388613823441621</v>
      </c>
    </row>
    <row r="12" spans="1:34" s="10" customFormat="1" ht="15" x14ac:dyDescent="0.25">
      <c r="A12" s="5" t="s">
        <v>2</v>
      </c>
      <c r="B12" s="5">
        <v>24</v>
      </c>
      <c r="C12" s="5">
        <v>0.7</v>
      </c>
      <c r="E12" s="12">
        <f ca="1">MIN('1:25'!L12:U12)</f>
        <v>2321.03586</v>
      </c>
      <c r="F12" s="13"/>
      <c r="H12" s="12">
        <f t="shared" ca="1" si="1"/>
        <v>0</v>
      </c>
      <c r="I12" s="12">
        <f t="shared" ca="1" si="2"/>
        <v>0</v>
      </c>
      <c r="J12" s="12">
        <f t="shared" ca="1" si="3"/>
        <v>0</v>
      </c>
      <c r="K12" s="12">
        <f t="shared" ca="1" si="4"/>
        <v>0</v>
      </c>
      <c r="L12" s="12">
        <f t="shared" ca="1" si="5"/>
        <v>0</v>
      </c>
      <c r="M12" s="12">
        <f t="shared" ca="1" si="6"/>
        <v>0</v>
      </c>
      <c r="N12" s="12">
        <f t="shared" ca="1" si="7"/>
        <v>0</v>
      </c>
      <c r="O12" s="12">
        <f t="shared" ca="1" si="8"/>
        <v>0</v>
      </c>
      <c r="P12" s="12">
        <f t="shared" ca="1" si="9"/>
        <v>0</v>
      </c>
      <c r="Q12" s="12">
        <f t="shared" ca="1" si="10"/>
        <v>0</v>
      </c>
      <c r="R12" s="12">
        <f t="shared" ca="1" si="11"/>
        <v>0</v>
      </c>
      <c r="S12" s="12">
        <f t="shared" ca="1" si="12"/>
        <v>0</v>
      </c>
      <c r="T12" s="12">
        <f t="shared" ca="1" si="13"/>
        <v>0</v>
      </c>
      <c r="U12" s="12">
        <f t="shared" ca="1" si="14"/>
        <v>0</v>
      </c>
      <c r="V12" s="12">
        <f t="shared" ca="1" si="15"/>
        <v>0</v>
      </c>
      <c r="W12" s="12">
        <f t="shared" ca="1" si="16"/>
        <v>0</v>
      </c>
      <c r="X12" s="12">
        <f t="shared" ca="1" si="17"/>
        <v>0</v>
      </c>
      <c r="Y12" s="12">
        <f t="shared" ca="1" si="18"/>
        <v>0</v>
      </c>
      <c r="Z12" s="12">
        <f t="shared" ca="1" si="19"/>
        <v>0</v>
      </c>
      <c r="AA12" s="12">
        <f t="shared" ca="1" si="20"/>
        <v>0</v>
      </c>
      <c r="AB12" s="12">
        <f t="shared" ca="1" si="21"/>
        <v>0</v>
      </c>
      <c r="AC12" s="12">
        <f t="shared" ca="1" si="22"/>
        <v>0</v>
      </c>
      <c r="AD12" s="12">
        <f t="shared" ca="1" si="23"/>
        <v>0</v>
      </c>
      <c r="AE12" s="12">
        <f t="shared" ca="1" si="24"/>
        <v>0</v>
      </c>
      <c r="AF12" s="12">
        <f t="shared" ca="1" si="25"/>
        <v>0</v>
      </c>
      <c r="AG12" s="9"/>
      <c r="AH12" s="10">
        <v>1.9730147785780863</v>
      </c>
    </row>
    <row r="13" spans="1:34" s="10" customFormat="1" ht="15" x14ac:dyDescent="0.25">
      <c r="A13" s="5" t="s">
        <v>2</v>
      </c>
      <c r="B13" s="5">
        <v>24</v>
      </c>
      <c r="C13" s="5">
        <v>1</v>
      </c>
      <c r="E13" s="12">
        <f ca="1">MIN('1:25'!L13:U13)</f>
        <v>2320.9075499999999</v>
      </c>
      <c r="F13" s="13"/>
      <c r="H13" s="12">
        <f t="shared" ca="1" si="1"/>
        <v>0</v>
      </c>
      <c r="I13" s="12">
        <f t="shared" ca="1" si="2"/>
        <v>0</v>
      </c>
      <c r="J13" s="12">
        <f t="shared" ca="1" si="3"/>
        <v>0</v>
      </c>
      <c r="K13" s="12">
        <f t="shared" ca="1" si="4"/>
        <v>0</v>
      </c>
      <c r="L13" s="12">
        <f t="shared" ca="1" si="5"/>
        <v>0</v>
      </c>
      <c r="M13" s="12">
        <f t="shared" ca="1" si="6"/>
        <v>0</v>
      </c>
      <c r="N13" s="12">
        <f t="shared" ca="1" si="7"/>
        <v>0</v>
      </c>
      <c r="O13" s="12">
        <f t="shared" ca="1" si="8"/>
        <v>0</v>
      </c>
      <c r="P13" s="12">
        <f t="shared" ca="1" si="9"/>
        <v>0</v>
      </c>
      <c r="Q13" s="12">
        <f t="shared" ca="1" si="10"/>
        <v>0</v>
      </c>
      <c r="R13" s="12">
        <f t="shared" ca="1" si="11"/>
        <v>0</v>
      </c>
      <c r="S13" s="12">
        <f t="shared" ca="1" si="12"/>
        <v>0</v>
      </c>
      <c r="T13" s="12">
        <f t="shared" ca="1" si="13"/>
        <v>0</v>
      </c>
      <c r="U13" s="12">
        <f t="shared" ca="1" si="14"/>
        <v>0</v>
      </c>
      <c r="V13" s="12">
        <f t="shared" ca="1" si="15"/>
        <v>0</v>
      </c>
      <c r="W13" s="12">
        <f t="shared" ca="1" si="16"/>
        <v>0</v>
      </c>
      <c r="X13" s="12">
        <f t="shared" ca="1" si="17"/>
        <v>0</v>
      </c>
      <c r="Y13" s="12">
        <f t="shared" ca="1" si="18"/>
        <v>0</v>
      </c>
      <c r="Z13" s="12">
        <f t="shared" ca="1" si="19"/>
        <v>0</v>
      </c>
      <c r="AA13" s="12">
        <f t="shared" ca="1" si="20"/>
        <v>0</v>
      </c>
      <c r="AB13" s="12">
        <f t="shared" ca="1" si="21"/>
        <v>0</v>
      </c>
      <c r="AC13" s="12">
        <f t="shared" ca="1" si="22"/>
        <v>0</v>
      </c>
      <c r="AD13" s="12">
        <f t="shared" ca="1" si="23"/>
        <v>0</v>
      </c>
      <c r="AE13" s="12">
        <f t="shared" ca="1" si="24"/>
        <v>0</v>
      </c>
      <c r="AF13" s="12">
        <f t="shared" ca="1" si="25"/>
        <v>0</v>
      </c>
      <c r="AG13" s="9"/>
      <c r="AH13" s="10">
        <v>1.8833753622460974</v>
      </c>
    </row>
    <row r="14" spans="1:34" s="10" customFormat="1" ht="15" x14ac:dyDescent="0.25">
      <c r="A14" s="5" t="s">
        <v>2</v>
      </c>
      <c r="B14" s="5">
        <v>47</v>
      </c>
      <c r="C14" s="5">
        <v>0.4</v>
      </c>
      <c r="E14" s="12">
        <f ca="1">MIN('1:25'!L14:U14)</f>
        <v>4348.0289499999999</v>
      </c>
      <c r="F14" s="13"/>
      <c r="H14" s="12">
        <f t="shared" ca="1" si="1"/>
        <v>1.9404792601485799E-3</v>
      </c>
      <c r="I14" s="12">
        <f t="shared" ca="1" si="2"/>
        <v>2.5873056801981064E-3</v>
      </c>
      <c r="J14" s="12">
        <f t="shared" ca="1" si="3"/>
        <v>2.5873056801981064E-3</v>
      </c>
      <c r="K14" s="12">
        <f t="shared" ca="1" si="4"/>
        <v>6.4682642004952661E-4</v>
      </c>
      <c r="L14" s="12">
        <f t="shared" ca="1" si="5"/>
        <v>0</v>
      </c>
      <c r="M14" s="12">
        <f t="shared" ca="1" si="6"/>
        <v>2.0180868390960407E-4</v>
      </c>
      <c r="N14" s="12">
        <f t="shared" ca="1" si="7"/>
        <v>2.5873056801981064E-3</v>
      </c>
      <c r="O14" s="12">
        <f t="shared" ca="1" si="8"/>
        <v>1.9404792601485799E-3</v>
      </c>
      <c r="P14" s="12">
        <f t="shared" ca="1" si="9"/>
        <v>0</v>
      </c>
      <c r="Q14" s="12">
        <f t="shared" ca="1" si="10"/>
        <v>0</v>
      </c>
      <c r="R14" s="12">
        <f t="shared" ca="1" si="11"/>
        <v>0</v>
      </c>
      <c r="S14" s="12">
        <f t="shared" ca="1" si="12"/>
        <v>0</v>
      </c>
      <c r="T14" s="12">
        <f t="shared" ca="1" si="13"/>
        <v>1.2936528400990532E-3</v>
      </c>
      <c r="U14" s="12">
        <f t="shared" ca="1" si="14"/>
        <v>1.8429960085709018E-3</v>
      </c>
      <c r="V14" s="12">
        <f t="shared" ca="1" si="15"/>
        <v>6.4682642004952661E-4</v>
      </c>
      <c r="W14" s="12">
        <f t="shared" ca="1" si="16"/>
        <v>0</v>
      </c>
      <c r="X14" s="12">
        <f t="shared" ca="1" si="17"/>
        <v>0</v>
      </c>
      <c r="Y14" s="12">
        <f t="shared" ca="1" si="18"/>
        <v>0</v>
      </c>
      <c r="Z14" s="12">
        <f t="shared" ca="1" si="19"/>
        <v>1.2936528400990532E-3</v>
      </c>
      <c r="AA14" s="12">
        <f t="shared" ca="1" si="20"/>
        <v>0</v>
      </c>
      <c r="AB14" s="12">
        <f t="shared" ca="1" si="21"/>
        <v>0</v>
      </c>
      <c r="AC14" s="12">
        <f t="shared" ca="1" si="22"/>
        <v>0</v>
      </c>
      <c r="AD14" s="12">
        <f t="shared" ca="1" si="23"/>
        <v>0</v>
      </c>
      <c r="AE14" s="12">
        <f t="shared" ca="1" si="24"/>
        <v>0</v>
      </c>
      <c r="AF14" s="12">
        <f t="shared" ca="1" si="25"/>
        <v>3.2341321002476329E-3</v>
      </c>
      <c r="AG14" s="9"/>
      <c r="AH14" s="10">
        <v>1.911358816726684</v>
      </c>
    </row>
    <row r="15" spans="1:34" s="10" customFormat="1" ht="15" x14ac:dyDescent="0.25">
      <c r="A15" s="5" t="s">
        <v>2</v>
      </c>
      <c r="B15" s="5">
        <v>47</v>
      </c>
      <c r="C15" s="5">
        <v>0.7</v>
      </c>
      <c r="E15" s="12">
        <f ca="1">MIN('1:25'!L15:U15)</f>
        <v>4325.26836</v>
      </c>
      <c r="F15" s="13"/>
      <c r="H15" s="12">
        <f t="shared" ca="1" si="1"/>
        <v>0</v>
      </c>
      <c r="I15" s="12">
        <f t="shared" ca="1" si="2"/>
        <v>0</v>
      </c>
      <c r="J15" s="12">
        <f t="shared" ca="1" si="3"/>
        <v>0</v>
      </c>
      <c r="K15" s="12">
        <f t="shared" ca="1" si="4"/>
        <v>0</v>
      </c>
      <c r="L15" s="12">
        <f t="shared" ca="1" si="5"/>
        <v>0</v>
      </c>
      <c r="M15" s="12">
        <f t="shared" ca="1" si="6"/>
        <v>0</v>
      </c>
      <c r="N15" s="12">
        <f t="shared" ca="1" si="7"/>
        <v>0</v>
      </c>
      <c r="O15" s="12">
        <f t="shared" ca="1" si="8"/>
        <v>0</v>
      </c>
      <c r="P15" s="12">
        <f t="shared" ca="1" si="9"/>
        <v>0</v>
      </c>
      <c r="Q15" s="12">
        <f t="shared" ca="1" si="10"/>
        <v>0</v>
      </c>
      <c r="R15" s="12">
        <f t="shared" ca="1" si="11"/>
        <v>0</v>
      </c>
      <c r="S15" s="12">
        <f t="shared" ca="1" si="12"/>
        <v>0</v>
      </c>
      <c r="T15" s="12">
        <f t="shared" ca="1" si="13"/>
        <v>0</v>
      </c>
      <c r="U15" s="12">
        <f t="shared" ca="1" si="14"/>
        <v>0</v>
      </c>
      <c r="V15" s="12">
        <f t="shared" ca="1" si="15"/>
        <v>0</v>
      </c>
      <c r="W15" s="12">
        <f t="shared" ca="1" si="16"/>
        <v>0</v>
      </c>
      <c r="X15" s="12">
        <f t="shared" ca="1" si="17"/>
        <v>0</v>
      </c>
      <c r="Y15" s="12">
        <f t="shared" ca="1" si="18"/>
        <v>0</v>
      </c>
      <c r="Z15" s="12">
        <f t="shared" ca="1" si="19"/>
        <v>0</v>
      </c>
      <c r="AA15" s="12">
        <f t="shared" ca="1" si="20"/>
        <v>0</v>
      </c>
      <c r="AB15" s="12">
        <f t="shared" ca="1" si="21"/>
        <v>0</v>
      </c>
      <c r="AC15" s="12">
        <f t="shared" ca="1" si="22"/>
        <v>0</v>
      </c>
      <c r="AD15" s="12">
        <f t="shared" ca="1" si="23"/>
        <v>0</v>
      </c>
      <c r="AE15" s="12">
        <f t="shared" ca="1" si="24"/>
        <v>0</v>
      </c>
      <c r="AF15" s="12">
        <f t="shared" ca="1" si="25"/>
        <v>0</v>
      </c>
      <c r="AG15" s="9"/>
      <c r="AH15" s="10">
        <v>2.0207741178518828</v>
      </c>
    </row>
    <row r="16" spans="1:34" s="10" customFormat="1" ht="15" x14ac:dyDescent="0.25">
      <c r="A16" s="5" t="s">
        <v>2</v>
      </c>
      <c r="B16" s="5">
        <v>47</v>
      </c>
      <c r="C16" s="5">
        <v>1</v>
      </c>
      <c r="E16" s="12">
        <f ca="1">MIN('1:25'!L16:U16)</f>
        <v>4313.60977</v>
      </c>
      <c r="F16" s="13"/>
      <c r="H16" s="12">
        <f t="shared" ca="1" si="1"/>
        <v>0</v>
      </c>
      <c r="I16" s="12">
        <f t="shared" ca="1" si="2"/>
        <v>0</v>
      </c>
      <c r="J16" s="12">
        <f t="shared" ca="1" si="3"/>
        <v>0</v>
      </c>
      <c r="K16" s="12">
        <f t="shared" ca="1" si="4"/>
        <v>0</v>
      </c>
      <c r="L16" s="12">
        <f t="shared" ca="1" si="5"/>
        <v>1.1308185626629262E-3</v>
      </c>
      <c r="M16" s="12">
        <f t="shared" ca="1" si="6"/>
        <v>0</v>
      </c>
      <c r="N16" s="12">
        <f t="shared" ca="1" si="7"/>
        <v>0</v>
      </c>
      <c r="O16" s="12">
        <f t="shared" ca="1" si="8"/>
        <v>1.1308185626629262E-3</v>
      </c>
      <c r="P16" s="12">
        <f t="shared" ca="1" si="9"/>
        <v>0</v>
      </c>
      <c r="Q16" s="12">
        <f t="shared" ca="1" si="10"/>
        <v>0</v>
      </c>
      <c r="R16" s="12">
        <f t="shared" ca="1" si="11"/>
        <v>0</v>
      </c>
      <c r="S16" s="12">
        <f t="shared" ca="1" si="12"/>
        <v>0</v>
      </c>
      <c r="T16" s="12">
        <f t="shared" ca="1" si="13"/>
        <v>0</v>
      </c>
      <c r="U16" s="12">
        <f t="shared" ca="1" si="14"/>
        <v>0</v>
      </c>
      <c r="V16" s="12">
        <f t="shared" ca="1" si="15"/>
        <v>0</v>
      </c>
      <c r="W16" s="12">
        <f t="shared" ca="1" si="16"/>
        <v>0</v>
      </c>
      <c r="X16" s="12">
        <f t="shared" ca="1" si="17"/>
        <v>0</v>
      </c>
      <c r="Y16" s="12">
        <f t="shared" ca="1" si="18"/>
        <v>0</v>
      </c>
      <c r="Z16" s="12">
        <f t="shared" ca="1" si="19"/>
        <v>0</v>
      </c>
      <c r="AA16" s="12">
        <f t="shared" ca="1" si="20"/>
        <v>0</v>
      </c>
      <c r="AB16" s="12">
        <f t="shared" ca="1" si="21"/>
        <v>0</v>
      </c>
      <c r="AC16" s="12">
        <f t="shared" ca="1" si="22"/>
        <v>0</v>
      </c>
      <c r="AD16" s="12">
        <f t="shared" ca="1" si="23"/>
        <v>0</v>
      </c>
      <c r="AE16" s="12">
        <f t="shared" ca="1" si="24"/>
        <v>0</v>
      </c>
      <c r="AF16" s="12">
        <f t="shared" ca="1" si="25"/>
        <v>0</v>
      </c>
      <c r="AG16" s="9"/>
      <c r="AH16" s="10">
        <v>1.8363323229576367</v>
      </c>
    </row>
    <row r="17" spans="1:95" s="10" customFormat="1" ht="15" x14ac:dyDescent="0.25">
      <c r="A17" s="5" t="s">
        <v>2</v>
      </c>
      <c r="B17" s="5">
        <v>100</v>
      </c>
      <c r="C17" s="5">
        <v>0.4</v>
      </c>
      <c r="E17" s="12">
        <f ca="1">MIN('1:25'!L17:U17)</f>
        <v>42986.193919999998</v>
      </c>
      <c r="F17" s="13"/>
      <c r="H17" s="12">
        <f t="shared" ca="1" si="1"/>
        <v>8.0830603576636124E-5</v>
      </c>
      <c r="I17" s="12">
        <f t="shared" ca="1" si="2"/>
        <v>5.8375486899259453E-5</v>
      </c>
      <c r="J17" s="12">
        <f t="shared" ca="1" si="3"/>
        <v>6.9025417917774155E-5</v>
      </c>
      <c r="K17" s="12">
        <f t="shared" ca="1" si="4"/>
        <v>8.8035940261649024E-5</v>
      </c>
      <c r="L17" s="12">
        <f t="shared" ca="1" si="5"/>
        <v>6.9451833897590408E-5</v>
      </c>
      <c r="M17" s="12">
        <f t="shared" ca="1" si="6"/>
        <v>7.0207192700900918E-5</v>
      </c>
      <c r="N17" s="12">
        <f t="shared" ca="1" si="7"/>
        <v>7.2805468794221587E-5</v>
      </c>
      <c r="O17" s="12">
        <f t="shared" ca="1" si="8"/>
        <v>6.690776125387137E-5</v>
      </c>
      <c r="P17" s="12">
        <f t="shared" ca="1" si="9"/>
        <v>1.3503963646611879E-4</v>
      </c>
      <c r="Q17" s="12">
        <f t="shared" ca="1" si="10"/>
        <v>1.1946672947098191E-4</v>
      </c>
      <c r="R17" s="12">
        <f t="shared" ca="1" si="11"/>
        <v>2.1438394888323041E-4</v>
      </c>
      <c r="S17" s="12">
        <f t="shared" ca="1" si="12"/>
        <v>1.8519992755889261E-4</v>
      </c>
      <c r="T17" s="12">
        <f t="shared" ca="1" si="13"/>
        <v>1.4280166351642148E-4</v>
      </c>
      <c r="U17" s="12">
        <f t="shared" ca="1" si="14"/>
        <v>1.4971248703695453E-4</v>
      </c>
      <c r="V17" s="12">
        <f t="shared" ca="1" si="15"/>
        <v>5.9881319216461158E-5</v>
      </c>
      <c r="W17" s="12">
        <f t="shared" ca="1" si="16"/>
        <v>9.8380889638284281E-5</v>
      </c>
      <c r="X17" s="12">
        <f t="shared" ca="1" si="17"/>
        <v>8.3204621620627746E-5</v>
      </c>
      <c r="Y17" s="12">
        <f t="shared" ca="1" si="18"/>
        <v>2.1370838314082989E-4</v>
      </c>
      <c r="Z17" s="12">
        <f t="shared" ca="1" si="19"/>
        <v>1.4449569579441356E-4</v>
      </c>
      <c r="AA17" s="12">
        <f t="shared" ca="1" si="20"/>
        <v>2.5366888774360998E-4</v>
      </c>
      <c r="AB17" s="12">
        <f t="shared" ca="1" si="21"/>
        <v>1.3320439605960264E-4</v>
      </c>
      <c r="AC17" s="12">
        <f t="shared" ca="1" si="22"/>
        <v>2.1689196343773365E-4</v>
      </c>
      <c r="AD17" s="12">
        <f t="shared" ca="1" si="23"/>
        <v>1.646191336033864E-4</v>
      </c>
      <c r="AE17" s="12">
        <f t="shared" ca="1" si="24"/>
        <v>1.4011661537708848E-4</v>
      </c>
      <c r="AF17" s="12">
        <f t="shared" ca="1" si="25"/>
        <v>1.3939638413135337E-4</v>
      </c>
      <c r="AG17" s="9"/>
      <c r="AH17" s="10">
        <v>1.7035464653747836</v>
      </c>
    </row>
    <row r="18" spans="1:95" s="10" customFormat="1" ht="15" x14ac:dyDescent="0.25">
      <c r="A18" s="5" t="s">
        <v>2</v>
      </c>
      <c r="B18" s="5">
        <v>100</v>
      </c>
      <c r="C18" s="5">
        <v>0.7</v>
      </c>
      <c r="E18" s="12">
        <f ca="1">MIN('1:25'!L18:U18)</f>
        <v>35336.072039999999</v>
      </c>
      <c r="F18" s="13"/>
      <c r="H18" s="12">
        <f t="shared" ca="1" si="1"/>
        <v>7.9720259139476668E-2</v>
      </c>
      <c r="I18" s="12">
        <f t="shared" ca="1" si="2"/>
        <v>9.1204929522212083E-2</v>
      </c>
      <c r="J18" s="12">
        <f t="shared" ca="1" si="3"/>
        <v>0.10542716620520037</v>
      </c>
      <c r="K18" s="12">
        <f t="shared" ca="1" si="4"/>
        <v>7.6964537454005444E-2</v>
      </c>
      <c r="L18" s="12">
        <f t="shared" ca="1" si="5"/>
        <v>7.6253162121411783E-2</v>
      </c>
      <c r="M18" s="12">
        <f t="shared" ca="1" si="6"/>
        <v>8.7499883872209208E-2</v>
      </c>
      <c r="N18" s="12">
        <f t="shared" ca="1" si="7"/>
        <v>8.3684618840844147E-2</v>
      </c>
      <c r="O18" s="12">
        <f t="shared" ca="1" si="8"/>
        <v>6.4022939998511635E-2</v>
      </c>
      <c r="P18" s="12">
        <f t="shared" ca="1" si="9"/>
        <v>0.12000475477862457</v>
      </c>
      <c r="Q18" s="12">
        <f t="shared" ca="1" si="10"/>
        <v>9.2616753958825418E-2</v>
      </c>
      <c r="R18" s="12">
        <f t="shared" ca="1" si="11"/>
        <v>0.11993760102148621</v>
      </c>
      <c r="S18" s="12">
        <f t="shared" ca="1" si="12"/>
        <v>0.12485933000718435</v>
      </c>
      <c r="T18" s="12">
        <f t="shared" ca="1" si="13"/>
        <v>6.8879735904002357E-2</v>
      </c>
      <c r="U18" s="12">
        <f t="shared" ca="1" si="14"/>
        <v>9.4355985470761322E-2</v>
      </c>
      <c r="V18" s="12">
        <f t="shared" ca="1" si="15"/>
        <v>7.6864371538676854E-2</v>
      </c>
      <c r="W18" s="12">
        <f t="shared" ca="1" si="16"/>
        <v>8.7919870281088816E-2</v>
      </c>
      <c r="X18" s="12">
        <f t="shared" ca="1" si="17"/>
        <v>9.2085523153693866E-2</v>
      </c>
      <c r="Y18" s="12">
        <f t="shared" ca="1" si="18"/>
        <v>0.13628894446865672</v>
      </c>
      <c r="Z18" s="12">
        <f t="shared" ca="1" si="19"/>
        <v>7.0028891360614701E-2</v>
      </c>
      <c r="AA18" s="12">
        <f t="shared" ca="1" si="20"/>
        <v>0.11279791215866013</v>
      </c>
      <c r="AB18" s="12">
        <f t="shared" ca="1" si="21"/>
        <v>0.10792087716153542</v>
      </c>
      <c r="AC18" s="12">
        <f t="shared" ca="1" si="22"/>
        <v>0.12147700047534797</v>
      </c>
      <c r="AD18" s="12">
        <f t="shared" ca="1" si="23"/>
        <v>0.10704956243348222</v>
      </c>
      <c r="AE18" s="12">
        <f t="shared" ca="1" si="24"/>
        <v>0.10671727337807443</v>
      </c>
      <c r="AF18" s="12">
        <f t="shared" ca="1" si="25"/>
        <v>5.8768568777232771E-2</v>
      </c>
      <c r="AG18" s="9"/>
      <c r="AH18" s="10">
        <v>1.8709831039949707</v>
      </c>
    </row>
    <row r="19" spans="1:95" s="10" customFormat="1" ht="15" x14ac:dyDescent="0.25">
      <c r="A19" s="5" t="s">
        <v>2</v>
      </c>
      <c r="B19" s="5">
        <v>100</v>
      </c>
      <c r="C19" s="5">
        <v>1</v>
      </c>
      <c r="E19" s="12">
        <f ca="1">MIN('1:25'!L19:U19)</f>
        <v>35203.853329999998</v>
      </c>
      <c r="F19" s="13"/>
      <c r="H19" s="12">
        <f t="shared" ca="1" si="1"/>
        <v>2.5240692877299693E-2</v>
      </c>
      <c r="I19" s="12">
        <f t="shared" ca="1" si="2"/>
        <v>2.6343526127854726E-2</v>
      </c>
      <c r="J19" s="12">
        <f t="shared" ca="1" si="3"/>
        <v>2.719926710932068E-2</v>
      </c>
      <c r="K19" s="12">
        <f t="shared" ca="1" si="4"/>
        <v>2.2634947729456744E-2</v>
      </c>
      <c r="L19" s="12">
        <f t="shared" ca="1" si="5"/>
        <v>2.2955150461082149E-2</v>
      </c>
      <c r="M19" s="12">
        <f t="shared" ca="1" si="6"/>
        <v>1.2612374157963499E-2</v>
      </c>
      <c r="N19" s="12">
        <f t="shared" ca="1" si="7"/>
        <v>2.0849306555158924E-2</v>
      </c>
      <c r="O19" s="12">
        <f t="shared" ca="1" si="8"/>
        <v>1.8051963631449036E-2</v>
      </c>
      <c r="P19" s="12">
        <f t="shared" ca="1" si="9"/>
        <v>2.3557632234914923E-2</v>
      </c>
      <c r="Q19" s="12">
        <f t="shared" ca="1" si="10"/>
        <v>2.6492855235401725E-2</v>
      </c>
      <c r="R19" s="12">
        <f t="shared" ca="1" si="11"/>
        <v>2.6289115038760368E-2</v>
      </c>
      <c r="S19" s="12">
        <f t="shared" ca="1" si="12"/>
        <v>1.5318708294368891E-2</v>
      </c>
      <c r="T19" s="12">
        <f t="shared" ca="1" si="13"/>
        <v>3.7930020258950779E-2</v>
      </c>
      <c r="U19" s="12">
        <f t="shared" ca="1" si="14"/>
        <v>3.6537093196667404E-2</v>
      </c>
      <c r="V19" s="12">
        <f t="shared" ca="1" si="15"/>
        <v>1.6142210475458243E-2</v>
      </c>
      <c r="W19" s="12">
        <f t="shared" ca="1" si="16"/>
        <v>2.1076410671434075E-2</v>
      </c>
      <c r="X19" s="12">
        <f t="shared" ca="1" si="17"/>
        <v>1.9485941029513322E-2</v>
      </c>
      <c r="Y19" s="12">
        <f t="shared" ca="1" si="18"/>
        <v>2.4326557720038996E-2</v>
      </c>
      <c r="Z19" s="12">
        <f t="shared" ca="1" si="19"/>
        <v>2.1179249697777611E-2</v>
      </c>
      <c r="AA19" s="12">
        <f t="shared" ca="1" si="20"/>
        <v>1.6317148711402499E-2</v>
      </c>
      <c r="AB19" s="12">
        <f t="shared" ca="1" si="21"/>
        <v>1.7876568059205136E-2</v>
      </c>
      <c r="AC19" s="12">
        <f t="shared" ca="1" si="22"/>
        <v>4.1182066815525442E-2</v>
      </c>
      <c r="AD19" s="12">
        <f t="shared" ca="1" si="23"/>
        <v>1.5673510647478395E-2</v>
      </c>
      <c r="AE19" s="12">
        <f t="shared" ca="1" si="24"/>
        <v>2.3018465120960646E-2</v>
      </c>
      <c r="AF19" s="12">
        <f t="shared" ca="1" si="25"/>
        <v>2.04111553716676E-2</v>
      </c>
      <c r="AG19" s="9"/>
      <c r="AH19" s="10">
        <v>1.7569208083777164</v>
      </c>
    </row>
    <row r="20" spans="1:95" s="10" customFormat="1" ht="15" x14ac:dyDescent="0.25">
      <c r="A20" s="5" t="s">
        <v>1</v>
      </c>
      <c r="B20" s="5">
        <v>30</v>
      </c>
      <c r="C20" s="5">
        <v>0.4</v>
      </c>
      <c r="E20" s="12">
        <f ca="1">MIN('1:25'!L20:U20)</f>
        <v>995.50248999999997</v>
      </c>
      <c r="F20" s="13"/>
      <c r="H20" s="12">
        <f t="shared" ca="1" si="1"/>
        <v>0</v>
      </c>
      <c r="I20" s="12">
        <f t="shared" ca="1" si="2"/>
        <v>0</v>
      </c>
      <c r="J20" s="12">
        <f t="shared" ca="1" si="3"/>
        <v>0</v>
      </c>
      <c r="K20" s="12">
        <f t="shared" ca="1" si="4"/>
        <v>0</v>
      </c>
      <c r="L20" s="12">
        <f t="shared" ca="1" si="5"/>
        <v>0</v>
      </c>
      <c r="M20" s="12">
        <f t="shared" ca="1" si="6"/>
        <v>0</v>
      </c>
      <c r="N20" s="12">
        <f t="shared" ca="1" si="7"/>
        <v>0</v>
      </c>
      <c r="O20" s="12">
        <f t="shared" ca="1" si="8"/>
        <v>0</v>
      </c>
      <c r="P20" s="12">
        <f t="shared" ca="1" si="9"/>
        <v>0</v>
      </c>
      <c r="Q20" s="12">
        <f t="shared" ca="1" si="10"/>
        <v>0</v>
      </c>
      <c r="R20" s="12">
        <f t="shared" ca="1" si="11"/>
        <v>0</v>
      </c>
      <c r="S20" s="12">
        <f t="shared" ca="1" si="12"/>
        <v>0</v>
      </c>
      <c r="T20" s="12">
        <f t="shared" ca="1" si="13"/>
        <v>0</v>
      </c>
      <c r="U20" s="12">
        <f t="shared" ca="1" si="14"/>
        <v>0</v>
      </c>
      <c r="V20" s="12">
        <f t="shared" ca="1" si="15"/>
        <v>0</v>
      </c>
      <c r="W20" s="12">
        <f t="shared" ca="1" si="16"/>
        <v>0</v>
      </c>
      <c r="X20" s="12">
        <f t="shared" ca="1" si="17"/>
        <v>0</v>
      </c>
      <c r="Y20" s="12">
        <f t="shared" ca="1" si="18"/>
        <v>0</v>
      </c>
      <c r="Z20" s="12">
        <f t="shared" ca="1" si="19"/>
        <v>0</v>
      </c>
      <c r="AA20" s="12">
        <f t="shared" ca="1" si="20"/>
        <v>0</v>
      </c>
      <c r="AB20" s="12">
        <f t="shared" ca="1" si="21"/>
        <v>0</v>
      </c>
      <c r="AC20" s="12">
        <f t="shared" ca="1" si="22"/>
        <v>0</v>
      </c>
      <c r="AD20" s="12">
        <f t="shared" ca="1" si="23"/>
        <v>8.119818967002976E-4</v>
      </c>
      <c r="AE20" s="12">
        <f t="shared" ca="1" si="24"/>
        <v>0</v>
      </c>
      <c r="AF20" s="12">
        <f t="shared" ca="1" si="25"/>
        <v>0</v>
      </c>
      <c r="AG20" s="9"/>
      <c r="AH20" s="10">
        <v>1.6566402494584671</v>
      </c>
    </row>
    <row r="21" spans="1:95" s="10" customFormat="1" ht="15" x14ac:dyDescent="0.25">
      <c r="A21" s="5" t="s">
        <v>1</v>
      </c>
      <c r="B21" s="5">
        <v>30</v>
      </c>
      <c r="C21" s="5">
        <v>0.7</v>
      </c>
      <c r="E21" s="12">
        <f ca="1">MIN('1:25'!L21:U21)</f>
        <v>675.36581000000001</v>
      </c>
      <c r="F21" s="13"/>
      <c r="H21" s="12">
        <f t="shared" ca="1" si="1"/>
        <v>5.9456518830887026E-3</v>
      </c>
      <c r="I21" s="12">
        <f t="shared" ca="1" si="2"/>
        <v>9.8246459944429307E-3</v>
      </c>
      <c r="J21" s="12">
        <f t="shared" ca="1" si="3"/>
        <v>5.8939317641802293E-3</v>
      </c>
      <c r="K21" s="12">
        <f t="shared" ca="1" si="4"/>
        <v>3.7425643445006528E-4</v>
      </c>
      <c r="L21" s="12">
        <f t="shared" ca="1" si="5"/>
        <v>3.0995646640749447E-3</v>
      </c>
      <c r="M21" s="12">
        <f t="shared" ca="1" si="6"/>
        <v>2.4143952445577132E-4</v>
      </c>
      <c r="N21" s="12">
        <f t="shared" ca="1" si="7"/>
        <v>4.832936390480877E-5</v>
      </c>
      <c r="O21" s="12">
        <f t="shared" ca="1" si="8"/>
        <v>2.8426061425881357E-2</v>
      </c>
      <c r="P21" s="12">
        <f t="shared" ca="1" si="9"/>
        <v>2.8420301584415591E-3</v>
      </c>
      <c r="Q21" s="12">
        <f t="shared" ca="1" si="10"/>
        <v>2.8841702839538489E-3</v>
      </c>
      <c r="R21" s="12">
        <f t="shared" ca="1" si="11"/>
        <v>2.1690467274366858E-4</v>
      </c>
      <c r="S21" s="12">
        <f t="shared" ca="1" si="12"/>
        <v>3.8228911824839708E-3</v>
      </c>
      <c r="T21" s="12">
        <f t="shared" ca="1" si="13"/>
        <v>4.832936390480877E-5</v>
      </c>
      <c r="U21" s="12">
        <f t="shared" ca="1" si="14"/>
        <v>7.8387148440896246E-5</v>
      </c>
      <c r="V21" s="12">
        <f t="shared" ca="1" si="15"/>
        <v>2.2883894581545277E-4</v>
      </c>
      <c r="W21" s="12">
        <f t="shared" ca="1" si="16"/>
        <v>1.9306574018034415E-4</v>
      </c>
      <c r="X21" s="12">
        <f t="shared" ca="1" si="17"/>
        <v>5.437053439290987E-5</v>
      </c>
      <c r="Y21" s="12">
        <f t="shared" ca="1" si="18"/>
        <v>5.437053439290987E-5</v>
      </c>
      <c r="Z21" s="12">
        <f t="shared" ca="1" si="19"/>
        <v>6.4429971662322916E-3</v>
      </c>
      <c r="AA21" s="12">
        <f t="shared" ca="1" si="20"/>
        <v>4.832936390480877E-5</v>
      </c>
      <c r="AB21" s="12">
        <f t="shared" ca="1" si="21"/>
        <v>2.8781291134657478E-3</v>
      </c>
      <c r="AC21" s="12">
        <f t="shared" ca="1" si="22"/>
        <v>6.041170488101097E-5</v>
      </c>
      <c r="AD21" s="12">
        <f t="shared" ca="1" si="23"/>
        <v>7.234597795279516E-5</v>
      </c>
      <c r="AE21" s="12">
        <f t="shared" ca="1" si="24"/>
        <v>3.0575726064670733E-3</v>
      </c>
      <c r="AF21" s="12">
        <f t="shared" ca="1" si="25"/>
        <v>9.7028897569315903E-5</v>
      </c>
      <c r="AG21" s="9"/>
      <c r="AH21" s="10">
        <v>2.219231011498771</v>
      </c>
    </row>
    <row r="22" spans="1:95" s="10" customFormat="1" ht="15" x14ac:dyDescent="0.25">
      <c r="A22" s="5" t="s">
        <v>1</v>
      </c>
      <c r="B22" s="5">
        <v>30</v>
      </c>
      <c r="C22" s="5">
        <v>1</v>
      </c>
      <c r="E22" s="12">
        <f ca="1">MIN('1:25'!L22:U22)</f>
        <v>655.43295999999998</v>
      </c>
      <c r="F22" s="13"/>
      <c r="H22" s="12">
        <f t="shared" ca="1" si="1"/>
        <v>2.9529885100682374E-2</v>
      </c>
      <c r="I22" s="12">
        <f t="shared" ca="1" si="2"/>
        <v>2.5517255037037157E-2</v>
      </c>
      <c r="J22" s="12">
        <f t="shared" ca="1" si="3"/>
        <v>2.4448556874527877E-2</v>
      </c>
      <c r="K22" s="12">
        <f t="shared" ca="1" si="4"/>
        <v>1.8754168237129856E-2</v>
      </c>
      <c r="L22" s="12">
        <f t="shared" ca="1" si="5"/>
        <v>3.9990298931564257E-2</v>
      </c>
      <c r="M22" s="12">
        <f t="shared" ca="1" si="6"/>
        <v>1.8209307020507475E-2</v>
      </c>
      <c r="N22" s="12">
        <f t="shared" ca="1" si="7"/>
        <v>2.1558924958549781E-2</v>
      </c>
      <c r="O22" s="12">
        <f t="shared" ca="1" si="8"/>
        <v>2.4941467697932169E-2</v>
      </c>
      <c r="P22" s="12">
        <f t="shared" ca="1" si="9"/>
        <v>1.8422082404888664E-2</v>
      </c>
      <c r="Q22" s="12">
        <f t="shared" ca="1" si="10"/>
        <v>2.0017028133586873E-2</v>
      </c>
      <c r="R22" s="12">
        <f t="shared" ca="1" si="11"/>
        <v>1.6279941124718804E-2</v>
      </c>
      <c r="S22" s="12">
        <f t="shared" ca="1" si="12"/>
        <v>2.0171902859447238E-2</v>
      </c>
      <c r="T22" s="12">
        <f t="shared" ca="1" si="13"/>
        <v>1.795976204797518E-2</v>
      </c>
      <c r="U22" s="12">
        <f t="shared" ca="1" si="14"/>
        <v>1.5382290204020361E-2</v>
      </c>
      <c r="V22" s="12">
        <f t="shared" ca="1" si="15"/>
        <v>1.4532516033371422E-2</v>
      </c>
      <c r="W22" s="12">
        <f t="shared" ca="1" si="16"/>
        <v>1.1699259066861745E-2</v>
      </c>
      <c r="X22" s="12">
        <f t="shared" ca="1" si="17"/>
        <v>1.8273920798856282E-2</v>
      </c>
      <c r="Y22" s="12">
        <f t="shared" ca="1" si="18"/>
        <v>9.0818899311992957E-3</v>
      </c>
      <c r="Z22" s="12">
        <f t="shared" ca="1" si="19"/>
        <v>1.9929315120191828E-2</v>
      </c>
      <c r="AA22" s="12">
        <f t="shared" ca="1" si="20"/>
        <v>1.2700826031086489E-2</v>
      </c>
      <c r="AB22" s="12">
        <f t="shared" ca="1" si="21"/>
        <v>1.3037733103931901E-2</v>
      </c>
      <c r="AC22" s="12">
        <f t="shared" ca="1" si="22"/>
        <v>1.3003068994272159E-2</v>
      </c>
      <c r="AD22" s="12">
        <f t="shared" ca="1" si="23"/>
        <v>8.1060616786803614E-3</v>
      </c>
      <c r="AE22" s="12">
        <f t="shared" ca="1" si="24"/>
        <v>8.3602448067305844E-3</v>
      </c>
      <c r="AF22" s="12">
        <f t="shared" ca="1" si="25"/>
        <v>1.5333757399078628E-2</v>
      </c>
      <c r="AG22" s="9"/>
      <c r="AH22" s="10">
        <v>1.7479743268607244</v>
      </c>
    </row>
    <row r="23" spans="1:95" s="10" customFormat="1" ht="15" x14ac:dyDescent="0.25">
      <c r="A23" s="5" t="s">
        <v>1</v>
      </c>
      <c r="B23" s="5">
        <v>50</v>
      </c>
      <c r="C23" s="5">
        <v>0.4</v>
      </c>
      <c r="E23" s="12">
        <f ca="1">MIN('1:25'!L23:U23)</f>
        <v>1459.9687899999999</v>
      </c>
      <c r="F23" s="13"/>
      <c r="H23" s="12">
        <f t="shared" ca="1" si="1"/>
        <v>4.2410160014448292E-2</v>
      </c>
      <c r="I23" s="12">
        <f t="shared" ca="1" si="2"/>
        <v>3.2910628178565625E-2</v>
      </c>
      <c r="J23" s="12">
        <f t="shared" ca="1" si="3"/>
        <v>1.667104130356141E-2</v>
      </c>
      <c r="K23" s="12">
        <f t="shared" ca="1" si="4"/>
        <v>8.0121781233419578E-2</v>
      </c>
      <c r="L23" s="12">
        <f t="shared" ca="1" si="5"/>
        <v>2.0936255767495179E-2</v>
      </c>
      <c r="M23" s="12">
        <f t="shared" ca="1" si="6"/>
        <v>6.0475059881247217E-3</v>
      </c>
      <c r="N23" s="12">
        <f t="shared" ca="1" si="7"/>
        <v>5.7524517356298749E-4</v>
      </c>
      <c r="O23" s="12">
        <f t="shared" ca="1" si="8"/>
        <v>8.0321080014320395E-2</v>
      </c>
      <c r="P23" s="12">
        <f t="shared" ca="1" si="9"/>
        <v>5.4769622849266938E-2</v>
      </c>
      <c r="Q23" s="12">
        <f t="shared" ca="1" si="10"/>
        <v>6.0325536136976565E-3</v>
      </c>
      <c r="R23" s="12">
        <f t="shared" ca="1" si="11"/>
        <v>4.8748165363180227E-3</v>
      </c>
      <c r="S23" s="12">
        <f t="shared" ca="1" si="12"/>
        <v>7.4076473922432856E-2</v>
      </c>
      <c r="T23" s="12">
        <f t="shared" ca="1" si="13"/>
        <v>6.8604206258428345E-4</v>
      </c>
      <c r="U23" s="12">
        <f t="shared" ca="1" si="14"/>
        <v>5.8116310828816326E-4</v>
      </c>
      <c r="V23" s="12">
        <f t="shared" ca="1" si="15"/>
        <v>4.9819763612897819E-3</v>
      </c>
      <c r="W23" s="12">
        <f t="shared" ca="1" si="16"/>
        <v>6.4747740258201375E-2</v>
      </c>
      <c r="X23" s="12">
        <f t="shared" ca="1" si="17"/>
        <v>3.5719941657253266E-5</v>
      </c>
      <c r="Y23" s="12">
        <f t="shared" ca="1" si="18"/>
        <v>1.6167626432617974E-2</v>
      </c>
      <c r="Z23" s="12">
        <f t="shared" ca="1" si="19"/>
        <v>1.1565562302191867E-2</v>
      </c>
      <c r="AA23" s="12">
        <f t="shared" ca="1" si="20"/>
        <v>1.2278481651655016E-3</v>
      </c>
      <c r="AB23" s="12">
        <f t="shared" ca="1" si="21"/>
        <v>6.031224818169173E-3</v>
      </c>
      <c r="AC23" s="12">
        <f t="shared" ca="1" si="22"/>
        <v>6.5260299160266983E-4</v>
      </c>
      <c r="AD23" s="12">
        <f t="shared" ca="1" si="23"/>
        <v>1.7625993224146927E-3</v>
      </c>
      <c r="AE23" s="12">
        <f t="shared" ca="1" si="24"/>
        <v>3.5719941657253266E-5</v>
      </c>
      <c r="AF23" s="12">
        <f t="shared" ca="1" si="25"/>
        <v>1.3350148395987315E-3</v>
      </c>
      <c r="AG23" s="9"/>
      <c r="AH23" s="10">
        <v>2.0297185879242439</v>
      </c>
    </row>
    <row r="24" spans="1:95" s="10" customFormat="1" ht="15" x14ac:dyDescent="0.25">
      <c r="A24" s="5" t="s">
        <v>1</v>
      </c>
      <c r="B24" s="5">
        <v>50</v>
      </c>
      <c r="C24" s="5">
        <v>0.7</v>
      </c>
      <c r="E24" s="12">
        <f ca="1">MIN('1:25'!L24:U24)</f>
        <v>1005.95063</v>
      </c>
      <c r="F24" s="13"/>
      <c r="H24" s="12">
        <f t="shared" ca="1" si="1"/>
        <v>0.11369964547862516</v>
      </c>
      <c r="I24" s="12">
        <f t="shared" ca="1" si="2"/>
        <v>9.296376701906317E-2</v>
      </c>
      <c r="J24" s="12">
        <f t="shared" ca="1" si="3"/>
        <v>0.11914171175577438</v>
      </c>
      <c r="K24" s="12">
        <f t="shared" ca="1" si="4"/>
        <v>0.1238509289466817</v>
      </c>
      <c r="L24" s="12">
        <f t="shared" ca="1" si="5"/>
        <v>0.13558836381463354</v>
      </c>
      <c r="M24" s="12">
        <f t="shared" ca="1" si="6"/>
        <v>8.6965371252861051E-2</v>
      </c>
      <c r="N24" s="12">
        <f t="shared" ca="1" si="7"/>
        <v>9.8401489146638974E-2</v>
      </c>
      <c r="O24" s="12">
        <f t="shared" ca="1" si="8"/>
        <v>0.12829701195176879</v>
      </c>
      <c r="P24" s="12">
        <f t="shared" ca="1" si="9"/>
        <v>0.11015341776762895</v>
      </c>
      <c r="Q24" s="12">
        <f t="shared" ca="1" si="10"/>
        <v>9.8985016789541053E-2</v>
      </c>
      <c r="R24" s="12">
        <f t="shared" ca="1" si="11"/>
        <v>0.10408709620272255</v>
      </c>
      <c r="S24" s="12">
        <f t="shared" ca="1" si="12"/>
        <v>9.7560781884494255E-2</v>
      </c>
      <c r="T24" s="12">
        <f t="shared" ca="1" si="13"/>
        <v>8.8076042061825052E-2</v>
      </c>
      <c r="U24" s="12">
        <f t="shared" ca="1" si="14"/>
        <v>7.3240751387570191E-2</v>
      </c>
      <c r="V24" s="12">
        <f t="shared" ca="1" si="15"/>
        <v>9.0828403775640179E-2</v>
      </c>
      <c r="W24" s="12">
        <f t="shared" ca="1" si="16"/>
        <v>8.3242027493933377E-2</v>
      </c>
      <c r="X24" s="12">
        <f t="shared" ca="1" si="17"/>
        <v>7.6257629064757915E-2</v>
      </c>
      <c r="Y24" s="12">
        <f t="shared" ca="1" si="18"/>
        <v>0.15823924679086829</v>
      </c>
      <c r="Z24" s="12">
        <f t="shared" ca="1" si="19"/>
        <v>7.4437330985119662E-2</v>
      </c>
      <c r="AA24" s="12">
        <f t="shared" ca="1" si="20"/>
        <v>0.10235111637635673</v>
      </c>
      <c r="AB24" s="12">
        <f t="shared" ca="1" si="21"/>
        <v>7.5718169190867143E-2</v>
      </c>
      <c r="AC24" s="12">
        <f t="shared" ca="1" si="22"/>
        <v>0.1108743776024074</v>
      </c>
      <c r="AD24" s="12">
        <f t="shared" ca="1" si="23"/>
        <v>9.9087268328466038E-2</v>
      </c>
      <c r="AE24" s="12">
        <f t="shared" ca="1" si="24"/>
        <v>5.6788403224122035E-2</v>
      </c>
      <c r="AF24" s="12">
        <f t="shared" ca="1" si="25"/>
        <v>8.5112805188063301E-2</v>
      </c>
      <c r="AG24" s="9"/>
      <c r="AH24" s="10">
        <v>1.8088893995053592</v>
      </c>
    </row>
    <row r="25" spans="1:95" s="10" customFormat="1" ht="15" x14ac:dyDescent="0.25">
      <c r="A25" s="5" t="s">
        <v>1</v>
      </c>
      <c r="B25" s="5">
        <v>50</v>
      </c>
      <c r="C25" s="5">
        <v>1</v>
      </c>
      <c r="E25" s="12">
        <f ca="1">MIN('1:25'!L25:U25)</f>
        <v>990.69820000000004</v>
      </c>
      <c r="F25" s="13"/>
      <c r="H25" s="12">
        <f t="shared" ca="1" si="1"/>
        <v>0.12094141283389795</v>
      </c>
      <c r="I25" s="12">
        <f t="shared" ca="1" si="2"/>
        <v>6.4772329252237942E-2</v>
      </c>
      <c r="J25" s="12">
        <f t="shared" ca="1" si="3"/>
        <v>7.7586372923660982E-2</v>
      </c>
      <c r="K25" s="12">
        <f t="shared" ca="1" si="4"/>
        <v>4.3574319606111772E-2</v>
      </c>
      <c r="L25" s="12">
        <f t="shared" ca="1" si="5"/>
        <v>0.10449114573943862</v>
      </c>
      <c r="M25" s="12">
        <f t="shared" ca="1" si="6"/>
        <v>5.2463293059379475E-2</v>
      </c>
      <c r="N25" s="12">
        <f t="shared" ca="1" si="7"/>
        <v>6.169173417292928E-2</v>
      </c>
      <c r="O25" s="12">
        <f t="shared" ca="1" si="8"/>
        <v>5.4996657912570704E-2</v>
      </c>
      <c r="P25" s="12">
        <f t="shared" ca="1" si="9"/>
        <v>4.6917830273638973E-2</v>
      </c>
      <c r="Q25" s="12">
        <f t="shared" ca="1" si="10"/>
        <v>7.4414327188643062E-2</v>
      </c>
      <c r="R25" s="12">
        <f t="shared" ca="1" si="11"/>
        <v>7.5010633914545877E-2</v>
      </c>
      <c r="S25" s="12">
        <f t="shared" ca="1" si="12"/>
        <v>4.4439436752786728E-2</v>
      </c>
      <c r="T25" s="12">
        <f t="shared" ca="1" si="13"/>
        <v>6.1532513130638226E-2</v>
      </c>
      <c r="U25" s="12">
        <f t="shared" ca="1" si="14"/>
        <v>9.7876245258141967E-2</v>
      </c>
      <c r="V25" s="12">
        <f t="shared" ca="1" si="15"/>
        <v>3.8075187781707501E-2</v>
      </c>
      <c r="W25" s="12">
        <f t="shared" ca="1" si="16"/>
        <v>3.8258008341994797E-2</v>
      </c>
      <c r="X25" s="12">
        <f t="shared" ca="1" si="17"/>
        <v>5.9087278042899052E-2</v>
      </c>
      <c r="Y25" s="12">
        <f t="shared" ca="1" si="18"/>
        <v>4.4969194452962172E-2</v>
      </c>
      <c r="Z25" s="12">
        <f t="shared" ca="1" si="19"/>
        <v>3.6266382638021885E-2</v>
      </c>
      <c r="AA25" s="12">
        <f t="shared" ca="1" si="20"/>
        <v>6.8908200297527117E-2</v>
      </c>
      <c r="AB25" s="12">
        <f t="shared" ca="1" si="21"/>
        <v>5.5409639383618189E-2</v>
      </c>
      <c r="AC25" s="12">
        <f t="shared" ca="1" si="22"/>
        <v>6.4817519603850668E-2</v>
      </c>
      <c r="AD25" s="12">
        <f t="shared" ca="1" si="23"/>
        <v>4.163713025823558E-2</v>
      </c>
      <c r="AE25" s="12">
        <f t="shared" ca="1" si="24"/>
        <v>6.4269441490859516E-2</v>
      </c>
      <c r="AF25" s="12">
        <f t="shared" ca="1" si="25"/>
        <v>4.4357171538213815E-2</v>
      </c>
      <c r="AG25" s="9"/>
      <c r="AH25" s="10">
        <v>2.091177959256612</v>
      </c>
    </row>
    <row r="26" spans="1:95" s="10" customFormat="1" ht="15" x14ac:dyDescent="0.25">
      <c r="A26" s="5" t="s">
        <v>1</v>
      </c>
      <c r="B26" s="5">
        <v>100</v>
      </c>
      <c r="C26" s="5">
        <v>0.4</v>
      </c>
      <c r="E26" s="12">
        <f ca="1">MIN('1:25'!L26:U26)</f>
        <v>1786.3248599999999</v>
      </c>
      <c r="F26" s="13"/>
      <c r="H26" s="12">
        <f t="shared" ca="1" si="1"/>
        <v>0.28335792740408938</v>
      </c>
      <c r="I26" s="12">
        <f t="shared" ca="1" si="2"/>
        <v>0.26141402409861814</v>
      </c>
      <c r="J26" s="12">
        <f t="shared" ca="1" si="3"/>
        <v>0.26364020931780602</v>
      </c>
      <c r="K26" s="12">
        <f t="shared" ca="1" si="4"/>
        <v>0.17740566517111594</v>
      </c>
      <c r="L26" s="12">
        <f t="shared" ca="1" si="5"/>
        <v>0.20042586206856061</v>
      </c>
      <c r="M26" s="12">
        <f t="shared" ca="1" si="6"/>
        <v>0.19479138861673825</v>
      </c>
      <c r="N26" s="12">
        <f t="shared" ca="1" si="7"/>
        <v>0.31786357717711033</v>
      </c>
      <c r="O26" s="12">
        <f t="shared" ca="1" si="8"/>
        <v>0.17735569665643053</v>
      </c>
      <c r="P26" s="12">
        <f t="shared" ca="1" si="9"/>
        <v>0.38862646741645879</v>
      </c>
      <c r="Q26" s="12">
        <f t="shared" ca="1" si="10"/>
        <v>0.39477666453122123</v>
      </c>
      <c r="R26" s="12">
        <f t="shared" ca="1" si="11"/>
        <v>0.35553415519280229</v>
      </c>
      <c r="S26" s="12">
        <f t="shared" ca="1" si="12"/>
        <v>0.31554128961738831</v>
      </c>
      <c r="T26" s="12">
        <f t="shared" ca="1" si="13"/>
        <v>0.29731280792901255</v>
      </c>
      <c r="U26" s="12">
        <f t="shared" ca="1" si="14"/>
        <v>0.36463250587018131</v>
      </c>
      <c r="V26" s="12">
        <f t="shared" ca="1" si="15"/>
        <v>0.28124312170183907</v>
      </c>
      <c r="W26" s="12">
        <f t="shared" ca="1" si="16"/>
        <v>0.19211475341612866</v>
      </c>
      <c r="X26" s="12">
        <f t="shared" ca="1" si="17"/>
        <v>0.23806905424806121</v>
      </c>
      <c r="Y26" s="12">
        <f t="shared" ca="1" si="18"/>
        <v>0.4874084773135835</v>
      </c>
      <c r="Z26" s="12">
        <f t="shared" ca="1" si="19"/>
        <v>0.36873646823680256</v>
      </c>
      <c r="AA26" s="12">
        <f t="shared" ca="1" si="20"/>
        <v>0.49765660765645986</v>
      </c>
      <c r="AB26" s="12">
        <f t="shared" ca="1" si="21"/>
        <v>0.39853933399325858</v>
      </c>
      <c r="AC26" s="12">
        <f t="shared" ca="1" si="22"/>
        <v>0.46362900083023001</v>
      </c>
      <c r="AD26" s="12">
        <f t="shared" ca="1" si="23"/>
        <v>0.37573790469444646</v>
      </c>
      <c r="AE26" s="12">
        <f t="shared" ca="1" si="24"/>
        <v>0.33814979768013781</v>
      </c>
      <c r="AF26" s="12">
        <f t="shared" ca="1" si="25"/>
        <v>0.30796286964287156</v>
      </c>
      <c r="AG26" s="9"/>
      <c r="AH26" s="10">
        <v>1.7781399778682214</v>
      </c>
    </row>
    <row r="27" spans="1:95" s="10" customFormat="1" ht="15" x14ac:dyDescent="0.25">
      <c r="A27" s="5" t="s">
        <v>1</v>
      </c>
      <c r="B27" s="5">
        <v>100</v>
      </c>
      <c r="C27" s="5">
        <v>0.7</v>
      </c>
      <c r="E27" s="12">
        <f ca="1">MIN('1:25'!L27:U27)</f>
        <v>1761.02206</v>
      </c>
      <c r="F27" s="13"/>
      <c r="H27" s="12">
        <f t="shared" ca="1" si="1"/>
        <v>9.9701891298283843E-2</v>
      </c>
      <c r="I27" s="12">
        <f t="shared" ca="1" si="2"/>
        <v>0.10262723795748464</v>
      </c>
      <c r="J27" s="12">
        <f t="shared" ca="1" si="3"/>
        <v>0.12252671042633051</v>
      </c>
      <c r="K27" s="12">
        <f t="shared" ca="1" si="4"/>
        <v>5.4441958552183006E-2</v>
      </c>
      <c r="L27" s="12">
        <f t="shared" ca="1" si="5"/>
        <v>6.3822959719198394E-2</v>
      </c>
      <c r="M27" s="12">
        <f t="shared" ca="1" si="6"/>
        <v>8.4169405578031042E-2</v>
      </c>
      <c r="N27" s="12">
        <f t="shared" ca="1" si="7"/>
        <v>0.11323816693131031</v>
      </c>
      <c r="O27" s="12">
        <f t="shared" ca="1" si="8"/>
        <v>4.3561600812655421E-2</v>
      </c>
      <c r="P27" s="12">
        <f t="shared" ca="1" si="9"/>
        <v>0.13244694958562842</v>
      </c>
      <c r="Q27" s="12">
        <f t="shared" ca="1" si="10"/>
        <v>0.15878192349276996</v>
      </c>
      <c r="R27" s="12">
        <f t="shared" ca="1" si="11"/>
        <v>0.19580826261767545</v>
      </c>
      <c r="S27" s="12">
        <f t="shared" ca="1" si="12"/>
        <v>0.1223210344111193</v>
      </c>
      <c r="T27" s="12">
        <f t="shared" ca="1" si="13"/>
        <v>0.12458043256993598</v>
      </c>
      <c r="U27" s="12">
        <f t="shared" ca="1" si="14"/>
        <v>0.16825287242568671</v>
      </c>
      <c r="V27" s="12">
        <f t="shared" ca="1" si="15"/>
        <v>8.424348187892676E-2</v>
      </c>
      <c r="W27" s="12">
        <f t="shared" ca="1" si="16"/>
        <v>0.11343078802772072</v>
      </c>
      <c r="X27" s="12">
        <f t="shared" ca="1" si="17"/>
        <v>0.11305560249483754</v>
      </c>
      <c r="Y27" s="12">
        <f t="shared" ca="1" si="18"/>
        <v>0.19341115465640424</v>
      </c>
      <c r="Z27" s="12">
        <f t="shared" ca="1" si="19"/>
        <v>0.12287475830938795</v>
      </c>
      <c r="AA27" s="12">
        <f t="shared" ca="1" si="20"/>
        <v>0.16041118190194611</v>
      </c>
      <c r="AB27" s="12">
        <f t="shared" ca="1" si="21"/>
        <v>0.14889008261486508</v>
      </c>
      <c r="AC27" s="12">
        <f t="shared" ca="1" si="22"/>
        <v>0.18365601848281216</v>
      </c>
      <c r="AD27" s="12">
        <f t="shared" ca="1" si="23"/>
        <v>0.14660395565970383</v>
      </c>
      <c r="AE27" s="12">
        <f t="shared" ca="1" si="24"/>
        <v>0.14563375770545417</v>
      </c>
      <c r="AF27" s="12">
        <f t="shared" ca="1" si="25"/>
        <v>0.11553422561895685</v>
      </c>
      <c r="AG27" s="9"/>
      <c r="AH27" s="10">
        <v>1.6924993005164743</v>
      </c>
    </row>
    <row r="28" spans="1:95" s="10" customFormat="1" ht="15" x14ac:dyDescent="0.25">
      <c r="A28" s="5" t="s">
        <v>1</v>
      </c>
      <c r="B28" s="5">
        <v>100</v>
      </c>
      <c r="C28" s="5">
        <v>1</v>
      </c>
      <c r="E28" s="12">
        <f ca="1">MIN('1:25'!L28:U28)</f>
        <v>1753.1198199999999</v>
      </c>
      <c r="F28" s="13"/>
      <c r="H28" s="12">
        <f t="shared" ca="1" si="1"/>
        <v>1.968476974950922E-2</v>
      </c>
      <c r="I28" s="12">
        <f t="shared" ca="1" si="2"/>
        <v>2.7795048258595835E-2</v>
      </c>
      <c r="J28" s="12">
        <f t="shared" ca="1" si="3"/>
        <v>3.5024730939383915E-2</v>
      </c>
      <c r="K28" s="12">
        <f t="shared" ca="1" si="4"/>
        <v>3.1330385620762104E-2</v>
      </c>
      <c r="L28" s="12">
        <f t="shared" ca="1" si="5"/>
        <v>2.5923464831970916E-2</v>
      </c>
      <c r="M28" s="12">
        <f t="shared" ca="1" si="6"/>
        <v>2.1700450571599226E-2</v>
      </c>
      <c r="N28" s="12">
        <f t="shared" ca="1" si="7"/>
        <v>1.910088495833711E-2</v>
      </c>
      <c r="O28" s="12">
        <f t="shared" ca="1" si="8"/>
        <v>2.562195663271951E-2</v>
      </c>
      <c r="P28" s="12">
        <f t="shared" ca="1" si="9"/>
        <v>2.9939191492342372E-2</v>
      </c>
      <c r="Q28" s="12">
        <f t="shared" ca="1" si="10"/>
        <v>2.5495593335999833E-2</v>
      </c>
      <c r="R28" s="12">
        <f t="shared" ca="1" si="11"/>
        <v>2.4046205809253332E-2</v>
      </c>
      <c r="S28" s="12">
        <f t="shared" ca="1" si="12"/>
        <v>3.041986599638194E-2</v>
      </c>
      <c r="T28" s="12">
        <f t="shared" ca="1" si="13"/>
        <v>2.1141104890366986E-2</v>
      </c>
      <c r="U28" s="12">
        <f t="shared" ca="1" si="14"/>
        <v>2.666157182570731E-2</v>
      </c>
      <c r="V28" s="12">
        <f t="shared" ca="1" si="15"/>
        <v>2.2253008353987625E-2</v>
      </c>
      <c r="W28" s="12">
        <f t="shared" ca="1" si="16"/>
        <v>2.1722593952535077E-2</v>
      </c>
      <c r="X28" s="12">
        <f t="shared" ca="1" si="17"/>
        <v>2.2169095093569475E-2</v>
      </c>
      <c r="Y28" s="12">
        <f t="shared" ca="1" si="18"/>
        <v>4.7651352204780117E-2</v>
      </c>
      <c r="Z28" s="12">
        <f t="shared" ca="1" si="19"/>
        <v>2.4016076664971249E-2</v>
      </c>
      <c r="AA28" s="12">
        <f t="shared" ca="1" si="20"/>
        <v>3.0229901798726578E-2</v>
      </c>
      <c r="AB28" s="12">
        <f t="shared" ca="1" si="21"/>
        <v>3.3958694277953561E-2</v>
      </c>
      <c r="AC28" s="12">
        <f t="shared" ca="1" si="22"/>
        <v>4.441385529484275E-2</v>
      </c>
      <c r="AD28" s="12">
        <f t="shared" ca="1" si="23"/>
        <v>2.5140591930562353E-2</v>
      </c>
      <c r="AE28" s="12">
        <f t="shared" ca="1" si="24"/>
        <v>1.817187258769401E-2</v>
      </c>
      <c r="AF28" s="12">
        <f t="shared" ca="1" si="25"/>
        <v>2.0673966255199377E-2</v>
      </c>
      <c r="AG28" s="9"/>
      <c r="AH28" s="10">
        <v>1.9858342474846968</v>
      </c>
    </row>
    <row r="29" spans="1:95" s="10" customFormat="1" ht="15" x14ac:dyDescent="0.25">
      <c r="A29" s="5" t="s">
        <v>0</v>
      </c>
      <c r="B29" s="5">
        <v>25</v>
      </c>
      <c r="C29" s="5">
        <v>0.4</v>
      </c>
      <c r="E29" s="12">
        <f ca="1">MIN('1:25'!L29:U29)</f>
        <v>40.897550000000003</v>
      </c>
      <c r="H29" s="12">
        <f t="shared" ca="1" si="1"/>
        <v>0.21756559989534721</v>
      </c>
      <c r="I29" s="12">
        <f t="shared" ca="1" si="2"/>
        <v>0.24459655896257734</v>
      </c>
      <c r="J29" s="12">
        <f t="shared" ca="1" si="3"/>
        <v>0.24461489746940712</v>
      </c>
      <c r="K29" s="12">
        <f t="shared" ca="1" si="4"/>
        <v>0.31926117823683675</v>
      </c>
      <c r="L29" s="12">
        <f t="shared" ca="1" si="5"/>
        <v>0.26520855161250356</v>
      </c>
      <c r="M29" s="12">
        <f t="shared" ca="1" si="6"/>
        <v>0.19054368782481965</v>
      </c>
      <c r="N29" s="12">
        <f t="shared" ca="1" si="7"/>
        <v>0.24754294572657665</v>
      </c>
      <c r="O29" s="12">
        <f t="shared" ca="1" si="8"/>
        <v>0.28192886859970706</v>
      </c>
      <c r="P29" s="12">
        <f t="shared" ca="1" si="9"/>
        <v>0.17381432384091353</v>
      </c>
      <c r="Q29" s="12">
        <f t="shared" ca="1" si="10"/>
        <v>0.1872975276025079</v>
      </c>
      <c r="R29" s="12">
        <f t="shared" ca="1" si="11"/>
        <v>0.12427908273233863</v>
      </c>
      <c r="S29" s="12">
        <f t="shared" ca="1" si="12"/>
        <v>0.23816830103514627</v>
      </c>
      <c r="T29" s="12">
        <f t="shared" ca="1" si="13"/>
        <v>0.22786695046524671</v>
      </c>
      <c r="U29" s="12">
        <f t="shared" ca="1" si="14"/>
        <v>0.20402713609983858</v>
      </c>
      <c r="V29" s="12">
        <f t="shared" ca="1" si="15"/>
        <v>0.25489790953247687</v>
      </c>
      <c r="W29" s="12">
        <f t="shared" ca="1" si="16"/>
        <v>0.20083599139801653</v>
      </c>
      <c r="X29" s="12">
        <f t="shared" ca="1" si="17"/>
        <v>0.28610711399582484</v>
      </c>
      <c r="Y29" s="12">
        <f t="shared" ca="1" si="18"/>
        <v>0.16350368176088687</v>
      </c>
      <c r="Z29" s="12">
        <f t="shared" ca="1" si="19"/>
        <v>0.20529616077246557</v>
      </c>
      <c r="AA29" s="12">
        <f t="shared" ca="1" si="20"/>
        <v>0.13005375627635274</v>
      </c>
      <c r="AB29" s="12">
        <f t="shared" ca="1" si="21"/>
        <v>8.2410804559196346E-2</v>
      </c>
      <c r="AC29" s="12">
        <f t="shared" ca="1" si="22"/>
        <v>0.10755876574513513</v>
      </c>
      <c r="AD29" s="12">
        <f t="shared" ca="1" si="23"/>
        <v>0.18410638290068593</v>
      </c>
      <c r="AE29" s="12">
        <f t="shared" ca="1" si="24"/>
        <v>0.11974311419632606</v>
      </c>
      <c r="AF29" s="12">
        <f t="shared" ca="1" si="25"/>
        <v>0.26520855161250356</v>
      </c>
      <c r="AG29" s="9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</row>
    <row r="30" spans="1:95" s="10" customFormat="1" ht="15" x14ac:dyDescent="0.25">
      <c r="A30" s="5" t="s">
        <v>0</v>
      </c>
      <c r="B30" s="5">
        <v>25</v>
      </c>
      <c r="C30" s="5">
        <v>0.7</v>
      </c>
      <c r="E30" s="12">
        <f ca="1">MIN('1:25'!L30:U30)</f>
        <v>28.65436</v>
      </c>
      <c r="H30" s="12">
        <f t="shared" ca="1" si="1"/>
        <v>0</v>
      </c>
      <c r="I30" s="12">
        <f t="shared" ca="1" si="2"/>
        <v>1.968286850587361E-4</v>
      </c>
      <c r="J30" s="12">
        <f t="shared" ca="1" si="3"/>
        <v>6.5609561686245368E-5</v>
      </c>
      <c r="K30" s="12">
        <f t="shared" ca="1" si="4"/>
        <v>1.9312942253814447E-3</v>
      </c>
      <c r="L30" s="12">
        <f t="shared" ca="1" si="5"/>
        <v>0</v>
      </c>
      <c r="M30" s="12">
        <f t="shared" ca="1" si="6"/>
        <v>1.0968662360632132E-3</v>
      </c>
      <c r="N30" s="12">
        <f t="shared" ca="1" si="7"/>
        <v>0</v>
      </c>
      <c r="O30" s="12">
        <f t="shared" ca="1" si="8"/>
        <v>1.3802437046229062E-3</v>
      </c>
      <c r="P30" s="12">
        <f t="shared" ca="1" si="9"/>
        <v>3.489870302459385E-4</v>
      </c>
      <c r="Q30" s="12">
        <f t="shared" ca="1" si="10"/>
        <v>6.5609561686245368E-5</v>
      </c>
      <c r="R30" s="12">
        <f t="shared" ca="1" si="11"/>
        <v>0</v>
      </c>
      <c r="S30" s="12">
        <f t="shared" ca="1" si="12"/>
        <v>6.5609561686245368E-5</v>
      </c>
      <c r="T30" s="12">
        <f t="shared" ca="1" si="13"/>
        <v>0</v>
      </c>
      <c r="U30" s="12">
        <f t="shared" ca="1" si="14"/>
        <v>0</v>
      </c>
      <c r="V30" s="12">
        <f t="shared" ca="1" si="15"/>
        <v>0</v>
      </c>
      <c r="W30" s="12">
        <f t="shared" ca="1" si="16"/>
        <v>1.0312566743769678E-3</v>
      </c>
      <c r="X30" s="12">
        <f t="shared" ca="1" si="17"/>
        <v>6.5609561686245368E-5</v>
      </c>
      <c r="Y30" s="12">
        <f t="shared" ca="1" si="18"/>
        <v>4.1459659193218386E-4</v>
      </c>
      <c r="Z30" s="12">
        <f t="shared" ca="1" si="19"/>
        <v>6.5609561686245368E-5</v>
      </c>
      <c r="AA30" s="12">
        <f t="shared" ca="1" si="20"/>
        <v>0</v>
      </c>
      <c r="AB30" s="12">
        <f t="shared" ca="1" si="21"/>
        <v>1.3121912337249074E-4</v>
      </c>
      <c r="AC30" s="12">
        <f t="shared" ca="1" si="22"/>
        <v>0</v>
      </c>
      <c r="AD30" s="12">
        <f t="shared" ca="1" si="23"/>
        <v>1.0312566743769678E-3</v>
      </c>
      <c r="AE30" s="12">
        <f t="shared" ca="1" si="24"/>
        <v>0</v>
      </c>
      <c r="AF30" s="12">
        <f t="shared" ca="1" si="25"/>
        <v>0</v>
      </c>
      <c r="AG30" s="9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</row>
    <row r="31" spans="1:95" ht="15" x14ac:dyDescent="0.25">
      <c r="A31" s="5" t="s">
        <v>0</v>
      </c>
      <c r="B31" s="5">
        <v>25</v>
      </c>
      <c r="C31" s="5">
        <v>1</v>
      </c>
      <c r="E31" s="12">
        <f ca="1">MIN('1:25'!L31:U31)</f>
        <v>28.504100000000001</v>
      </c>
      <c r="H31" s="12">
        <f t="shared" ca="1" si="1"/>
        <v>2.4595759908223391E-2</v>
      </c>
      <c r="I31" s="12">
        <f t="shared" ca="1" si="2"/>
        <v>2.7181002031286483E-2</v>
      </c>
      <c r="J31" s="12">
        <f t="shared" ca="1" si="3"/>
        <v>2.3090362439087526E-2</v>
      </c>
      <c r="K31" s="12">
        <f t="shared" ca="1" si="4"/>
        <v>2.9609775435814042E-2</v>
      </c>
      <c r="L31" s="12">
        <f t="shared" ca="1" si="5"/>
        <v>2.7504815096775388E-2</v>
      </c>
      <c r="M31" s="12">
        <f t="shared" ca="1" si="6"/>
        <v>2.7810034345936069E-2</v>
      </c>
      <c r="N31" s="12">
        <f t="shared" ca="1" si="7"/>
        <v>2.3306822527285272E-2</v>
      </c>
      <c r="O31" s="12">
        <f t="shared" ca="1" si="8"/>
        <v>2.6551969716636897E-2</v>
      </c>
      <c r="P31" s="12">
        <f t="shared" ca="1" si="9"/>
        <v>2.3362954802993094E-2</v>
      </c>
      <c r="Q31" s="12">
        <f t="shared" ca="1" si="10"/>
        <v>2.1559003792436585E-2</v>
      </c>
      <c r="R31" s="12">
        <f t="shared" ca="1" si="11"/>
        <v>2.7713907823786528E-2</v>
      </c>
      <c r="S31" s="12">
        <f t="shared" ca="1" si="12"/>
        <v>2.4299662153865365E-2</v>
      </c>
      <c r="T31" s="12">
        <f t="shared" ca="1" si="13"/>
        <v>2.4678905841615646E-2</v>
      </c>
      <c r="U31" s="12">
        <f t="shared" ca="1" si="14"/>
        <v>1.9683133303629932E-2</v>
      </c>
      <c r="V31" s="12">
        <f t="shared" ca="1" si="15"/>
        <v>2.5951003539841221E-2</v>
      </c>
      <c r="W31" s="12">
        <f t="shared" ca="1" si="16"/>
        <v>2.6858592272690468E-2</v>
      </c>
      <c r="X31" s="12">
        <f t="shared" ca="1" si="17"/>
        <v>2.6830175308113394E-2</v>
      </c>
      <c r="Y31" s="12">
        <f t="shared" ca="1" si="18"/>
        <v>2.2282759322342957E-2</v>
      </c>
      <c r="Z31" s="12">
        <f t="shared" ca="1" si="19"/>
        <v>2.7227661985468495E-2</v>
      </c>
      <c r="AA31" s="12">
        <f t="shared" ca="1" si="20"/>
        <v>2.5474931676495567E-2</v>
      </c>
      <c r="AB31" s="12">
        <f t="shared" ca="1" si="21"/>
        <v>2.8039124196168195E-2</v>
      </c>
      <c r="AC31" s="12">
        <f t="shared" ca="1" si="22"/>
        <v>2.9767296634519057E-2</v>
      </c>
      <c r="AD31" s="12">
        <f t="shared" ca="1" si="23"/>
        <v>2.5775239351531639E-2</v>
      </c>
      <c r="AE31" s="12">
        <f t="shared" ca="1" si="24"/>
        <v>2.5324777838977405E-2</v>
      </c>
      <c r="AF31" s="12">
        <f t="shared" ca="1" si="25"/>
        <v>2.8389249265894839E-2</v>
      </c>
    </row>
    <row r="32" spans="1:95" ht="15" x14ac:dyDescent="0.25">
      <c r="A32" s="5" t="s">
        <v>0</v>
      </c>
      <c r="B32" s="5">
        <v>50</v>
      </c>
      <c r="C32" s="5">
        <v>0.4</v>
      </c>
      <c r="E32" s="12">
        <f ca="1">MIN('1:25'!L32:U32)</f>
        <v>56.511339999999997</v>
      </c>
      <c r="H32" s="12">
        <f t="shared" ca="1" si="1"/>
        <v>0.41749231216247989</v>
      </c>
      <c r="I32" s="12">
        <f t="shared" ca="1" si="2"/>
        <v>0.31903755954114732</v>
      </c>
      <c r="J32" s="12">
        <f t="shared" ca="1" si="3"/>
        <v>0.31933325240562382</v>
      </c>
      <c r="K32" s="12">
        <f t="shared" ca="1" si="4"/>
        <v>0.47709327012950037</v>
      </c>
      <c r="L32" s="12">
        <f t="shared" ca="1" si="5"/>
        <v>0.32154643652052867</v>
      </c>
      <c r="M32" s="12">
        <f t="shared" ca="1" si="6"/>
        <v>0.28633208839146296</v>
      </c>
      <c r="N32" s="12">
        <f t="shared" ca="1" si="7"/>
        <v>0.21981446555682493</v>
      </c>
      <c r="O32" s="12">
        <f t="shared" ca="1" si="8"/>
        <v>0.37664776662524763</v>
      </c>
      <c r="P32" s="12">
        <f t="shared" ca="1" si="9"/>
        <v>0.30269836107230919</v>
      </c>
      <c r="Q32" s="12">
        <f t="shared" ca="1" si="10"/>
        <v>0.29745870474846342</v>
      </c>
      <c r="R32" s="12">
        <f t="shared" ca="1" si="11"/>
        <v>0.32041745957537054</v>
      </c>
      <c r="S32" s="12">
        <f t="shared" ca="1" si="12"/>
        <v>0.31444379128153782</v>
      </c>
      <c r="T32" s="12">
        <f t="shared" ca="1" si="13"/>
        <v>0.35431366518649215</v>
      </c>
      <c r="U32" s="12">
        <f t="shared" ca="1" si="14"/>
        <v>0.13952066965674528</v>
      </c>
      <c r="V32" s="12">
        <f t="shared" ca="1" si="15"/>
        <v>0.34053289127456604</v>
      </c>
      <c r="W32" s="12">
        <f t="shared" ca="1" si="16"/>
        <v>0.28112817710569304</v>
      </c>
      <c r="X32" s="12">
        <f t="shared" ca="1" si="17"/>
        <v>0.18638029110617471</v>
      </c>
      <c r="Y32" s="12">
        <f t="shared" ca="1" si="18"/>
        <v>0.34181192659738785</v>
      </c>
      <c r="Z32" s="12">
        <f t="shared" ca="1" si="19"/>
        <v>0.27182986635956641</v>
      </c>
      <c r="AA32" s="12">
        <f t="shared" ca="1" si="20"/>
        <v>0.37436787023631052</v>
      </c>
      <c r="AB32" s="12">
        <f t="shared" ca="1" si="21"/>
        <v>0.26192247432108362</v>
      </c>
      <c r="AC32" s="12">
        <f t="shared" ca="1" si="22"/>
        <v>0.29930098985442627</v>
      </c>
      <c r="AD32" s="12">
        <f t="shared" ca="1" si="23"/>
        <v>0.20018743140757272</v>
      </c>
      <c r="AE32" s="12">
        <f t="shared" ca="1" si="24"/>
        <v>0.32664576702658288</v>
      </c>
      <c r="AF32" s="12">
        <f t="shared" ca="1" si="25"/>
        <v>0.50138839390465739</v>
      </c>
    </row>
    <row r="33" spans="1:32" ht="15" x14ac:dyDescent="0.25">
      <c r="A33" s="5" t="s">
        <v>0</v>
      </c>
      <c r="B33" s="5">
        <v>50</v>
      </c>
      <c r="C33" s="5">
        <v>0.7</v>
      </c>
      <c r="E33" s="12">
        <f ca="1">MIN('1:25'!L33:U33)</f>
        <v>53.115070000000003</v>
      </c>
      <c r="H33" s="12">
        <f t="shared" ca="1" si="1"/>
        <v>0.11045867020414295</v>
      </c>
      <c r="I33" s="12">
        <f t="shared" ca="1" si="2"/>
        <v>7.6178380260064973E-2</v>
      </c>
      <c r="J33" s="12">
        <f t="shared" ca="1" si="3"/>
        <v>0.10615499518309908</v>
      </c>
      <c r="K33" s="12">
        <f t="shared" ca="1" si="4"/>
        <v>0.10147986249476788</v>
      </c>
      <c r="L33" s="12">
        <f t="shared" ca="1" si="5"/>
        <v>0.10306792403737705</v>
      </c>
      <c r="M33" s="12">
        <f t="shared" ca="1" si="6"/>
        <v>0.10837771653129676</v>
      </c>
      <c r="N33" s="12">
        <f t="shared" ca="1" si="7"/>
        <v>8.0358173301851354E-2</v>
      </c>
      <c r="O33" s="12">
        <f t="shared" ca="1" si="8"/>
        <v>9.3152470664163142E-2</v>
      </c>
      <c r="P33" s="12">
        <f t="shared" ca="1" si="9"/>
        <v>7.7349799218940557E-2</v>
      </c>
      <c r="Q33" s="12">
        <f t="shared" ca="1" si="10"/>
        <v>0.1028114996365435</v>
      </c>
      <c r="R33" s="12">
        <f t="shared" ca="1" si="11"/>
        <v>8.8397699560594734E-2</v>
      </c>
      <c r="S33" s="12">
        <f t="shared" ca="1" si="12"/>
        <v>9.4035082698751465E-2</v>
      </c>
      <c r="T33" s="12">
        <f t="shared" ca="1" si="13"/>
        <v>8.999291538164178E-2</v>
      </c>
      <c r="U33" s="12">
        <f t="shared" ca="1" si="14"/>
        <v>8.1627304642542489E-2</v>
      </c>
      <c r="V33" s="12">
        <f t="shared" ca="1" si="15"/>
        <v>9.2375854912738975E-2</v>
      </c>
      <c r="W33" s="12">
        <f t="shared" ca="1" si="16"/>
        <v>8.0389614472879095E-2</v>
      </c>
      <c r="X33" s="12">
        <f t="shared" ca="1" si="17"/>
        <v>9.3622017254236106E-2</v>
      </c>
      <c r="Y33" s="12">
        <f t="shared" ca="1" si="18"/>
        <v>8.080964592534616E-2</v>
      </c>
      <c r="Z33" s="12">
        <f t="shared" ca="1" si="19"/>
        <v>6.640205877540914E-2</v>
      </c>
      <c r="AA33" s="12">
        <f t="shared" ca="1" si="20"/>
        <v>9.9807644045277047E-2</v>
      </c>
      <c r="AB33" s="12">
        <f t="shared" ca="1" si="21"/>
        <v>0.10267236774798492</v>
      </c>
      <c r="AC33" s="12">
        <f t="shared" ca="1" si="22"/>
        <v>0.10896681487946785</v>
      </c>
      <c r="AD33" s="12">
        <f t="shared" ca="1" si="23"/>
        <v>9.5392701167483662E-2</v>
      </c>
      <c r="AE33" s="12">
        <f t="shared" ca="1" si="24"/>
        <v>8.255717256891433E-2</v>
      </c>
      <c r="AF33" s="12">
        <f t="shared" ca="1" si="25"/>
        <v>6.5532625674784406E-2</v>
      </c>
    </row>
    <row r="34" spans="1:32" ht="15" x14ac:dyDescent="0.25">
      <c r="A34" s="5" t="s">
        <v>0</v>
      </c>
      <c r="B34" s="5">
        <v>50</v>
      </c>
      <c r="C34" s="5">
        <v>1</v>
      </c>
      <c r="E34" s="12">
        <f ca="1">MIN('1:25'!L34:U34)</f>
        <v>53.003740000000001</v>
      </c>
      <c r="H34" s="12">
        <f t="shared" ca="1" si="1"/>
        <v>6.7591834085670016E-2</v>
      </c>
      <c r="I34" s="12">
        <f t="shared" ca="1" si="2"/>
        <v>5.8480024239798659E-2</v>
      </c>
      <c r="J34" s="12">
        <f t="shared" ca="1" si="3"/>
        <v>5.8237965849202322E-2</v>
      </c>
      <c r="K34" s="12">
        <f t="shared" ca="1" si="4"/>
        <v>6.8570444274309555E-2</v>
      </c>
      <c r="L34" s="12">
        <f t="shared" ca="1" si="5"/>
        <v>6.8183867779895976E-2</v>
      </c>
      <c r="M34" s="12">
        <f t="shared" ca="1" si="6"/>
        <v>5.9285627768908049E-2</v>
      </c>
      <c r="N34" s="12">
        <f t="shared" ca="1" si="7"/>
        <v>5.5110073364634242E-2</v>
      </c>
      <c r="O34" s="12">
        <f t="shared" ca="1" si="8"/>
        <v>6.2172027860675341E-2</v>
      </c>
      <c r="P34" s="12">
        <f t="shared" ca="1" si="9"/>
        <v>6.8754959555684031E-2</v>
      </c>
      <c r="Q34" s="12">
        <f t="shared" ca="1" si="10"/>
        <v>5.0089861583352137E-2</v>
      </c>
      <c r="R34" s="12">
        <f t="shared" ca="1" si="11"/>
        <v>4.8047175538933569E-2</v>
      </c>
      <c r="S34" s="12">
        <f t="shared" ca="1" si="12"/>
        <v>5.3506978941485872E-2</v>
      </c>
      <c r="T34" s="12">
        <f t="shared" ca="1" si="13"/>
        <v>5.3247185953292947E-2</v>
      </c>
      <c r="U34" s="12">
        <f t="shared" ca="1" si="14"/>
        <v>3.8065993078978823E-2</v>
      </c>
      <c r="V34" s="12">
        <f t="shared" ca="1" si="15"/>
        <v>6.6558133444922576E-2</v>
      </c>
      <c r="W34" s="12">
        <f t="shared" ca="1" si="16"/>
        <v>6.0558934143137746E-2</v>
      </c>
      <c r="X34" s="12">
        <f t="shared" ca="1" si="17"/>
        <v>4.2359841022539022E-2</v>
      </c>
      <c r="Y34" s="12">
        <f t="shared" ca="1" si="18"/>
        <v>4.3309773989533451E-2</v>
      </c>
      <c r="Z34" s="12">
        <f t="shared" ca="1" si="19"/>
        <v>4.7868320235515557E-2</v>
      </c>
      <c r="AA34" s="12">
        <f t="shared" ca="1" si="20"/>
        <v>4.9514619157063226E-2</v>
      </c>
      <c r="AB34" s="12">
        <f t="shared" ca="1" si="21"/>
        <v>5.9101301153465513E-2</v>
      </c>
      <c r="AC34" s="12">
        <f t="shared" ca="1" si="22"/>
        <v>4.1438207945325815E-2</v>
      </c>
      <c r="AD34" s="12">
        <f t="shared" ca="1" si="23"/>
        <v>4.5679984091688657E-2</v>
      </c>
      <c r="AE34" s="12">
        <f t="shared" ca="1" si="24"/>
        <v>4.214306386681374E-2</v>
      </c>
      <c r="AF34" s="12">
        <f t="shared" ca="1" si="25"/>
        <v>4.8336966410294342E-2</v>
      </c>
    </row>
    <row r="35" spans="1:32" ht="15" x14ac:dyDescent="0.25">
      <c r="A35" s="5" t="s">
        <v>0</v>
      </c>
      <c r="B35" s="5">
        <v>100</v>
      </c>
      <c r="C35" s="5">
        <v>0.4</v>
      </c>
      <c r="E35" s="12">
        <f ca="1">MIN('1:25'!L35:U35)</f>
        <v>147.96312</v>
      </c>
      <c r="H35" s="12">
        <f t="shared" ca="1" si="1"/>
        <v>1.757870474750715E-2</v>
      </c>
      <c r="I35" s="12">
        <f t="shared" ca="1" si="2"/>
        <v>1.8229542604940523E-2</v>
      </c>
      <c r="J35" s="12">
        <f t="shared" ca="1" si="3"/>
        <v>1.9001018632210182E-2</v>
      </c>
      <c r="K35" s="12">
        <f t="shared" ca="1" si="4"/>
        <v>2.580953956634581E-2</v>
      </c>
      <c r="L35" s="12">
        <f t="shared" ca="1" si="5"/>
        <v>1.3371169788796254E-2</v>
      </c>
      <c r="M35" s="12">
        <f t="shared" ca="1" si="6"/>
        <v>1.9900026439020335E-2</v>
      </c>
      <c r="N35" s="12">
        <f t="shared" ca="1" si="7"/>
        <v>1.6186939015613806E-2</v>
      </c>
      <c r="O35" s="12">
        <f t="shared" ca="1" si="8"/>
        <v>1.7213748939600218E-2</v>
      </c>
      <c r="P35" s="12">
        <f t="shared" ca="1" si="9"/>
        <v>1.9648544853609517E-2</v>
      </c>
      <c r="Q35" s="12">
        <f t="shared" ca="1" si="10"/>
        <v>1.4120680883181811E-2</v>
      </c>
      <c r="R35" s="12">
        <f t="shared" ca="1" si="11"/>
        <v>2.5762906324224191E-2</v>
      </c>
      <c r="S35" s="12">
        <f t="shared" ca="1" si="12"/>
        <v>1.9806759954778059E-2</v>
      </c>
      <c r="T35" s="12">
        <f t="shared" ca="1" si="13"/>
        <v>1.6602921052218677E-2</v>
      </c>
      <c r="U35" s="12">
        <f t="shared" ca="1" si="14"/>
        <v>1.4050663435591063E-2</v>
      </c>
      <c r="V35" s="12">
        <f t="shared" ca="1" si="15"/>
        <v>2.1448317661860665E-2</v>
      </c>
      <c r="W35" s="12">
        <f t="shared" ca="1" si="16"/>
        <v>1.727835963448144E-2</v>
      </c>
      <c r="X35" s="12">
        <f t="shared" ca="1" si="17"/>
        <v>1.9050963510366215E-2</v>
      </c>
      <c r="Y35" s="12">
        <f t="shared" ca="1" si="18"/>
        <v>2.316300169934233E-2</v>
      </c>
      <c r="Z35" s="12">
        <f t="shared" ca="1" si="19"/>
        <v>1.7070334823974846E-2</v>
      </c>
      <c r="AA35" s="12">
        <f t="shared" ca="1" si="20"/>
        <v>2.2635505388099043E-2</v>
      </c>
      <c r="AB35" s="12">
        <f t="shared" ca="1" si="21"/>
        <v>2.4420206873172028E-2</v>
      </c>
      <c r="AC35" s="12">
        <f t="shared" ca="1" si="22"/>
        <v>2.4819090054332145E-2</v>
      </c>
      <c r="AD35" s="12">
        <f t="shared" ca="1" si="23"/>
        <v>2.1159461898342932E-2</v>
      </c>
      <c r="AE35" s="12">
        <f t="shared" ca="1" si="24"/>
        <v>2.1809826664914822E-2</v>
      </c>
      <c r="AF35" s="12">
        <f t="shared" ca="1" si="25"/>
        <v>1.6163081719282234E-2</v>
      </c>
    </row>
    <row r="36" spans="1:32" ht="15" x14ac:dyDescent="0.25">
      <c r="A36" s="5" t="s">
        <v>0</v>
      </c>
      <c r="B36" s="5">
        <v>100</v>
      </c>
      <c r="C36" s="5">
        <v>0.7</v>
      </c>
      <c r="E36" s="12">
        <f ca="1">MIN('1:25'!L36:U36)</f>
        <v>107.28163000000001</v>
      </c>
      <c r="H36" s="12">
        <f t="shared" ca="1" si="1"/>
        <v>8.2950268373065891E-2</v>
      </c>
      <c r="I36" s="12">
        <f t="shared" ca="1" si="2"/>
        <v>8.9706783910720955E-2</v>
      </c>
      <c r="J36" s="12">
        <f t="shared" ca="1" si="3"/>
        <v>0.26664443856790709</v>
      </c>
      <c r="K36" s="12">
        <f t="shared" ca="1" si="4"/>
        <v>7.453866985428842E-2</v>
      </c>
      <c r="L36" s="12">
        <f t="shared" ca="1" si="5"/>
        <v>0.27923233455718327</v>
      </c>
      <c r="M36" s="12">
        <f t="shared" ca="1" si="6"/>
        <v>0.2545842191249324</v>
      </c>
      <c r="N36" s="12">
        <f t="shared" ca="1" si="7"/>
        <v>7.5754814687285482E-2</v>
      </c>
      <c r="O36" s="12">
        <f t="shared" ca="1" si="8"/>
        <v>8.021158888059339E-2</v>
      </c>
      <c r="P36" s="12">
        <f t="shared" ca="1" si="9"/>
        <v>8.9655703404207726E-2</v>
      </c>
      <c r="Q36" s="12">
        <f t="shared" ca="1" si="10"/>
        <v>9.446454159952572E-2</v>
      </c>
      <c r="R36" s="12">
        <f t="shared" ca="1" si="11"/>
        <v>8.5115503931101108E-2</v>
      </c>
      <c r="S36" s="12">
        <f t="shared" ca="1" si="12"/>
        <v>9.0633317185802767E-2</v>
      </c>
      <c r="T36" s="12">
        <f t="shared" ca="1" si="13"/>
        <v>8.5743570450970225E-2</v>
      </c>
      <c r="U36" s="12">
        <f t="shared" ca="1" si="14"/>
        <v>6.0386666384542535E-2</v>
      </c>
      <c r="V36" s="12">
        <f t="shared" ca="1" si="15"/>
        <v>0.15659251262308316</v>
      </c>
      <c r="W36" s="12">
        <f t="shared" ca="1" si="16"/>
        <v>0.16815553604097849</v>
      </c>
      <c r="X36" s="12">
        <f t="shared" ca="1" si="17"/>
        <v>6.5317333452147949E-2</v>
      </c>
      <c r="Y36" s="12">
        <f t="shared" ca="1" si="18"/>
        <v>0.13408157575532684</v>
      </c>
      <c r="Z36" s="12">
        <f t="shared" ca="1" si="19"/>
        <v>8.0464381460273723E-2</v>
      </c>
      <c r="AA36" s="12">
        <f t="shared" ca="1" si="20"/>
        <v>9.1013904244370142E-2</v>
      </c>
      <c r="AB36" s="12">
        <f t="shared" ca="1" si="21"/>
        <v>9.7025091807422553E-2</v>
      </c>
      <c r="AC36" s="12">
        <f t="shared" ca="1" si="22"/>
        <v>0.15648531812948693</v>
      </c>
      <c r="AD36" s="12">
        <f t="shared" ca="1" si="23"/>
        <v>9.1019124150145209E-2</v>
      </c>
      <c r="AE36" s="12">
        <f t="shared" ca="1" si="24"/>
        <v>0.10998938028812497</v>
      </c>
      <c r="AF36" s="12">
        <f t="shared" ca="1" si="25"/>
        <v>7.3393180174461475E-2</v>
      </c>
    </row>
    <row r="37" spans="1:32" ht="15" x14ac:dyDescent="0.25">
      <c r="A37" s="5" t="s">
        <v>0</v>
      </c>
      <c r="B37" s="5">
        <v>100</v>
      </c>
      <c r="C37" s="5">
        <v>1</v>
      </c>
      <c r="E37" s="12">
        <f ca="1">MIN('1:25'!L37:U37)</f>
        <v>103.21266</v>
      </c>
      <c r="H37" s="12">
        <f t="shared" ca="1" si="1"/>
        <v>7.3807224811374889E-2</v>
      </c>
      <c r="I37" s="12">
        <f t="shared" ca="1" si="2"/>
        <v>8.3166444891547134E-2</v>
      </c>
      <c r="J37" s="12">
        <f t="shared" ca="1" si="3"/>
        <v>6.5508824208193234E-2</v>
      </c>
      <c r="K37" s="12">
        <f t="shared" ca="1" si="4"/>
        <v>7.1680063279058875E-2</v>
      </c>
      <c r="L37" s="12">
        <f t="shared" ca="1" si="5"/>
        <v>8.0712288589403478E-2</v>
      </c>
      <c r="M37" s="12">
        <f t="shared" ca="1" si="6"/>
        <v>6.3264816544792227E-2</v>
      </c>
      <c r="N37" s="12">
        <f t="shared" ca="1" si="7"/>
        <v>6.6928901938967569E-2</v>
      </c>
      <c r="O37" s="12">
        <f t="shared" ca="1" si="8"/>
        <v>7.0601513418993206E-2</v>
      </c>
      <c r="P37" s="12">
        <f t="shared" ca="1" si="9"/>
        <v>7.6745527147541903E-2</v>
      </c>
      <c r="Q37" s="12">
        <f t="shared" ca="1" si="10"/>
        <v>6.7726381627990287E-2</v>
      </c>
      <c r="R37" s="12">
        <f t="shared" ca="1" si="11"/>
        <v>6.3326824441885324E-2</v>
      </c>
      <c r="S37" s="12">
        <f t="shared" ca="1" si="12"/>
        <v>5.6934682237624559E-2</v>
      </c>
      <c r="T37" s="12">
        <f t="shared" ca="1" si="13"/>
        <v>6.9598438796171114E-2</v>
      </c>
      <c r="U37" s="12">
        <f t="shared" ca="1" si="14"/>
        <v>6.1377644951694947E-2</v>
      </c>
      <c r="V37" s="12">
        <f t="shared" ca="1" si="15"/>
        <v>6.6765162335705522E-2</v>
      </c>
      <c r="W37" s="12">
        <f t="shared" ca="1" si="16"/>
        <v>6.7793137004704712E-2</v>
      </c>
      <c r="X37" s="12">
        <f t="shared" ca="1" si="17"/>
        <v>6.1360011455958957E-2</v>
      </c>
      <c r="Y37" s="12">
        <f t="shared" ca="1" si="18"/>
        <v>8.2330791590876529E-2</v>
      </c>
      <c r="Z37" s="12">
        <f t="shared" ca="1" si="19"/>
        <v>7.2353139624538293E-2</v>
      </c>
      <c r="AA37" s="12">
        <f t="shared" ca="1" si="20"/>
        <v>7.386148172133164E-2</v>
      </c>
      <c r="AB37" s="12">
        <f t="shared" ca="1" si="21"/>
        <v>7.9935252128954137E-2</v>
      </c>
      <c r="AC37" s="12">
        <f t="shared" ca="1" si="22"/>
        <v>7.1045451207245341E-2</v>
      </c>
      <c r="AD37" s="12">
        <f t="shared" ca="1" si="23"/>
        <v>6.898552948834008E-2</v>
      </c>
      <c r="AE37" s="12">
        <f t="shared" ca="1" si="24"/>
        <v>7.143406632480967E-2</v>
      </c>
      <c r="AF37" s="12">
        <f t="shared" ca="1" si="25"/>
        <v>5.8451744194946934E-2</v>
      </c>
    </row>
    <row r="40" spans="1:32" x14ac:dyDescent="0.2">
      <c r="E40" t="s">
        <v>36</v>
      </c>
      <c r="G40" t="s">
        <v>30</v>
      </c>
      <c r="H40" s="70">
        <f t="shared" ref="H40:AF40" ca="1" si="26">SUM(H2:H37)</f>
        <v>2.065921594342897</v>
      </c>
      <c r="I40" s="70">
        <f t="shared" ca="1" si="26"/>
        <v>1.9373240204856603</v>
      </c>
      <c r="J40" s="70">
        <f t="shared" ca="1" si="26"/>
        <v>2.1209541300419943</v>
      </c>
      <c r="K40" s="70">
        <f t="shared" ca="1" si="26"/>
        <v>2.0901555209330183</v>
      </c>
      <c r="L40" s="70">
        <f t="shared" ca="1" si="26"/>
        <v>2.1396276115673163</v>
      </c>
      <c r="M40" s="70">
        <f t="shared" ca="1" si="26"/>
        <v>1.8578985601822258</v>
      </c>
      <c r="N40" s="70">
        <f t="shared" ca="1" si="26"/>
        <v>1.7141038823273422</v>
      </c>
      <c r="O40" s="70">
        <f t="shared" ca="1" si="26"/>
        <v>1.9388613823441621</v>
      </c>
      <c r="P40" s="70">
        <f t="shared" ca="1" si="26"/>
        <v>1.9730147785780863</v>
      </c>
      <c r="Q40" s="70">
        <f t="shared" ca="1" si="26"/>
        <v>1.8833753622460974</v>
      </c>
      <c r="R40" s="70">
        <f t="shared" ca="1" si="26"/>
        <v>1.911358816726684</v>
      </c>
      <c r="S40" s="70">
        <f t="shared" ca="1" si="26"/>
        <v>2.0207741178518828</v>
      </c>
      <c r="T40" s="70">
        <f t="shared" ca="1" si="26"/>
        <v>1.8363323229576367</v>
      </c>
      <c r="U40" s="70">
        <f t="shared" ca="1" si="26"/>
        <v>1.7035464653747836</v>
      </c>
      <c r="V40" s="70">
        <f t="shared" ca="1" si="26"/>
        <v>1.8709831039949707</v>
      </c>
      <c r="W40" s="70">
        <f t="shared" ca="1" si="26"/>
        <v>1.7569208083777164</v>
      </c>
      <c r="X40" s="70">
        <f t="shared" ca="1" si="26"/>
        <v>1.6566402494584671</v>
      </c>
      <c r="Y40" s="70">
        <f t="shared" ca="1" si="26"/>
        <v>2.219231011498771</v>
      </c>
      <c r="Z40" s="70">
        <f t="shared" ca="1" si="26"/>
        <v>1.7479743268607244</v>
      </c>
      <c r="AA40" s="70">
        <f t="shared" ca="1" si="26"/>
        <v>2.0297185879242439</v>
      </c>
      <c r="AB40" s="70">
        <f t="shared" ca="1" si="26"/>
        <v>1.8088893995053592</v>
      </c>
      <c r="AC40" s="70">
        <f t="shared" ca="1" si="26"/>
        <v>2.091177959256612</v>
      </c>
      <c r="AD40" s="70">
        <f t="shared" ca="1" si="26"/>
        <v>1.7781399778682214</v>
      </c>
      <c r="AE40" s="70">
        <f t="shared" ca="1" si="26"/>
        <v>1.6924993005164743</v>
      </c>
      <c r="AF40" s="70">
        <f t="shared" ca="1" si="26"/>
        <v>1.9858342474846968</v>
      </c>
    </row>
  </sheetData>
  <phoneticPr fontId="1" type="noConversion"/>
  <conditionalFormatting sqref="H2:AF37">
    <cfRule type="expression" dxfId="0" priority="7">
      <formula>H2=MIN($H2:$AF2)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T1" zoomScale="85" zoomScaleNormal="85" workbookViewId="0">
      <selection activeCell="AB4" sqref="AB4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0.54554000000000002</v>
      </c>
      <c r="F1" s="5">
        <v>70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12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0.54547999999999996</v>
      </c>
      <c r="F2" s="5">
        <v>70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2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0.55406</v>
      </c>
      <c r="F3" s="5">
        <v>44</v>
      </c>
      <c r="H3" s="5" t="s">
        <v>27</v>
      </c>
      <c r="I3" s="5">
        <v>30</v>
      </c>
      <c r="J3" s="5">
        <v>0.7</v>
      </c>
      <c r="L3" s="5">
        <f t="shared" ref="L3:L46" ca="1" si="11">INDIRECT("D"&amp;1+(ROW(D2)-1)*10+COLUMN(A2)-1)</f>
        <v>170.35004000000001</v>
      </c>
      <c r="M3" s="5">
        <f t="shared" ref="M3:M46" ca="1" si="12">INDIRECT("D"&amp;1+(ROW(E2)-1)*10+COLUMN(B2)-1)</f>
        <v>170.35004000000001</v>
      </c>
      <c r="N3" s="5">
        <f t="shared" ref="N3:N46" ca="1" si="13">INDIRECT("D"&amp;1+(ROW(F2)-1)*10+COLUMN(C2)-1)</f>
        <v>170.35004000000001</v>
      </c>
      <c r="O3" s="5">
        <f t="shared" ref="O3:O46" ca="1" si="14">INDIRECT("D"&amp;1+(ROW(G2)-1)*10+COLUMN(D2)-1)</f>
        <v>170.35004000000001</v>
      </c>
      <c r="P3" s="5">
        <f t="shared" ref="P3:P46" ca="1" si="15">INDIRECT("D"&amp;1+(ROW(H2)-1)*10+COLUMN(E2)-1)</f>
        <v>170.35004000000001</v>
      </c>
      <c r="Q3" s="5">
        <f t="shared" ref="Q3:Q46" ca="1" si="16">INDIRECT("D"&amp;1+(ROW(I2)-1)*10+COLUMN(F2)-1)</f>
        <v>170.35004000000001</v>
      </c>
      <c r="R3" s="5">
        <f t="shared" ref="R3:R46" ca="1" si="17">INDIRECT("D"&amp;1+(ROW(J2)-1)*10+COLUMN(G2)-1)</f>
        <v>170.35004000000001</v>
      </c>
      <c r="S3" s="5">
        <f t="shared" ref="S3:S46" ca="1" si="18">INDIRECT("D"&amp;1+(ROW(K2)-1)*10+COLUMN(H2)-1)</f>
        <v>170.35004000000001</v>
      </c>
      <c r="T3" s="5">
        <f t="shared" ref="T3:T46" ca="1" si="19">INDIRECT("D"&amp;1+(ROW(L2)-1)*10+COLUMN(I2)-1)</f>
        <v>170.35004000000001</v>
      </c>
      <c r="U3" s="5">
        <f t="shared" ref="U3:U46" ca="1" si="20">INDIRECT("D"&amp;1+(ROW(M2)-1)*10+COLUMN(J2)-1)</f>
        <v>170.35004000000001</v>
      </c>
      <c r="W3" s="5">
        <f t="shared" ref="W3:W46" ca="1" si="21">AVERAGE(L3:U3)</f>
        <v>170.35004000000001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22">SUM(AB3:AK3)</f>
        <v>0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0.54710999999999999</v>
      </c>
      <c r="F4" s="5">
        <v>59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12"/>
        <v>156.12666999999999</v>
      </c>
      <c r="N4" s="5">
        <f t="shared" ca="1" si="13"/>
        <v>156.12666999999999</v>
      </c>
      <c r="O4" s="5">
        <f t="shared" ca="1" si="14"/>
        <v>156.12666999999999</v>
      </c>
      <c r="P4" s="5">
        <f t="shared" ca="1" si="15"/>
        <v>156.12666999999999</v>
      </c>
      <c r="Q4" s="5">
        <f t="shared" ca="1" si="16"/>
        <v>156.12666999999999</v>
      </c>
      <c r="R4" s="5">
        <f t="shared" ca="1" si="17"/>
        <v>156.12666999999999</v>
      </c>
      <c r="S4" s="5">
        <f t="shared" ca="1" si="18"/>
        <v>156.12666999999999</v>
      </c>
      <c r="T4" s="5">
        <f t="shared" ca="1" si="19"/>
        <v>156.12666999999999</v>
      </c>
      <c r="U4" s="5">
        <f t="shared" ca="1" si="20"/>
        <v>156.12666999999999</v>
      </c>
      <c r="W4" s="5">
        <f t="shared" ca="1" si="21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22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0.56615000000000004</v>
      </c>
      <c r="F5" s="5">
        <v>64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12"/>
        <v>491.35005000000001</v>
      </c>
      <c r="N5" s="5">
        <f t="shared" ca="1" si="13"/>
        <v>491.35005000000001</v>
      </c>
      <c r="O5" s="5">
        <f t="shared" ca="1" si="14"/>
        <v>491.35005000000001</v>
      </c>
      <c r="P5" s="5">
        <f t="shared" ca="1" si="15"/>
        <v>491.35005000000001</v>
      </c>
      <c r="Q5" s="5">
        <f t="shared" ca="1" si="16"/>
        <v>491.35005000000001</v>
      </c>
      <c r="R5" s="5">
        <f t="shared" ca="1" si="17"/>
        <v>491.35005000000001</v>
      </c>
      <c r="S5" s="5">
        <f t="shared" ca="1" si="18"/>
        <v>491.35005000000001</v>
      </c>
      <c r="T5" s="5">
        <f t="shared" ca="1" si="19"/>
        <v>491.35005000000001</v>
      </c>
      <c r="U5" s="5">
        <f t="shared" ca="1" si="20"/>
        <v>491.35005000000001</v>
      </c>
      <c r="W5" s="5">
        <f t="shared" ca="1" si="21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22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0.54637999999999998</v>
      </c>
      <c r="F6" s="5">
        <v>66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12"/>
        <v>203.32952</v>
      </c>
      <c r="N6" s="5">
        <f t="shared" ca="1" si="13"/>
        <v>203.32952</v>
      </c>
      <c r="O6" s="5">
        <f t="shared" ca="1" si="14"/>
        <v>203.32952</v>
      </c>
      <c r="P6" s="5">
        <f t="shared" ca="1" si="15"/>
        <v>203.32952</v>
      </c>
      <c r="Q6" s="5">
        <f t="shared" ca="1" si="16"/>
        <v>203.32952</v>
      </c>
      <c r="R6" s="5">
        <f t="shared" ca="1" si="17"/>
        <v>203.32952</v>
      </c>
      <c r="S6" s="5">
        <f t="shared" ca="1" si="18"/>
        <v>203.32952</v>
      </c>
      <c r="T6" s="5">
        <f t="shared" ca="1" si="19"/>
        <v>203.32952</v>
      </c>
      <c r="U6" s="5">
        <f t="shared" ca="1" si="20"/>
        <v>203.32952</v>
      </c>
      <c r="W6" s="5">
        <f t="shared" ca="1" si="21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22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0.54832999999999998</v>
      </c>
      <c r="F7" s="5">
        <v>74</v>
      </c>
      <c r="H7" s="5" t="s">
        <v>27</v>
      </c>
      <c r="I7" s="5">
        <v>50</v>
      </c>
      <c r="J7" s="5">
        <v>1</v>
      </c>
      <c r="L7" s="5">
        <f t="shared" ca="1" si="11"/>
        <v>182.50635</v>
      </c>
      <c r="M7" s="5">
        <f t="shared" ca="1" si="12"/>
        <v>179.94333</v>
      </c>
      <c r="N7" s="5">
        <f t="shared" ca="1" si="13"/>
        <v>181.82816</v>
      </c>
      <c r="O7" s="5">
        <f t="shared" ca="1" si="14"/>
        <v>179.67332999999999</v>
      </c>
      <c r="P7" s="5">
        <f t="shared" ca="1" si="15"/>
        <v>182.34583000000001</v>
      </c>
      <c r="Q7" s="5">
        <f t="shared" ca="1" si="16"/>
        <v>183.85667000000001</v>
      </c>
      <c r="R7" s="5">
        <f t="shared" ca="1" si="17"/>
        <v>182.37333000000001</v>
      </c>
      <c r="S7" s="5">
        <f t="shared" ca="1" si="18"/>
        <v>180.33332999999999</v>
      </c>
      <c r="T7" s="5">
        <f t="shared" ca="1" si="19"/>
        <v>180.7679</v>
      </c>
      <c r="U7" s="5">
        <f t="shared" ca="1" si="20"/>
        <v>182.34583000000001</v>
      </c>
      <c r="W7" s="5">
        <f t="shared" ca="1" si="21"/>
        <v>181.59740600000001</v>
      </c>
      <c r="Y7" s="5">
        <f ca="1">Total!E7</f>
        <v>179.67332999999999</v>
      </c>
      <c r="AB7" s="5">
        <f t="shared" ca="1" si="1"/>
        <v>1.5767615594367873E-2</v>
      </c>
      <c r="AC7" s="5">
        <f t="shared" ca="1" si="2"/>
        <v>1.5027271994124572E-3</v>
      </c>
      <c r="AD7" s="5">
        <f t="shared" ca="1" si="3"/>
        <v>1.1993043152258624E-2</v>
      </c>
      <c r="AE7" s="5">
        <f t="shared" ca="1" si="4"/>
        <v>0</v>
      </c>
      <c r="AF7" s="5">
        <f t="shared" ca="1" si="5"/>
        <v>1.4874216446035779E-2</v>
      </c>
      <c r="AG7" s="5">
        <f t="shared" ca="1" si="6"/>
        <v>2.3283032601444053E-2</v>
      </c>
      <c r="AH7" s="5">
        <f t="shared" ca="1" si="7"/>
        <v>1.5027271994124099E-2</v>
      </c>
      <c r="AI7" s="5">
        <f t="shared" ca="1" si="8"/>
        <v>3.6733331541191818E-3</v>
      </c>
      <c r="AJ7" s="5">
        <f t="shared" ca="1" si="9"/>
        <v>6.0920004098549549E-3</v>
      </c>
      <c r="AK7" s="5">
        <f t="shared" ca="1" si="10"/>
        <v>1.4874216446035779E-2</v>
      </c>
      <c r="AM7" s="5">
        <f t="shared" ca="1" si="22"/>
        <v>0.10708745699765279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0.54539000000000004</v>
      </c>
      <c r="F8" s="5">
        <v>71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12"/>
        <v>282.75520999999998</v>
      </c>
      <c r="N8" s="5">
        <f t="shared" ca="1" si="13"/>
        <v>282.75520999999998</v>
      </c>
      <c r="O8" s="5">
        <f t="shared" ca="1" si="14"/>
        <v>282.75520999999998</v>
      </c>
      <c r="P8" s="5">
        <f t="shared" ca="1" si="15"/>
        <v>282.75520999999998</v>
      </c>
      <c r="Q8" s="5">
        <f t="shared" ca="1" si="16"/>
        <v>282.75520999999998</v>
      </c>
      <c r="R8" s="5">
        <f t="shared" ca="1" si="17"/>
        <v>282.75520999999998</v>
      </c>
      <c r="S8" s="5">
        <f t="shared" ca="1" si="18"/>
        <v>282.75520999999998</v>
      </c>
      <c r="T8" s="5">
        <f t="shared" ca="1" si="19"/>
        <v>282.75520999999998</v>
      </c>
      <c r="U8" s="5">
        <f t="shared" ca="1" si="20"/>
        <v>282.75520999999998</v>
      </c>
      <c r="W8" s="5">
        <f t="shared" ca="1" si="21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22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0.54691000000000001</v>
      </c>
      <c r="F9" s="5">
        <v>74</v>
      </c>
      <c r="H9" s="5" t="s">
        <v>27</v>
      </c>
      <c r="I9" s="5">
        <v>100</v>
      </c>
      <c r="J9" s="5">
        <v>0.7</v>
      </c>
      <c r="L9" s="5">
        <f t="shared" ca="1" si="11"/>
        <v>258.40852000000001</v>
      </c>
      <c r="M9" s="5">
        <f t="shared" ca="1" si="12"/>
        <v>255.89185000000001</v>
      </c>
      <c r="N9" s="5">
        <f t="shared" ca="1" si="13"/>
        <v>258.20184999999998</v>
      </c>
      <c r="O9" s="5">
        <f t="shared" ca="1" si="14"/>
        <v>256.27307000000002</v>
      </c>
      <c r="P9" s="5">
        <f t="shared" ca="1" si="15"/>
        <v>256.57808999999997</v>
      </c>
      <c r="Q9" s="5">
        <f t="shared" ca="1" si="16"/>
        <v>259.85129000000001</v>
      </c>
      <c r="R9" s="5">
        <f t="shared" ca="1" si="17"/>
        <v>259.37536</v>
      </c>
      <c r="S9" s="5">
        <f t="shared" ca="1" si="18"/>
        <v>259.16523000000001</v>
      </c>
      <c r="T9" s="5">
        <f t="shared" ca="1" si="19"/>
        <v>256.74675000000002</v>
      </c>
      <c r="U9" s="5">
        <f t="shared" ca="1" si="20"/>
        <v>256.15800000000002</v>
      </c>
      <c r="W9" s="5">
        <f t="shared" ca="1" si="21"/>
        <v>257.66500099999996</v>
      </c>
      <c r="Y9" s="5">
        <f ca="1">Total!E9</f>
        <v>255.18879999999999</v>
      </c>
      <c r="AB9" s="5">
        <f t="shared" ca="1" si="1"/>
        <v>1.2617011404889336E-2</v>
      </c>
      <c r="AC9" s="5">
        <f t="shared" ca="1" si="2"/>
        <v>2.7550190290483705E-3</v>
      </c>
      <c r="AD9" s="5">
        <f t="shared" ca="1" si="3"/>
        <v>1.1807140438765309E-2</v>
      </c>
      <c r="AE9" s="5">
        <f t="shared" ca="1" si="4"/>
        <v>4.2488933683611195E-3</v>
      </c>
      <c r="AF9" s="5">
        <f t="shared" ca="1" si="5"/>
        <v>5.4441652611712911E-3</v>
      </c>
      <c r="AG9" s="5">
        <f t="shared" ca="1" si="6"/>
        <v>1.8270746992031076E-2</v>
      </c>
      <c r="AH9" s="5">
        <f t="shared" ca="1" si="7"/>
        <v>1.6405735674919958E-2</v>
      </c>
      <c r="AI9" s="5">
        <f t="shared" ca="1" si="8"/>
        <v>1.5582306120017894E-2</v>
      </c>
      <c r="AJ9" s="5">
        <f t="shared" ca="1" si="9"/>
        <v>6.1050876840991215E-3</v>
      </c>
      <c r="AK9" s="5">
        <f t="shared" ca="1" si="10"/>
        <v>3.7979723248043377E-3</v>
      </c>
      <c r="AM9" s="5">
        <f t="shared" ca="1" si="22"/>
        <v>9.7034078298107798E-2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0.54532000000000003</v>
      </c>
      <c r="F10" s="5">
        <v>65</v>
      </c>
      <c r="H10" s="5" t="s">
        <v>27</v>
      </c>
      <c r="I10" s="5">
        <v>100</v>
      </c>
      <c r="J10" s="5">
        <v>1</v>
      </c>
      <c r="L10" s="5">
        <f t="shared" ca="1" si="11"/>
        <v>239.30293</v>
      </c>
      <c r="M10" s="5">
        <f t="shared" ca="1" si="12"/>
        <v>240.48</v>
      </c>
      <c r="N10" s="5">
        <f t="shared" ca="1" si="13"/>
        <v>239.2439</v>
      </c>
      <c r="O10" s="5">
        <f t="shared" ca="1" si="14"/>
        <v>239.24666999999999</v>
      </c>
      <c r="P10" s="5">
        <f t="shared" ca="1" si="15"/>
        <v>239.41560999999999</v>
      </c>
      <c r="Q10" s="5">
        <f t="shared" ca="1" si="16"/>
        <v>239.39667</v>
      </c>
      <c r="R10" s="5">
        <f t="shared" ca="1" si="17"/>
        <v>239.11873</v>
      </c>
      <c r="S10" s="5">
        <f t="shared" ca="1" si="18"/>
        <v>239.33</v>
      </c>
      <c r="T10" s="5">
        <f t="shared" ca="1" si="19"/>
        <v>239.55</v>
      </c>
      <c r="U10" s="5">
        <f t="shared" ca="1" si="20"/>
        <v>239.25</v>
      </c>
      <c r="W10" s="5">
        <f t="shared" ca="1" si="21"/>
        <v>239.43345100000002</v>
      </c>
      <c r="Y10" s="5">
        <f ca="1">Total!E10</f>
        <v>238.77667</v>
      </c>
      <c r="AB10" s="5">
        <f t="shared" ca="1" si="1"/>
        <v>2.2039841664598459E-3</v>
      </c>
      <c r="AC10" s="5">
        <f t="shared" ca="1" si="2"/>
        <v>7.1335696238664942E-3</v>
      </c>
      <c r="AD10" s="5">
        <f t="shared" ca="1" si="3"/>
        <v>1.9567657091457079E-3</v>
      </c>
      <c r="AE10" s="5">
        <f t="shared" ca="1" si="4"/>
        <v>1.9683665074984036E-3</v>
      </c>
      <c r="AF10" s="5">
        <f t="shared" ca="1" si="5"/>
        <v>2.6758895665979048E-3</v>
      </c>
      <c r="AG10" s="5">
        <f t="shared" ca="1" si="6"/>
        <v>2.5965685843596219E-3</v>
      </c>
      <c r="AH10" s="5">
        <f t="shared" ca="1" si="7"/>
        <v>1.4325520160742822E-3</v>
      </c>
      <c r="AI10" s="5">
        <f t="shared" ca="1" si="8"/>
        <v>2.3173537012641009E-3</v>
      </c>
      <c r="AJ10" s="5">
        <f t="shared" ca="1" si="9"/>
        <v>3.2387167473271806E-3</v>
      </c>
      <c r="AK10" s="5">
        <f t="shared" ca="1" si="10"/>
        <v>1.9823125936047447E-3</v>
      </c>
      <c r="AM10" s="5">
        <f t="shared" ca="1" si="22"/>
        <v>2.7506079216198288E-2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1.44415</v>
      </c>
      <c r="F11" s="5">
        <v>199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12"/>
        <v>3177.6379999999999</v>
      </c>
      <c r="N11" s="5">
        <f t="shared" ca="1" si="13"/>
        <v>3177.6379999999999</v>
      </c>
      <c r="O11" s="5">
        <f t="shared" ca="1" si="14"/>
        <v>3177.6379999999999</v>
      </c>
      <c r="P11" s="5">
        <f t="shared" ca="1" si="15"/>
        <v>3177.6379999999999</v>
      </c>
      <c r="Q11" s="5">
        <f t="shared" ca="1" si="16"/>
        <v>3177.6379999999999</v>
      </c>
      <c r="R11" s="5">
        <f t="shared" ca="1" si="17"/>
        <v>3177.6379999999999</v>
      </c>
      <c r="S11" s="5">
        <f t="shared" ca="1" si="18"/>
        <v>3177.6379999999999</v>
      </c>
      <c r="T11" s="5">
        <f t="shared" ca="1" si="19"/>
        <v>3177.6379999999999</v>
      </c>
      <c r="U11" s="5">
        <f t="shared" ca="1" si="20"/>
        <v>3177.6379999999999</v>
      </c>
      <c r="W11" s="5">
        <f t="shared" ca="1" si="21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22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1.42232</v>
      </c>
      <c r="F12" s="5">
        <v>192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12"/>
        <v>2321.03586</v>
      </c>
      <c r="N12" s="5">
        <f t="shared" ca="1" si="13"/>
        <v>2321.03586</v>
      </c>
      <c r="O12" s="5">
        <f t="shared" ca="1" si="14"/>
        <v>2321.03586</v>
      </c>
      <c r="P12" s="5">
        <f t="shared" ca="1" si="15"/>
        <v>2321.03586</v>
      </c>
      <c r="Q12" s="5">
        <f t="shared" ca="1" si="16"/>
        <v>2321.03586</v>
      </c>
      <c r="R12" s="5">
        <f t="shared" ca="1" si="17"/>
        <v>2321.03586</v>
      </c>
      <c r="S12" s="5">
        <f t="shared" ca="1" si="18"/>
        <v>2321.03586</v>
      </c>
      <c r="T12" s="5">
        <f t="shared" ca="1" si="19"/>
        <v>2321.03586</v>
      </c>
      <c r="U12" s="5">
        <f t="shared" ca="1" si="20"/>
        <v>2321.03586</v>
      </c>
      <c r="W12" s="5">
        <f t="shared" ca="1" si="21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22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1.42526</v>
      </c>
      <c r="F13" s="5">
        <v>214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12"/>
        <v>2320.9075499999999</v>
      </c>
      <c r="N13" s="5">
        <f t="shared" ca="1" si="13"/>
        <v>2320.9075499999999</v>
      </c>
      <c r="O13" s="5">
        <f t="shared" ca="1" si="14"/>
        <v>2320.9075499999999</v>
      </c>
      <c r="P13" s="5">
        <f t="shared" ca="1" si="15"/>
        <v>2320.9075499999999</v>
      </c>
      <c r="Q13" s="5">
        <f t="shared" ca="1" si="16"/>
        <v>2320.9075499999999</v>
      </c>
      <c r="R13" s="5">
        <f t="shared" ca="1" si="17"/>
        <v>2320.9075499999999</v>
      </c>
      <c r="S13" s="5">
        <f t="shared" ca="1" si="18"/>
        <v>2320.9075499999999</v>
      </c>
      <c r="T13" s="5">
        <f t="shared" ca="1" si="19"/>
        <v>2320.9075499999999</v>
      </c>
      <c r="U13" s="5">
        <f t="shared" ca="1" si="20"/>
        <v>2320.9075499999999</v>
      </c>
      <c r="W13" s="5">
        <f t="shared" ca="1" si="21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22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1.4319500000000001</v>
      </c>
      <c r="F14" s="5">
        <v>213</v>
      </c>
      <c r="H14" s="5" t="s">
        <v>2</v>
      </c>
      <c r="I14" s="5">
        <v>47</v>
      </c>
      <c r="J14" s="5">
        <v>0.4</v>
      </c>
      <c r="L14" s="5">
        <f t="shared" ca="1" si="11"/>
        <v>4350.8413700000001</v>
      </c>
      <c r="M14" s="5">
        <f t="shared" ca="1" si="12"/>
        <v>4348.0289499999999</v>
      </c>
      <c r="N14" s="5">
        <f t="shared" ca="1" si="13"/>
        <v>4348.0289499999999</v>
      </c>
      <c r="O14" s="5">
        <f t="shared" ca="1" si="14"/>
        <v>4350.8413700000001</v>
      </c>
      <c r="P14" s="5">
        <f t="shared" ca="1" si="15"/>
        <v>4348.0289499999999</v>
      </c>
      <c r="Q14" s="5">
        <f t="shared" ca="1" si="16"/>
        <v>4348.0289499999999</v>
      </c>
      <c r="R14" s="5">
        <f t="shared" ca="1" si="17"/>
        <v>4348.0289499999999</v>
      </c>
      <c r="S14" s="5">
        <f t="shared" ca="1" si="18"/>
        <v>4348.0289499999999</v>
      </c>
      <c r="T14" s="5">
        <f t="shared" ca="1" si="19"/>
        <v>4348.0289499999999</v>
      </c>
      <c r="U14" s="5">
        <f t="shared" ca="1" si="20"/>
        <v>4350.8413700000001</v>
      </c>
      <c r="W14" s="5">
        <f t="shared" ca="1" si="21"/>
        <v>4348.8726760000009</v>
      </c>
      <c r="Y14" s="5">
        <f ca="1">Total!E14</f>
        <v>4348.0289499999999</v>
      </c>
      <c r="AB14" s="5">
        <f t="shared" ca="1" si="1"/>
        <v>6.4682642004952661E-4</v>
      </c>
      <c r="AC14" s="5">
        <f t="shared" ca="1" si="2"/>
        <v>0</v>
      </c>
      <c r="AD14" s="5">
        <f t="shared" ca="1" si="3"/>
        <v>0</v>
      </c>
      <c r="AE14" s="5">
        <f t="shared" ca="1" si="4"/>
        <v>6.4682642004952661E-4</v>
      </c>
      <c r="AF14" s="5">
        <f t="shared" ca="1" si="5"/>
        <v>0</v>
      </c>
      <c r="AG14" s="5">
        <f t="shared" ca="1" si="6"/>
        <v>0</v>
      </c>
      <c r="AH14" s="5">
        <f t="shared" ca="1" si="7"/>
        <v>0</v>
      </c>
      <c r="AI14" s="5">
        <f t="shared" ca="1" si="8"/>
        <v>0</v>
      </c>
      <c r="AJ14" s="5">
        <f t="shared" ca="1" si="9"/>
        <v>0</v>
      </c>
      <c r="AK14" s="5">
        <f t="shared" ca="1" si="10"/>
        <v>6.4682642004952661E-4</v>
      </c>
      <c r="AM14" s="5">
        <f t="shared" ca="1" si="22"/>
        <v>1.9404792601485799E-3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1.47374</v>
      </c>
      <c r="F15" s="5">
        <v>204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12"/>
        <v>4325.26836</v>
      </c>
      <c r="N15" s="5">
        <f t="shared" ca="1" si="13"/>
        <v>4325.26836</v>
      </c>
      <c r="O15" s="5">
        <f t="shared" ca="1" si="14"/>
        <v>4325.26836</v>
      </c>
      <c r="P15" s="5">
        <f t="shared" ca="1" si="15"/>
        <v>4325.26836</v>
      </c>
      <c r="Q15" s="5">
        <f t="shared" ca="1" si="16"/>
        <v>4325.26836</v>
      </c>
      <c r="R15" s="5">
        <f t="shared" ca="1" si="17"/>
        <v>4325.26836</v>
      </c>
      <c r="S15" s="5">
        <f t="shared" ca="1" si="18"/>
        <v>4325.26836</v>
      </c>
      <c r="T15" s="5">
        <f t="shared" ca="1" si="19"/>
        <v>4325.26836</v>
      </c>
      <c r="U15" s="5">
        <f t="shared" ca="1" si="20"/>
        <v>4325.26836</v>
      </c>
      <c r="W15" s="5">
        <f t="shared" ca="1" si="21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22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1.4245399999999999</v>
      </c>
      <c r="F16" s="5">
        <v>220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12"/>
        <v>4313.60977</v>
      </c>
      <c r="N16" s="5">
        <f t="shared" ca="1" si="13"/>
        <v>4313.60977</v>
      </c>
      <c r="O16" s="5">
        <f t="shared" ca="1" si="14"/>
        <v>4313.60977</v>
      </c>
      <c r="P16" s="5">
        <f t="shared" ca="1" si="15"/>
        <v>4313.60977</v>
      </c>
      <c r="Q16" s="5">
        <f t="shared" ca="1" si="16"/>
        <v>4313.60977</v>
      </c>
      <c r="R16" s="5">
        <f t="shared" ca="1" si="17"/>
        <v>4313.60977</v>
      </c>
      <c r="S16" s="5">
        <f t="shared" ca="1" si="18"/>
        <v>4313.60977</v>
      </c>
      <c r="T16" s="5">
        <f t="shared" ca="1" si="19"/>
        <v>4313.60977</v>
      </c>
      <c r="U16" s="5">
        <f t="shared" ca="1" si="20"/>
        <v>4313.60977</v>
      </c>
      <c r="W16" s="5">
        <f t="shared" ca="1" si="21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22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1.42283</v>
      </c>
      <c r="F17" s="5">
        <v>185</v>
      </c>
      <c r="H17" s="5" t="s">
        <v>2</v>
      </c>
      <c r="I17" s="5">
        <v>100</v>
      </c>
      <c r="J17" s="5">
        <v>0.4</v>
      </c>
      <c r="L17" s="5">
        <f t="shared" ca="1" si="11"/>
        <v>42986.403050000001</v>
      </c>
      <c r="M17" s="5">
        <f t="shared" ca="1" si="12"/>
        <v>42986.403050000001</v>
      </c>
      <c r="N17" s="5">
        <f t="shared" ca="1" si="13"/>
        <v>42986.802479999998</v>
      </c>
      <c r="O17" s="5">
        <f t="shared" ca="1" si="14"/>
        <v>42986.403050000001</v>
      </c>
      <c r="P17" s="5">
        <f t="shared" ca="1" si="15"/>
        <v>42986.673049999998</v>
      </c>
      <c r="Q17" s="5">
        <f t="shared" ca="1" si="16"/>
        <v>42986.403050000001</v>
      </c>
      <c r="R17" s="5">
        <f t="shared" ca="1" si="17"/>
        <v>42986.673049999998</v>
      </c>
      <c r="S17" s="5">
        <f t="shared" ca="1" si="18"/>
        <v>42986.673049999998</v>
      </c>
      <c r="T17" s="5">
        <f t="shared" ca="1" si="19"/>
        <v>42986.403050000001</v>
      </c>
      <c r="U17" s="5">
        <f t="shared" ca="1" si="20"/>
        <v>42986.57692</v>
      </c>
      <c r="W17" s="5">
        <f t="shared" ca="1" si="21"/>
        <v>42986.541380000002</v>
      </c>
      <c r="Y17" s="5">
        <f ca="1">Total!E17</f>
        <v>42986.193919999998</v>
      </c>
      <c r="AB17" s="5">
        <f t="shared" ca="1" si="1"/>
        <v>4.8650504018131747E-6</v>
      </c>
      <c r="AC17" s="5">
        <f t="shared" ca="1" si="2"/>
        <v>4.8650504018131747E-6</v>
      </c>
      <c r="AD17" s="5">
        <f t="shared" ca="1" si="3"/>
        <v>1.4157103583842479E-5</v>
      </c>
      <c r="AE17" s="5">
        <f t="shared" ca="1" si="4"/>
        <v>4.8650504018131747E-6</v>
      </c>
      <c r="AF17" s="5">
        <f t="shared" ca="1" si="5"/>
        <v>1.1146136847830832E-5</v>
      </c>
      <c r="AG17" s="5">
        <f t="shared" ca="1" si="6"/>
        <v>4.8650504018131747E-6</v>
      </c>
      <c r="AH17" s="5">
        <f t="shared" ca="1" si="7"/>
        <v>1.1146136847830832E-5</v>
      </c>
      <c r="AI17" s="5">
        <f t="shared" ca="1" si="8"/>
        <v>1.1146136847830832E-5</v>
      </c>
      <c r="AJ17" s="5">
        <f t="shared" ca="1" si="9"/>
        <v>4.8650504018131747E-6</v>
      </c>
      <c r="AK17" s="5">
        <f t="shared" ca="1" si="10"/>
        <v>8.9098374402352728E-6</v>
      </c>
      <c r="AM17" s="5">
        <f t="shared" ca="1" si="22"/>
        <v>8.0830603576636124E-5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1.4211499999999999</v>
      </c>
      <c r="F18" s="5">
        <v>195</v>
      </c>
      <c r="H18" s="5" t="s">
        <v>2</v>
      </c>
      <c r="I18" s="5">
        <v>100</v>
      </c>
      <c r="J18" s="5">
        <v>0.7</v>
      </c>
      <c r="L18" s="5">
        <f t="shared" ca="1" si="11"/>
        <v>35773.046139999999</v>
      </c>
      <c r="M18" s="5">
        <f t="shared" ca="1" si="12"/>
        <v>35472.520859999997</v>
      </c>
      <c r="N18" s="5">
        <f t="shared" ca="1" si="13"/>
        <v>35679.823190000003</v>
      </c>
      <c r="O18" s="5">
        <f t="shared" ca="1" si="14"/>
        <v>35582.59057</v>
      </c>
      <c r="P18" s="5">
        <f t="shared" ca="1" si="15"/>
        <v>35686.662880000003</v>
      </c>
      <c r="Q18" s="5">
        <f t="shared" ca="1" si="16"/>
        <v>35656.862520000002</v>
      </c>
      <c r="R18" s="5">
        <f t="shared" ca="1" si="17"/>
        <v>35601.708429999999</v>
      </c>
      <c r="S18" s="5">
        <f t="shared" ca="1" si="18"/>
        <v>35652.717490000003</v>
      </c>
      <c r="T18" s="5">
        <f t="shared" ca="1" si="19"/>
        <v>35472.797440000002</v>
      </c>
      <c r="U18" s="5">
        <f t="shared" ca="1" si="20"/>
        <v>35598.991699999999</v>
      </c>
      <c r="W18" s="5">
        <f t="shared" ca="1" si="21"/>
        <v>35617.772122000002</v>
      </c>
      <c r="Y18" s="5">
        <f ca="1">Total!E18</f>
        <v>35336.072039999999</v>
      </c>
      <c r="AB18" s="5">
        <f t="shared" ca="1" si="1"/>
        <v>1.2366232995714694E-2</v>
      </c>
      <c r="AC18" s="5">
        <f t="shared" ca="1" si="2"/>
        <v>3.8614597526725495E-3</v>
      </c>
      <c r="AD18" s="5">
        <f t="shared" ca="1" si="3"/>
        <v>9.7280521052504534E-3</v>
      </c>
      <c r="AE18" s="5">
        <f t="shared" ca="1" si="4"/>
        <v>6.9763987836832927E-3</v>
      </c>
      <c r="AF18" s="5">
        <f t="shared" ca="1" si="5"/>
        <v>9.9216132342932698E-3</v>
      </c>
      <c r="AG18" s="5">
        <f t="shared" ca="1" si="6"/>
        <v>9.078272187040836E-3</v>
      </c>
      <c r="AH18" s="5">
        <f t="shared" ca="1" si="7"/>
        <v>7.5174283576086931E-3</v>
      </c>
      <c r="AI18" s="5">
        <f t="shared" ca="1" si="8"/>
        <v>8.9609691094574648E-3</v>
      </c>
      <c r="AJ18" s="5">
        <f t="shared" ca="1" si="9"/>
        <v>3.8692868818365413E-3</v>
      </c>
      <c r="AK18" s="5">
        <f t="shared" ca="1" si="10"/>
        <v>7.4405457319188656E-3</v>
      </c>
      <c r="AM18" s="5">
        <f t="shared" ca="1" si="22"/>
        <v>7.9720259139476668E-2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1.42517</v>
      </c>
      <c r="F19" s="5">
        <v>203</v>
      </c>
      <c r="H19" s="5" t="s">
        <v>2</v>
      </c>
      <c r="I19" s="5">
        <v>100</v>
      </c>
      <c r="J19" s="5">
        <v>1</v>
      </c>
      <c r="L19" s="5">
        <f t="shared" ca="1" si="11"/>
        <v>35295.870560000003</v>
      </c>
      <c r="M19" s="5">
        <f t="shared" ca="1" si="12"/>
        <v>35246.492810000003</v>
      </c>
      <c r="N19" s="5">
        <f t="shared" ca="1" si="13"/>
        <v>35270.773249999998</v>
      </c>
      <c r="O19" s="5">
        <f t="shared" ca="1" si="14"/>
        <v>35265.343330000003</v>
      </c>
      <c r="P19" s="5">
        <f t="shared" ca="1" si="15"/>
        <v>35381.821430000004</v>
      </c>
      <c r="Q19" s="5">
        <f t="shared" ca="1" si="16"/>
        <v>35287.232770000002</v>
      </c>
      <c r="R19" s="5">
        <f t="shared" ca="1" si="17"/>
        <v>35283.337610000002</v>
      </c>
      <c r="S19" s="5">
        <f t="shared" ca="1" si="18"/>
        <v>35287.88667</v>
      </c>
      <c r="T19" s="5">
        <f t="shared" ca="1" si="19"/>
        <v>35311.428050000002</v>
      </c>
      <c r="U19" s="5">
        <f t="shared" ca="1" si="20"/>
        <v>35296.916469999996</v>
      </c>
      <c r="W19" s="5">
        <f t="shared" ca="1" si="21"/>
        <v>35292.710294999997</v>
      </c>
      <c r="Y19" s="5">
        <f ca="1">Total!E19</f>
        <v>35203.853329999998</v>
      </c>
      <c r="AB19" s="5">
        <f t="shared" ca="1" si="1"/>
        <v>2.6138397162787218E-3</v>
      </c>
      <c r="AC19" s="5">
        <f t="shared" ca="1" si="2"/>
        <v>1.2112162722729216E-3</v>
      </c>
      <c r="AD19" s="5">
        <f t="shared" ca="1" si="3"/>
        <v>1.9009259972962249E-3</v>
      </c>
      <c r="AE19" s="5">
        <f t="shared" ca="1" si="4"/>
        <v>1.7466837912202278E-3</v>
      </c>
      <c r="AF19" s="5">
        <f t="shared" ca="1" si="5"/>
        <v>5.0553585237313996E-3</v>
      </c>
      <c r="AG19" s="5">
        <f t="shared" ca="1" si="6"/>
        <v>2.3684748149132304E-3</v>
      </c>
      <c r="AH19" s="5">
        <f t="shared" ca="1" si="7"/>
        <v>2.2578289727241125E-3</v>
      </c>
      <c r="AI19" s="5">
        <f t="shared" ca="1" si="8"/>
        <v>2.3870494860967475E-3</v>
      </c>
      <c r="AJ19" s="5">
        <f t="shared" ca="1" si="9"/>
        <v>3.0557654865676653E-3</v>
      </c>
      <c r="AK19" s="5">
        <f t="shared" ca="1" si="10"/>
        <v>2.6435498161984415E-3</v>
      </c>
      <c r="AM19" s="5">
        <f t="shared" ca="1" si="22"/>
        <v>2.5240692877299693E-2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1.4230799999999999</v>
      </c>
      <c r="F20" s="5">
        <v>193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2"/>
        <v>995.50248999999997</v>
      </c>
      <c r="N20" s="5">
        <f t="shared" ca="1" si="13"/>
        <v>995.50248999999997</v>
      </c>
      <c r="O20" s="5">
        <f t="shared" ca="1" si="14"/>
        <v>995.50248999999997</v>
      </c>
      <c r="P20" s="5">
        <f t="shared" ca="1" si="15"/>
        <v>995.50248999999997</v>
      </c>
      <c r="Q20" s="5">
        <f t="shared" ca="1" si="16"/>
        <v>995.50248999999997</v>
      </c>
      <c r="R20" s="5">
        <f t="shared" ca="1" si="17"/>
        <v>995.50248999999997</v>
      </c>
      <c r="S20" s="5">
        <f t="shared" ca="1" si="18"/>
        <v>995.50248999999997</v>
      </c>
      <c r="T20" s="5">
        <f t="shared" ca="1" si="19"/>
        <v>995.50248999999997</v>
      </c>
      <c r="U20" s="5">
        <f t="shared" ca="1" si="20"/>
        <v>995.50248999999997</v>
      </c>
      <c r="W20" s="5">
        <f t="shared" ca="1" si="21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22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1.7717700000000001</v>
      </c>
      <c r="F21" s="5">
        <v>302</v>
      </c>
      <c r="H21" s="5" t="s">
        <v>1</v>
      </c>
      <c r="I21" s="5">
        <v>30</v>
      </c>
      <c r="J21" s="5">
        <v>0.7</v>
      </c>
      <c r="L21" s="5">
        <f t="shared" ca="1" si="11"/>
        <v>677.26074000000006</v>
      </c>
      <c r="M21" s="5">
        <f t="shared" ca="1" si="12"/>
        <v>675.36989000000005</v>
      </c>
      <c r="N21" s="5">
        <f t="shared" ca="1" si="13"/>
        <v>675.36989000000005</v>
      </c>
      <c r="O21" s="5">
        <f t="shared" ca="1" si="14"/>
        <v>675.53859999999997</v>
      </c>
      <c r="P21" s="5">
        <f t="shared" ca="1" si="15"/>
        <v>675.36989000000005</v>
      </c>
      <c r="Q21" s="5">
        <f t="shared" ca="1" si="16"/>
        <v>677.27696000000003</v>
      </c>
      <c r="R21" s="5">
        <f t="shared" ca="1" si="17"/>
        <v>675.36989000000005</v>
      </c>
      <c r="S21" s="5">
        <f t="shared" ca="1" si="18"/>
        <v>675.36581000000001</v>
      </c>
      <c r="T21" s="5">
        <f t="shared" ca="1" si="19"/>
        <v>675.36581000000001</v>
      </c>
      <c r="U21" s="5">
        <f t="shared" ca="1" si="20"/>
        <v>675.38611000000003</v>
      </c>
      <c r="W21" s="5">
        <f t="shared" ca="1" si="21"/>
        <v>675.76735900000017</v>
      </c>
      <c r="Y21" s="5">
        <f ca="1">Total!E21</f>
        <v>675.36581000000001</v>
      </c>
      <c r="AB21" s="5">
        <f t="shared" ca="1" si="1"/>
        <v>2.8057831355129525E-3</v>
      </c>
      <c r="AC21" s="5">
        <f t="shared" ca="1" si="2"/>
        <v>6.0411704881010963E-6</v>
      </c>
      <c r="AD21" s="5">
        <f t="shared" ca="1" si="3"/>
        <v>6.0411704881010963E-6</v>
      </c>
      <c r="AE21" s="5">
        <f t="shared" ca="1" si="4"/>
        <v>2.5584653152631992E-4</v>
      </c>
      <c r="AF21" s="5">
        <f t="shared" ca="1" si="5"/>
        <v>6.0411704881010963E-6</v>
      </c>
      <c r="AG21" s="5">
        <f t="shared" ca="1" si="6"/>
        <v>2.8297997495609385E-3</v>
      </c>
      <c r="AH21" s="5">
        <f t="shared" ca="1" si="7"/>
        <v>6.0411704881010963E-6</v>
      </c>
      <c r="AI21" s="5">
        <f t="shared" ca="1" si="8"/>
        <v>0</v>
      </c>
      <c r="AJ21" s="5">
        <f t="shared" ca="1" si="9"/>
        <v>0</v>
      </c>
      <c r="AK21" s="5">
        <f t="shared" ca="1" si="10"/>
        <v>3.0057784536087472E-5</v>
      </c>
      <c r="AM21" s="5">
        <f t="shared" ca="1" si="22"/>
        <v>5.9456518830887026E-3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1.7722500000000001</v>
      </c>
      <c r="F22" s="5">
        <v>330</v>
      </c>
      <c r="H22" s="5" t="s">
        <v>1</v>
      </c>
      <c r="I22" s="5">
        <v>30</v>
      </c>
      <c r="J22" s="5">
        <v>1</v>
      </c>
      <c r="L22" s="5">
        <f t="shared" ca="1" si="11"/>
        <v>662.5059</v>
      </c>
      <c r="M22" s="5">
        <f t="shared" ca="1" si="12"/>
        <v>657.32380999999998</v>
      </c>
      <c r="N22" s="5">
        <f t="shared" ca="1" si="13"/>
        <v>658.23289</v>
      </c>
      <c r="O22" s="5">
        <f t="shared" ca="1" si="14"/>
        <v>655.43907999999999</v>
      </c>
      <c r="P22" s="5">
        <f t="shared" ca="1" si="15"/>
        <v>655.43295999999998</v>
      </c>
      <c r="Q22" s="5">
        <f t="shared" ca="1" si="16"/>
        <v>658.23289</v>
      </c>
      <c r="R22" s="5">
        <f t="shared" ca="1" si="17"/>
        <v>655.43295999999998</v>
      </c>
      <c r="S22" s="5">
        <f t="shared" ca="1" si="18"/>
        <v>657.41200000000003</v>
      </c>
      <c r="T22" s="5">
        <f t="shared" ca="1" si="19"/>
        <v>655.43907999999999</v>
      </c>
      <c r="U22" s="5">
        <f t="shared" ca="1" si="20"/>
        <v>658.23289</v>
      </c>
      <c r="W22" s="5">
        <f t="shared" ca="1" si="21"/>
        <v>657.36844600000006</v>
      </c>
      <c r="Y22" s="5">
        <f ca="1">Total!E22</f>
        <v>655.43295999999998</v>
      </c>
      <c r="AB22" s="5">
        <f t="shared" ca="1" si="1"/>
        <v>1.0791248581700892E-2</v>
      </c>
      <c r="AC22" s="5">
        <f t="shared" ca="1" si="2"/>
        <v>2.8848869608266272E-3</v>
      </c>
      <c r="AD22" s="5">
        <f t="shared" ca="1" si="3"/>
        <v>4.2718785457478634E-3</v>
      </c>
      <c r="AE22" s="5">
        <f t="shared" ca="1" si="4"/>
        <v>9.337339397777456E-6</v>
      </c>
      <c r="AF22" s="5">
        <f t="shared" ca="1" si="5"/>
        <v>0</v>
      </c>
      <c r="AG22" s="5">
        <f t="shared" ca="1" si="6"/>
        <v>4.2718785457478634E-3</v>
      </c>
      <c r="AH22" s="5">
        <f t="shared" ca="1" si="7"/>
        <v>0</v>
      </c>
      <c r="AI22" s="5">
        <f t="shared" ca="1" si="8"/>
        <v>3.0194392421157073E-3</v>
      </c>
      <c r="AJ22" s="5">
        <f t="shared" ca="1" si="9"/>
        <v>9.337339397777456E-6</v>
      </c>
      <c r="AK22" s="5">
        <f t="shared" ca="1" si="10"/>
        <v>4.2718785457478634E-3</v>
      </c>
      <c r="AM22" s="5">
        <f t="shared" ca="1" si="22"/>
        <v>2.9529885100682374E-2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1.7711600000000001</v>
      </c>
      <c r="F23" s="5">
        <v>315</v>
      </c>
      <c r="H23" s="5" t="s">
        <v>1</v>
      </c>
      <c r="I23" s="5">
        <v>50</v>
      </c>
      <c r="J23" s="5">
        <v>0.4</v>
      </c>
      <c r="L23" s="5">
        <f t="shared" ca="1" si="11"/>
        <v>1459.9687899999999</v>
      </c>
      <c r="M23" s="5">
        <f t="shared" ca="1" si="12"/>
        <v>1467.0879600000001</v>
      </c>
      <c r="N23" s="5">
        <f t="shared" ca="1" si="13"/>
        <v>1459.9687899999999</v>
      </c>
      <c r="O23" s="5">
        <f t="shared" ca="1" si="14"/>
        <v>1460.8056899999999</v>
      </c>
      <c r="P23" s="5">
        <f t="shared" ca="1" si="15"/>
        <v>1467.14011</v>
      </c>
      <c r="Q23" s="5">
        <f t="shared" ca="1" si="16"/>
        <v>1459.9687899999999</v>
      </c>
      <c r="R23" s="5">
        <f t="shared" ca="1" si="17"/>
        <v>1483.36385</v>
      </c>
      <c r="S23" s="5">
        <f t="shared" ca="1" si="18"/>
        <v>1459.9687899999999</v>
      </c>
      <c r="T23" s="5">
        <f t="shared" ca="1" si="19"/>
        <v>1483.36385</v>
      </c>
      <c r="U23" s="5">
        <f t="shared" ca="1" si="20"/>
        <v>1459.9687899999999</v>
      </c>
      <c r="W23" s="5">
        <f t="shared" ca="1" si="21"/>
        <v>1466.160541</v>
      </c>
      <c r="Y23" s="5">
        <f ca="1">Total!E23</f>
        <v>1459.9687899999999</v>
      </c>
      <c r="AB23" s="5">
        <f t="shared" ca="1" si="1"/>
        <v>0</v>
      </c>
      <c r="AC23" s="5">
        <f t="shared" ca="1" si="2"/>
        <v>4.87624807376887E-3</v>
      </c>
      <c r="AD23" s="5">
        <f t="shared" ca="1" si="3"/>
        <v>0</v>
      </c>
      <c r="AE23" s="5">
        <f t="shared" ca="1" si="4"/>
        <v>5.7323143188561874E-4</v>
      </c>
      <c r="AF23" s="5">
        <f t="shared" ca="1" si="5"/>
        <v>4.9119680154259679E-3</v>
      </c>
      <c r="AG23" s="5">
        <f t="shared" ca="1" si="6"/>
        <v>0</v>
      </c>
      <c r="AH23" s="5">
        <f t="shared" ca="1" si="7"/>
        <v>1.6024356246683916E-2</v>
      </c>
      <c r="AI23" s="5">
        <f t="shared" ca="1" si="8"/>
        <v>0</v>
      </c>
      <c r="AJ23" s="5">
        <f t="shared" ca="1" si="9"/>
        <v>1.6024356246683916E-2</v>
      </c>
      <c r="AK23" s="5">
        <f t="shared" ca="1" si="10"/>
        <v>0</v>
      </c>
      <c r="AM23" s="5">
        <f t="shared" ca="1" si="22"/>
        <v>4.2410160014448292E-2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1.77044</v>
      </c>
      <c r="F24" s="5">
        <v>325</v>
      </c>
      <c r="H24" s="5" t="s">
        <v>1</v>
      </c>
      <c r="I24" s="5">
        <v>50</v>
      </c>
      <c r="J24" s="5">
        <v>0.7</v>
      </c>
      <c r="L24" s="5">
        <f t="shared" ca="1" si="11"/>
        <v>1011.42058</v>
      </c>
      <c r="M24" s="5">
        <f t="shared" ca="1" si="12"/>
        <v>1018.40882</v>
      </c>
      <c r="N24" s="5">
        <f t="shared" ca="1" si="13"/>
        <v>1012.28611</v>
      </c>
      <c r="O24" s="5">
        <f t="shared" ca="1" si="14"/>
        <v>1019.0778</v>
      </c>
      <c r="P24" s="5">
        <f t="shared" ca="1" si="15"/>
        <v>1031.60328</v>
      </c>
      <c r="Q24" s="5">
        <f t="shared" ca="1" si="16"/>
        <v>1015.16903</v>
      </c>
      <c r="R24" s="5">
        <f t="shared" ca="1" si="17"/>
        <v>1012.05634</v>
      </c>
      <c r="S24" s="5">
        <f t="shared" ca="1" si="18"/>
        <v>1013.50597</v>
      </c>
      <c r="T24" s="5">
        <f t="shared" ca="1" si="19"/>
        <v>1023.09203</v>
      </c>
      <c r="U24" s="5">
        <f t="shared" ca="1" si="20"/>
        <v>1017.26257</v>
      </c>
      <c r="W24" s="5">
        <f t="shared" ca="1" si="21"/>
        <v>1017.3882530000001</v>
      </c>
      <c r="Y24" s="5">
        <f ca="1">Total!E24</f>
        <v>1005.95063</v>
      </c>
      <c r="AB24" s="5">
        <f t="shared" ca="1" si="1"/>
        <v>5.43759289658174E-3</v>
      </c>
      <c r="AC24" s="5">
        <f t="shared" ca="1" si="2"/>
        <v>1.2384494455756685E-2</v>
      </c>
      <c r="AD24" s="5">
        <f t="shared" ca="1" si="3"/>
        <v>6.2980029149143843E-3</v>
      </c>
      <c r="AE24" s="5">
        <f t="shared" ca="1" si="4"/>
        <v>1.3049517151751252E-2</v>
      </c>
      <c r="AF24" s="5">
        <f t="shared" ca="1" si="5"/>
        <v>2.5500903558259111E-2</v>
      </c>
      <c r="AG24" s="5">
        <f t="shared" ca="1" si="6"/>
        <v>9.1638692049926685E-3</v>
      </c>
      <c r="AH24" s="5">
        <f t="shared" ca="1" si="7"/>
        <v>6.0695921031432036E-3</v>
      </c>
      <c r="AI24" s="5">
        <f t="shared" ca="1" si="8"/>
        <v>7.5106469191236558E-3</v>
      </c>
      <c r="AJ24" s="5">
        <f t="shared" ca="1" si="9"/>
        <v>1.7040001257318142E-2</v>
      </c>
      <c r="AK24" s="5">
        <f t="shared" ca="1" si="10"/>
        <v>1.1245025016784309E-2</v>
      </c>
      <c r="AM24" s="5">
        <f t="shared" ca="1" si="22"/>
        <v>0.11369964547862516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1.7707999999999999</v>
      </c>
      <c r="F25" s="5">
        <v>322</v>
      </c>
      <c r="H25" s="5" t="s">
        <v>1</v>
      </c>
      <c r="I25" s="5">
        <v>50</v>
      </c>
      <c r="J25" s="5">
        <v>1</v>
      </c>
      <c r="L25" s="5">
        <f t="shared" ca="1" si="11"/>
        <v>1016.47721</v>
      </c>
      <c r="M25" s="5">
        <f t="shared" ca="1" si="12"/>
        <v>996.05565000000001</v>
      </c>
      <c r="N25" s="5">
        <f t="shared" ca="1" si="13"/>
        <v>1009.74791</v>
      </c>
      <c r="O25" s="5">
        <f t="shared" ca="1" si="14"/>
        <v>997.17963999999995</v>
      </c>
      <c r="P25" s="5">
        <f t="shared" ca="1" si="15"/>
        <v>995.43777</v>
      </c>
      <c r="Q25" s="5">
        <f t="shared" ca="1" si="16"/>
        <v>1002.75758</v>
      </c>
      <c r="R25" s="5">
        <f t="shared" ca="1" si="17"/>
        <v>1002.8246</v>
      </c>
      <c r="S25" s="5">
        <f t="shared" ca="1" si="18"/>
        <v>998.97820000000002</v>
      </c>
      <c r="T25" s="5">
        <f t="shared" ca="1" si="19"/>
        <v>1003.66</v>
      </c>
      <c r="U25" s="5">
        <f t="shared" ca="1" si="20"/>
        <v>1003.67988</v>
      </c>
      <c r="W25" s="5">
        <f t="shared" ca="1" si="21"/>
        <v>1002.6798439999999</v>
      </c>
      <c r="Y25" s="5">
        <f ca="1">Total!E25</f>
        <v>990.69820000000004</v>
      </c>
      <c r="AB25" s="5">
        <f t="shared" ca="1" si="1"/>
        <v>2.6021052627328858E-2</v>
      </c>
      <c r="AC25" s="5">
        <f t="shared" ca="1" si="2"/>
        <v>5.4077518259344481E-3</v>
      </c>
      <c r="AD25" s="5">
        <f t="shared" ca="1" si="3"/>
        <v>1.9228570315359413E-2</v>
      </c>
      <c r="AE25" s="5">
        <f t="shared" ca="1" si="4"/>
        <v>6.5422951207541376E-3</v>
      </c>
      <c r="AF25" s="5">
        <f t="shared" ca="1" si="5"/>
        <v>4.7840704666667986E-3</v>
      </c>
      <c r="AG25" s="5">
        <f t="shared" ca="1" si="6"/>
        <v>1.2172607157255275E-2</v>
      </c>
      <c r="AH25" s="5">
        <f t="shared" ca="1" si="7"/>
        <v>1.224025641714095E-2</v>
      </c>
      <c r="AI25" s="5">
        <f t="shared" ca="1" si="8"/>
        <v>8.3577420449537226E-3</v>
      </c>
      <c r="AJ25" s="5">
        <f t="shared" ca="1" si="9"/>
        <v>1.3083500101241655E-2</v>
      </c>
      <c r="AK25" s="5">
        <f t="shared" ca="1" si="10"/>
        <v>1.3103566757262689E-2</v>
      </c>
      <c r="AM25" s="5">
        <f t="shared" ca="1" si="22"/>
        <v>0.12094141283389795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1.77203</v>
      </c>
      <c r="F26" s="5">
        <v>328</v>
      </c>
      <c r="H26" s="5" t="s">
        <v>1</v>
      </c>
      <c r="I26" s="5">
        <v>100</v>
      </c>
      <c r="J26" s="5">
        <v>0.4</v>
      </c>
      <c r="L26" s="5">
        <f t="shared" ca="1" si="11"/>
        <v>1822.1684299999999</v>
      </c>
      <c r="M26" s="5">
        <f t="shared" ca="1" si="12"/>
        <v>1883.2118599999999</v>
      </c>
      <c r="N26" s="5">
        <f t="shared" ca="1" si="13"/>
        <v>1810.49379</v>
      </c>
      <c r="O26" s="5">
        <f t="shared" ca="1" si="14"/>
        <v>1845.8876299999999</v>
      </c>
      <c r="P26" s="5">
        <f t="shared" ca="1" si="15"/>
        <v>1839.00991</v>
      </c>
      <c r="Q26" s="5">
        <f t="shared" ca="1" si="16"/>
        <v>1836.19157</v>
      </c>
      <c r="R26" s="5">
        <f t="shared" ca="1" si="17"/>
        <v>1859.0645099999999</v>
      </c>
      <c r="S26" s="5">
        <f t="shared" ca="1" si="18"/>
        <v>1800.65093</v>
      </c>
      <c r="T26" s="5">
        <f t="shared" ca="1" si="19"/>
        <v>1835.1655900000001</v>
      </c>
      <c r="U26" s="5">
        <f t="shared" ca="1" si="20"/>
        <v>1837.5736899999999</v>
      </c>
      <c r="W26" s="5">
        <f t="shared" ca="1" si="21"/>
        <v>1836.941791</v>
      </c>
      <c r="Y26" s="5">
        <f ca="1">Total!E26</f>
        <v>1786.3248599999999</v>
      </c>
      <c r="AB26" s="5">
        <f t="shared" ca="1" si="1"/>
        <v>2.0065538359019423E-2</v>
      </c>
      <c r="AC26" s="5">
        <f t="shared" ca="1" si="2"/>
        <v>5.4238174796492476E-2</v>
      </c>
      <c r="AD26" s="5">
        <f t="shared" ca="1" si="3"/>
        <v>1.352997460943361E-2</v>
      </c>
      <c r="AE26" s="5">
        <f t="shared" ca="1" si="4"/>
        <v>3.3343750251563983E-2</v>
      </c>
      <c r="AF26" s="5">
        <f t="shared" ca="1" si="5"/>
        <v>2.9493543520409858E-2</v>
      </c>
      <c r="AG26" s="5">
        <f t="shared" ca="1" si="6"/>
        <v>2.7915812580697117E-2</v>
      </c>
      <c r="AH26" s="5">
        <f t="shared" ca="1" si="7"/>
        <v>4.0720280856417115E-2</v>
      </c>
      <c r="AI26" s="5">
        <f t="shared" ca="1" si="8"/>
        <v>8.0198570376499561E-3</v>
      </c>
      <c r="AJ26" s="5">
        <f t="shared" ca="1" si="9"/>
        <v>2.7341460164194392E-2</v>
      </c>
      <c r="AK26" s="5">
        <f t="shared" ca="1" si="10"/>
        <v>2.8689535228211514E-2</v>
      </c>
      <c r="AM26" s="5">
        <f t="shared" ca="1" si="22"/>
        <v>0.28335792740408938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1.7711699999999999</v>
      </c>
      <c r="F27" s="5">
        <v>330</v>
      </c>
      <c r="H27" s="5" t="s">
        <v>1</v>
      </c>
      <c r="I27" s="5">
        <v>100</v>
      </c>
      <c r="J27" s="5">
        <v>0.7</v>
      </c>
      <c r="L27" s="5">
        <f t="shared" ca="1" si="11"/>
        <v>1790.1395600000001</v>
      </c>
      <c r="M27" s="5">
        <f t="shared" ca="1" si="12"/>
        <v>1775.925</v>
      </c>
      <c r="N27" s="5">
        <f t="shared" ca="1" si="13"/>
        <v>1775.9965199999999</v>
      </c>
      <c r="O27" s="5">
        <f t="shared" ca="1" si="14"/>
        <v>1780.74</v>
      </c>
      <c r="P27" s="5">
        <f t="shared" ca="1" si="15"/>
        <v>1776.5788600000001</v>
      </c>
      <c r="Q27" s="5">
        <f t="shared" ca="1" si="16"/>
        <v>1773.25287</v>
      </c>
      <c r="R27" s="5">
        <f t="shared" ca="1" si="17"/>
        <v>1783.9087099999999</v>
      </c>
      <c r="S27" s="5">
        <f t="shared" ca="1" si="18"/>
        <v>1773.83376</v>
      </c>
      <c r="T27" s="5">
        <f t="shared" ca="1" si="19"/>
        <v>1773.46588</v>
      </c>
      <c r="U27" s="5">
        <f t="shared" ca="1" si="20"/>
        <v>1781.95667</v>
      </c>
      <c r="W27" s="5">
        <f t="shared" ca="1" si="21"/>
        <v>1778.5797829999999</v>
      </c>
      <c r="Y27" s="5">
        <f ca="1">Total!E27</f>
        <v>1761.02206</v>
      </c>
      <c r="AB27" s="5">
        <f t="shared" ca="1" si="1"/>
        <v>1.6534432283034584E-2</v>
      </c>
      <c r="AC27" s="5">
        <f t="shared" ca="1" si="2"/>
        <v>8.4626651411737249E-3</v>
      </c>
      <c r="AD27" s="5">
        <f t="shared" ca="1" si="3"/>
        <v>8.5032779203231042E-3</v>
      </c>
      <c r="AE27" s="5">
        <f t="shared" ca="1" si="4"/>
        <v>1.1196872797834229E-2</v>
      </c>
      <c r="AF27" s="5">
        <f t="shared" ca="1" si="5"/>
        <v>8.8339608874633095E-3</v>
      </c>
      <c r="AG27" s="5">
        <f t="shared" ca="1" si="6"/>
        <v>6.9452906228784092E-3</v>
      </c>
      <c r="AH27" s="5">
        <f t="shared" ca="1" si="7"/>
        <v>1.2996231290822056E-2</v>
      </c>
      <c r="AI27" s="5">
        <f t="shared" ca="1" si="8"/>
        <v>7.275150204535185E-3</v>
      </c>
      <c r="AJ27" s="5">
        <f t="shared" ca="1" si="9"/>
        <v>7.0662487896375132E-3</v>
      </c>
      <c r="AK27" s="5">
        <f t="shared" ca="1" si="10"/>
        <v>1.1887761360581719E-2</v>
      </c>
      <c r="AM27" s="5">
        <f t="shared" ca="1" si="22"/>
        <v>9.9701891298283843E-2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1.77329</v>
      </c>
      <c r="F28" s="5">
        <v>320</v>
      </c>
      <c r="H28" s="5" t="s">
        <v>1</v>
      </c>
      <c r="I28" s="5">
        <v>100</v>
      </c>
      <c r="J28" s="5">
        <v>1</v>
      </c>
      <c r="L28" s="5">
        <f t="shared" ca="1" si="11"/>
        <v>1757.4215200000001</v>
      </c>
      <c r="M28" s="5">
        <f t="shared" ca="1" si="12"/>
        <v>1757.0401999999999</v>
      </c>
      <c r="N28" s="5">
        <f t="shared" ca="1" si="13"/>
        <v>1757.08</v>
      </c>
      <c r="O28" s="5">
        <f t="shared" ca="1" si="14"/>
        <v>1756.7248500000001</v>
      </c>
      <c r="P28" s="5">
        <f t="shared" ca="1" si="15"/>
        <v>1756.34691</v>
      </c>
      <c r="Q28" s="5">
        <f t="shared" ca="1" si="16"/>
        <v>1754.2411999999999</v>
      </c>
      <c r="R28" s="5">
        <f t="shared" ca="1" si="17"/>
        <v>1757.07</v>
      </c>
      <c r="S28" s="5">
        <f t="shared" ca="1" si="18"/>
        <v>1754.5619099999999</v>
      </c>
      <c r="T28" s="5">
        <f t="shared" ca="1" si="19"/>
        <v>1757.4011700000001</v>
      </c>
      <c r="U28" s="5">
        <f t="shared" ca="1" si="20"/>
        <v>1757.8202000000001</v>
      </c>
      <c r="W28" s="5">
        <f t="shared" ca="1" si="21"/>
        <v>1756.570796</v>
      </c>
      <c r="Y28" s="5">
        <f ca="1">Total!E28</f>
        <v>1753.1198199999999</v>
      </c>
      <c r="AB28" s="5">
        <f t="shared" ca="1" si="1"/>
        <v>2.4537398704443433E-3</v>
      </c>
      <c r="AC28" s="5">
        <f t="shared" ca="1" si="2"/>
        <v>2.2362304933612712E-3</v>
      </c>
      <c r="AD28" s="5">
        <f t="shared" ca="1" si="3"/>
        <v>2.2589328777311052E-3</v>
      </c>
      <c r="AE28" s="5">
        <f t="shared" ca="1" si="4"/>
        <v>2.0563511739888777E-3</v>
      </c>
      <c r="AF28" s="5">
        <f t="shared" ca="1" si="5"/>
        <v>1.8407697883422991E-3</v>
      </c>
      <c r="AG28" s="5">
        <f t="shared" ca="1" si="6"/>
        <v>6.3964823579488409E-4</v>
      </c>
      <c r="AH28" s="5">
        <f t="shared" ca="1" si="7"/>
        <v>2.2532287610552747E-3</v>
      </c>
      <c r="AI28" s="5">
        <f t="shared" ca="1" si="8"/>
        <v>8.2258496170558811E-4</v>
      </c>
      <c r="AJ28" s="5">
        <f t="shared" ca="1" si="9"/>
        <v>2.4421319930090133E-3</v>
      </c>
      <c r="AK28" s="5">
        <f t="shared" ca="1" si="10"/>
        <v>2.6811515940765663E-3</v>
      </c>
      <c r="AM28" s="5">
        <f t="shared" ca="1" si="22"/>
        <v>1.968476974950922E-2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1.7690900000000001</v>
      </c>
      <c r="F29" s="5">
        <v>328</v>
      </c>
      <c r="H29" s="5" t="s">
        <v>0</v>
      </c>
      <c r="I29" s="5">
        <v>25</v>
      </c>
      <c r="J29" s="5">
        <v>0.4</v>
      </c>
      <c r="L29" s="5">
        <f t="shared" ca="1" si="11"/>
        <v>42.424349999999997</v>
      </c>
      <c r="M29" s="5">
        <f t="shared" ca="1" si="12"/>
        <v>41.318849999999998</v>
      </c>
      <c r="N29" s="5">
        <f t="shared" ca="1" si="13"/>
        <v>40.897550000000003</v>
      </c>
      <c r="O29" s="5">
        <f t="shared" ca="1" si="14"/>
        <v>40.897550000000003</v>
      </c>
      <c r="P29" s="5">
        <f t="shared" ca="1" si="15"/>
        <v>42.424349999999997</v>
      </c>
      <c r="Q29" s="5">
        <f t="shared" ca="1" si="16"/>
        <v>41.318849999999998</v>
      </c>
      <c r="R29" s="5">
        <f t="shared" ca="1" si="17"/>
        <v>41.318849999999998</v>
      </c>
      <c r="S29" s="5">
        <f t="shared" ca="1" si="18"/>
        <v>42.424349999999997</v>
      </c>
      <c r="T29" s="5">
        <f t="shared" ca="1" si="19"/>
        <v>42.424349999999997</v>
      </c>
      <c r="U29" s="5">
        <f t="shared" ca="1" si="20"/>
        <v>42.424349999999997</v>
      </c>
      <c r="W29" s="5">
        <f t="shared" ca="1" si="21"/>
        <v>41.78734</v>
      </c>
      <c r="Y29" s="5">
        <f ca="1">Total!E29</f>
        <v>40.897550000000003</v>
      </c>
      <c r="AB29" s="5">
        <f t="shared" ca="1" si="1"/>
        <v>3.7332309637129711E-2</v>
      </c>
      <c r="AC29" s="5">
        <f t="shared" ca="1" si="2"/>
        <v>1.0301350569899543E-2</v>
      </c>
      <c r="AD29" s="5">
        <f t="shared" ca="1" si="3"/>
        <v>0</v>
      </c>
      <c r="AE29" s="5">
        <f t="shared" ca="1" si="4"/>
        <v>0</v>
      </c>
      <c r="AF29" s="5">
        <f t="shared" ca="1" si="5"/>
        <v>3.7332309637129711E-2</v>
      </c>
      <c r="AG29" s="5">
        <f t="shared" ca="1" si="6"/>
        <v>1.0301350569899543E-2</v>
      </c>
      <c r="AH29" s="5">
        <f t="shared" ca="1" si="7"/>
        <v>1.0301350569899543E-2</v>
      </c>
      <c r="AI29" s="5">
        <f t="shared" ca="1" si="8"/>
        <v>3.7332309637129711E-2</v>
      </c>
      <c r="AJ29" s="5">
        <f t="shared" ca="1" si="9"/>
        <v>3.7332309637129711E-2</v>
      </c>
      <c r="AK29" s="5">
        <f t="shared" ca="1" si="10"/>
        <v>3.7332309637129711E-2</v>
      </c>
      <c r="AM29" s="5">
        <f t="shared" ca="1" si="22"/>
        <v>0.21756559989534721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1.7713099999999999</v>
      </c>
      <c r="F30" s="5">
        <v>317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2"/>
        <v>28.65436</v>
      </c>
      <c r="N30" s="5">
        <f t="shared" ca="1" si="13"/>
        <v>28.65436</v>
      </c>
      <c r="O30" s="5">
        <f t="shared" ca="1" si="14"/>
        <v>28.65436</v>
      </c>
      <c r="P30" s="5">
        <f t="shared" ca="1" si="15"/>
        <v>28.65436</v>
      </c>
      <c r="Q30" s="5">
        <f t="shared" ca="1" si="16"/>
        <v>28.65436</v>
      </c>
      <c r="R30" s="5">
        <f t="shared" ca="1" si="17"/>
        <v>28.65436</v>
      </c>
      <c r="S30" s="5">
        <f t="shared" ca="1" si="18"/>
        <v>28.65436</v>
      </c>
      <c r="T30" s="5">
        <f t="shared" ca="1" si="19"/>
        <v>28.65436</v>
      </c>
      <c r="U30" s="5">
        <f t="shared" ca="1" si="20"/>
        <v>28.65436</v>
      </c>
      <c r="W30" s="5">
        <f t="shared" ca="1" si="21"/>
        <v>28.654360000000004</v>
      </c>
      <c r="Y30" s="5">
        <f ca="1">Total!E30</f>
        <v>28.65436</v>
      </c>
      <c r="AB30" s="5">
        <f t="shared" ca="1" si="1"/>
        <v>0</v>
      </c>
      <c r="AC30" s="5">
        <f t="shared" ca="1" si="2"/>
        <v>0</v>
      </c>
      <c r="AD30" s="5">
        <f t="shared" ca="1" si="3"/>
        <v>0</v>
      </c>
      <c r="AE30" s="5">
        <f t="shared" ca="1" si="4"/>
        <v>0</v>
      </c>
      <c r="AF30" s="5">
        <f t="shared" ca="1" si="5"/>
        <v>0</v>
      </c>
      <c r="AG30" s="5">
        <f t="shared" ca="1" si="6"/>
        <v>0</v>
      </c>
      <c r="AH30" s="5">
        <f t="shared" ca="1" si="7"/>
        <v>0</v>
      </c>
      <c r="AI30" s="5">
        <f t="shared" ca="1" si="8"/>
        <v>0</v>
      </c>
      <c r="AJ30" s="5">
        <f t="shared" ca="1" si="9"/>
        <v>0</v>
      </c>
      <c r="AK30" s="5">
        <f t="shared" ca="1" si="10"/>
        <v>0</v>
      </c>
      <c r="AM30" s="5">
        <f t="shared" ca="1" si="22"/>
        <v>0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1.2015100000000001</v>
      </c>
      <c r="F31" s="5">
        <v>77</v>
      </c>
      <c r="H31" s="5" t="s">
        <v>0</v>
      </c>
      <c r="I31" s="5">
        <v>25</v>
      </c>
      <c r="J31" s="5">
        <v>1</v>
      </c>
      <c r="L31" s="5">
        <f t="shared" ca="1" si="11"/>
        <v>28.587009999999999</v>
      </c>
      <c r="M31" s="5">
        <f t="shared" ca="1" si="12"/>
        <v>28.546240000000001</v>
      </c>
      <c r="N31" s="5">
        <f t="shared" ca="1" si="13"/>
        <v>28.592030000000001</v>
      </c>
      <c r="O31" s="5">
        <f t="shared" ca="1" si="14"/>
        <v>28.546240000000001</v>
      </c>
      <c r="P31" s="5">
        <f t="shared" ca="1" si="15"/>
        <v>28.587009999999999</v>
      </c>
      <c r="Q31" s="5">
        <f t="shared" ca="1" si="16"/>
        <v>28.602029999999999</v>
      </c>
      <c r="R31" s="5">
        <f t="shared" ca="1" si="17"/>
        <v>28.546240000000001</v>
      </c>
      <c r="S31" s="5">
        <f t="shared" ca="1" si="18"/>
        <v>28.602029999999999</v>
      </c>
      <c r="T31" s="5">
        <f t="shared" ca="1" si="19"/>
        <v>28.587009999999999</v>
      </c>
      <c r="U31" s="5">
        <f t="shared" ca="1" si="20"/>
        <v>28.546240000000001</v>
      </c>
      <c r="W31" s="5">
        <f t="shared" ca="1" si="21"/>
        <v>28.574208000000006</v>
      </c>
      <c r="Y31" s="5">
        <f ca="1">Total!E31</f>
        <v>28.504100000000001</v>
      </c>
      <c r="AB31" s="5">
        <f t="shared" ca="1" si="1"/>
        <v>2.9087043618285882E-3</v>
      </c>
      <c r="AC31" s="5">
        <f t="shared" ca="1" si="2"/>
        <v>1.4783838114516804E-3</v>
      </c>
      <c r="AD31" s="5">
        <f t="shared" ca="1" si="3"/>
        <v>3.0848193768615766E-3</v>
      </c>
      <c r="AE31" s="5">
        <f t="shared" ca="1" si="4"/>
        <v>1.4783838114516804E-3</v>
      </c>
      <c r="AF31" s="5">
        <f t="shared" ca="1" si="5"/>
        <v>2.9087043618285882E-3</v>
      </c>
      <c r="AG31" s="5">
        <f t="shared" ca="1" si="6"/>
        <v>3.4356461000346642E-3</v>
      </c>
      <c r="AH31" s="5">
        <f t="shared" ca="1" si="7"/>
        <v>1.4783838114516804E-3</v>
      </c>
      <c r="AI31" s="5">
        <f t="shared" ca="1" si="8"/>
        <v>3.4356461000346642E-3</v>
      </c>
      <c r="AJ31" s="5">
        <f t="shared" ca="1" si="9"/>
        <v>2.9087043618285882E-3</v>
      </c>
      <c r="AK31" s="5">
        <f t="shared" ca="1" si="10"/>
        <v>1.4783838114516804E-3</v>
      </c>
      <c r="AM31" s="5">
        <f t="shared" ca="1" si="22"/>
        <v>2.4595759908223391E-2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1.20242</v>
      </c>
      <c r="F32" s="5">
        <v>93</v>
      </c>
      <c r="H32" s="5" t="s">
        <v>0</v>
      </c>
      <c r="I32" s="5">
        <v>50</v>
      </c>
      <c r="J32" s="5">
        <v>0.4</v>
      </c>
      <c r="L32" s="5">
        <f t="shared" ca="1" si="11"/>
        <v>59.001019999999997</v>
      </c>
      <c r="M32" s="5">
        <f t="shared" ca="1" si="12"/>
        <v>59.072850000000003</v>
      </c>
      <c r="N32" s="5">
        <f t="shared" ca="1" si="13"/>
        <v>59.18618</v>
      </c>
      <c r="O32" s="5">
        <f t="shared" ca="1" si="14"/>
        <v>59.081020000000002</v>
      </c>
      <c r="P32" s="5">
        <f t="shared" ca="1" si="15"/>
        <v>59.136180000000003</v>
      </c>
      <c r="Q32" s="5">
        <f t="shared" ca="1" si="16"/>
        <v>59.062849999999997</v>
      </c>
      <c r="R32" s="5">
        <f t="shared" ca="1" si="17"/>
        <v>59.165979999999998</v>
      </c>
      <c r="S32" s="5">
        <f t="shared" ca="1" si="18"/>
        <v>56.791339999999998</v>
      </c>
      <c r="T32" s="5">
        <f t="shared" ca="1" si="19"/>
        <v>59.136180000000003</v>
      </c>
      <c r="U32" s="5">
        <f t="shared" ca="1" si="20"/>
        <v>59.072850000000003</v>
      </c>
      <c r="W32" s="5">
        <f t="shared" ca="1" si="21"/>
        <v>58.870645000000003</v>
      </c>
      <c r="Y32" s="5">
        <f ca="1">Total!E32</f>
        <v>56.511339999999997</v>
      </c>
      <c r="AB32" s="5">
        <f t="shared" ca="1" si="1"/>
        <v>4.4056290295009813E-2</v>
      </c>
      <c r="AC32" s="5">
        <f t="shared" ca="1" si="2"/>
        <v>4.5327362614300169E-2</v>
      </c>
      <c r="AD32" s="5">
        <f t="shared" ca="1" si="3"/>
        <v>4.7332800814845366E-2</v>
      </c>
      <c r="AE32" s="5">
        <f t="shared" ca="1" si="4"/>
        <v>4.5471935367308675E-2</v>
      </c>
      <c r="AF32" s="5">
        <f t="shared" ca="1" si="5"/>
        <v>4.6448022644658686E-2</v>
      </c>
      <c r="AG32" s="5">
        <f t="shared" ca="1" si="6"/>
        <v>4.5150406980262729E-2</v>
      </c>
      <c r="AH32" s="5">
        <f t="shared" ca="1" si="7"/>
        <v>4.6975350434089881E-2</v>
      </c>
      <c r="AI32" s="5">
        <f t="shared" ca="1" si="8"/>
        <v>4.9547577530456924E-3</v>
      </c>
      <c r="AJ32" s="5">
        <f t="shared" ca="1" si="9"/>
        <v>4.6448022644658686E-2</v>
      </c>
      <c r="AK32" s="5">
        <f t="shared" ca="1" si="10"/>
        <v>4.5327362614300169E-2</v>
      </c>
      <c r="AM32" s="5">
        <f t="shared" ca="1" si="22"/>
        <v>0.41749231216247989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1.20329</v>
      </c>
      <c r="F33" s="5">
        <v>90</v>
      </c>
      <c r="H33" s="5" t="s">
        <v>0</v>
      </c>
      <c r="I33" s="5">
        <v>50</v>
      </c>
      <c r="J33" s="5">
        <v>0.7</v>
      </c>
      <c r="L33" s="5">
        <f t="shared" ca="1" si="11"/>
        <v>53.545070000000003</v>
      </c>
      <c r="M33" s="5">
        <f t="shared" ca="1" si="12"/>
        <v>53.652659999999997</v>
      </c>
      <c r="N33" s="5">
        <f t="shared" ca="1" si="13"/>
        <v>54.009160000000001</v>
      </c>
      <c r="O33" s="5">
        <f t="shared" ca="1" si="14"/>
        <v>53.872750000000003</v>
      </c>
      <c r="P33" s="5">
        <f t="shared" ca="1" si="15"/>
        <v>53.262659999999997</v>
      </c>
      <c r="Q33" s="5">
        <f t="shared" ca="1" si="16"/>
        <v>54.031979999999997</v>
      </c>
      <c r="R33" s="5">
        <f t="shared" ca="1" si="17"/>
        <v>53.826079999999997</v>
      </c>
      <c r="S33" s="5">
        <f t="shared" ca="1" si="18"/>
        <v>53.272060000000003</v>
      </c>
      <c r="T33" s="5">
        <f t="shared" ca="1" si="19"/>
        <v>53.666080000000001</v>
      </c>
      <c r="U33" s="5">
        <f t="shared" ca="1" si="20"/>
        <v>53.879219999999997</v>
      </c>
      <c r="W33" s="5">
        <f t="shared" ca="1" si="21"/>
        <v>53.701772000000005</v>
      </c>
      <c r="Y33" s="5">
        <f ca="1">Total!E33</f>
        <v>53.115070000000003</v>
      </c>
      <c r="AB33" s="5">
        <f t="shared" ca="1" si="1"/>
        <v>8.095630863331248E-3</v>
      </c>
      <c r="AC33" s="5">
        <f t="shared" ca="1" si="2"/>
        <v>1.0121233013530706E-2</v>
      </c>
      <c r="AD33" s="5">
        <f t="shared" ca="1" si="3"/>
        <v>1.6833075810687975E-2</v>
      </c>
      <c r="AE33" s="5">
        <f t="shared" ca="1" si="4"/>
        <v>1.4264878122160067E-2</v>
      </c>
      <c r="AF33" s="5">
        <f t="shared" ca="1" si="5"/>
        <v>2.7786840909744424E-3</v>
      </c>
      <c r="AG33" s="5">
        <f t="shared" ca="1" si="6"/>
        <v>1.7262709057900033E-2</v>
      </c>
      <c r="AH33" s="5">
        <f t="shared" ca="1" si="7"/>
        <v>1.3386219767760723E-2</v>
      </c>
      <c r="AI33" s="5">
        <f t="shared" ca="1" si="8"/>
        <v>2.9556583470566901E-3</v>
      </c>
      <c r="AJ33" s="5">
        <f t="shared" ca="1" si="9"/>
        <v>1.0373892004660787E-2</v>
      </c>
      <c r="AK33" s="5">
        <f t="shared" ca="1" si="10"/>
        <v>1.4386689126080293E-2</v>
      </c>
      <c r="AM33" s="5">
        <f t="shared" ca="1" si="22"/>
        <v>0.11045867020414295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1.2063299999999999</v>
      </c>
      <c r="F34" s="5">
        <v>87</v>
      </c>
      <c r="H34" s="5" t="s">
        <v>0</v>
      </c>
      <c r="I34" s="5">
        <v>50</v>
      </c>
      <c r="J34" s="5">
        <v>1</v>
      </c>
      <c r="L34" s="5">
        <f t="shared" ca="1" si="11"/>
        <v>53.498109999999997</v>
      </c>
      <c r="M34" s="5">
        <f t="shared" ca="1" si="12"/>
        <v>53.307569999999998</v>
      </c>
      <c r="N34" s="5">
        <f t="shared" ca="1" si="13"/>
        <v>53.282409999999999</v>
      </c>
      <c r="O34" s="5">
        <f t="shared" ca="1" si="14"/>
        <v>53.48218</v>
      </c>
      <c r="P34" s="5">
        <f t="shared" ca="1" si="15"/>
        <v>53.503790000000002</v>
      </c>
      <c r="Q34" s="5">
        <f t="shared" ca="1" si="16"/>
        <v>53.237490000000001</v>
      </c>
      <c r="R34" s="5">
        <f t="shared" ca="1" si="17"/>
        <v>53.26108</v>
      </c>
      <c r="S34" s="5">
        <f t="shared" ca="1" si="18"/>
        <v>53.38749</v>
      </c>
      <c r="T34" s="5">
        <f t="shared" ca="1" si="19"/>
        <v>53.45241</v>
      </c>
      <c r="U34" s="5">
        <f t="shared" ca="1" si="20"/>
        <v>53.20749</v>
      </c>
      <c r="W34" s="5">
        <f t="shared" ca="1" si="21"/>
        <v>53.362001999999997</v>
      </c>
      <c r="Y34" s="5">
        <f ca="1">Total!E34</f>
        <v>53.003740000000001</v>
      </c>
      <c r="AB34" s="5">
        <f t="shared" ca="1" si="1"/>
        <v>9.3270776741414176E-3</v>
      </c>
      <c r="AC34" s="5">
        <f t="shared" ca="1" si="2"/>
        <v>5.7322370081808911E-3</v>
      </c>
      <c r="AD34" s="5">
        <f t="shared" ca="1" si="3"/>
        <v>5.2575535235815096E-3</v>
      </c>
      <c r="AE34" s="5">
        <f t="shared" ca="1" si="4"/>
        <v>9.0265328446633968E-3</v>
      </c>
      <c r="AF34" s="5">
        <f t="shared" ca="1" si="5"/>
        <v>9.4342399234469427E-3</v>
      </c>
      <c r="AG34" s="5">
        <f t="shared" ca="1" si="6"/>
        <v>4.410066157595682E-3</v>
      </c>
      <c r="AH34" s="5">
        <f t="shared" ca="1" si="7"/>
        <v>4.8551290908905526E-3</v>
      </c>
      <c r="AI34" s="5">
        <f t="shared" ca="1" si="8"/>
        <v>7.2400551357319149E-3</v>
      </c>
      <c r="AJ34" s="5">
        <f t="shared" ca="1" si="9"/>
        <v>8.4648743654693031E-3</v>
      </c>
      <c r="AK34" s="5">
        <f t="shared" ca="1" si="10"/>
        <v>3.8440683619684088E-3</v>
      </c>
      <c r="AM34" s="5">
        <f t="shared" ca="1" si="22"/>
        <v>6.7591834085670016E-2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1.2055199999999999</v>
      </c>
      <c r="F35" s="5">
        <v>92</v>
      </c>
      <c r="H35" s="5" t="s">
        <v>0</v>
      </c>
      <c r="I35" s="5">
        <v>100</v>
      </c>
      <c r="J35" s="5">
        <v>0.4</v>
      </c>
      <c r="L35" s="5">
        <f t="shared" ca="1" si="11"/>
        <v>148.18228999999999</v>
      </c>
      <c r="M35" s="5">
        <f t="shared" ca="1" si="12"/>
        <v>148.19496000000001</v>
      </c>
      <c r="N35" s="5">
        <f t="shared" ca="1" si="13"/>
        <v>148.18950000000001</v>
      </c>
      <c r="O35" s="5">
        <f t="shared" ca="1" si="14"/>
        <v>148.2895</v>
      </c>
      <c r="P35" s="5">
        <f t="shared" ca="1" si="15"/>
        <v>148.18069</v>
      </c>
      <c r="Q35" s="5">
        <f t="shared" ca="1" si="16"/>
        <v>148.22736</v>
      </c>
      <c r="R35" s="5">
        <f t="shared" ca="1" si="17"/>
        <v>148.20320000000001</v>
      </c>
      <c r="S35" s="5">
        <f t="shared" ca="1" si="18"/>
        <v>148.24986999999999</v>
      </c>
      <c r="T35" s="5">
        <f t="shared" ca="1" si="19"/>
        <v>148.29496</v>
      </c>
      <c r="U35" s="5">
        <f t="shared" ca="1" si="20"/>
        <v>148.21986999999999</v>
      </c>
      <c r="W35" s="5">
        <f t="shared" ca="1" si="21"/>
        <v>148.22321999999997</v>
      </c>
      <c r="Y35" s="5">
        <f ca="1">Total!E35</f>
        <v>147.96312</v>
      </c>
      <c r="AB35" s="5">
        <f t="shared" ca="1" si="1"/>
        <v>1.4812474892391509E-3</v>
      </c>
      <c r="AC35" s="5">
        <f t="shared" ca="1" si="2"/>
        <v>1.5668769352795843E-3</v>
      </c>
      <c r="AD35" s="5">
        <f t="shared" ca="1" si="3"/>
        <v>1.5299758480356862E-3</v>
      </c>
      <c r="AE35" s="5">
        <f t="shared" ca="1" si="4"/>
        <v>2.2058199367518089E-3</v>
      </c>
      <c r="AF35" s="5">
        <f t="shared" ca="1" si="5"/>
        <v>1.4704339838197175E-3</v>
      </c>
      <c r="AG35" s="5">
        <f t="shared" ca="1" si="6"/>
        <v>1.7858504200235904E-3</v>
      </c>
      <c r="AH35" s="5">
        <f t="shared" ca="1" si="7"/>
        <v>1.6225664881898006E-3</v>
      </c>
      <c r="AI35" s="5">
        <f t="shared" ca="1" si="8"/>
        <v>1.9379829243934815E-3</v>
      </c>
      <c r="AJ35" s="5">
        <f t="shared" ca="1" si="9"/>
        <v>2.2427210239957069E-3</v>
      </c>
      <c r="AK35" s="5">
        <f t="shared" ca="1" si="10"/>
        <v>1.7352296977786255E-3</v>
      </c>
      <c r="AM35" s="5">
        <f t="shared" ca="1" si="22"/>
        <v>1.757870474750715E-2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1.2092000000000001</v>
      </c>
      <c r="F36" s="5">
        <v>87</v>
      </c>
      <c r="H36" s="5" t="s">
        <v>0</v>
      </c>
      <c r="I36" s="5">
        <v>100</v>
      </c>
      <c r="J36" s="5">
        <v>0.7</v>
      </c>
      <c r="L36" s="5">
        <f t="shared" ca="1" si="11"/>
        <v>108.47177000000001</v>
      </c>
      <c r="M36" s="5">
        <f t="shared" ca="1" si="12"/>
        <v>108.24314</v>
      </c>
      <c r="N36" s="5">
        <f t="shared" ca="1" si="13"/>
        <v>108.09950000000001</v>
      </c>
      <c r="O36" s="5">
        <f t="shared" ca="1" si="14"/>
        <v>108.0141</v>
      </c>
      <c r="P36" s="5">
        <f t="shared" ca="1" si="15"/>
        <v>108.02003000000001</v>
      </c>
      <c r="Q36" s="5">
        <f t="shared" ca="1" si="16"/>
        <v>107.92503000000001</v>
      </c>
      <c r="R36" s="5">
        <f t="shared" ca="1" si="17"/>
        <v>108.57774999999999</v>
      </c>
      <c r="S36" s="5">
        <f t="shared" ca="1" si="18"/>
        <v>108.17404000000001</v>
      </c>
      <c r="T36" s="5">
        <f t="shared" ca="1" si="19"/>
        <v>107.78344</v>
      </c>
      <c r="U36" s="5">
        <f t="shared" ca="1" si="20"/>
        <v>108.40654000000001</v>
      </c>
      <c r="W36" s="5">
        <f t="shared" ca="1" si="21"/>
        <v>108.17153399999999</v>
      </c>
      <c r="Y36" s="5">
        <f ca="1">Total!E36</f>
        <v>107.28163000000001</v>
      </c>
      <c r="AB36" s="5">
        <f t="shared" ca="1" si="1"/>
        <v>1.1093604748548279E-2</v>
      </c>
      <c r="AC36" s="5">
        <f t="shared" ca="1" si="2"/>
        <v>8.9624850032572201E-3</v>
      </c>
      <c r="AD36" s="5">
        <f t="shared" ca="1" si="3"/>
        <v>7.6235791719421039E-3</v>
      </c>
      <c r="AE36" s="5">
        <f t="shared" ca="1" si="4"/>
        <v>6.8275435412380675E-3</v>
      </c>
      <c r="AF36" s="5">
        <f t="shared" ca="1" si="5"/>
        <v>6.8828186148923963E-3</v>
      </c>
      <c r="AG36" s="5">
        <f t="shared" ca="1" si="6"/>
        <v>5.9972988851865854E-3</v>
      </c>
      <c r="AH36" s="5">
        <f t="shared" ca="1" si="7"/>
        <v>1.2081471916487358E-2</v>
      </c>
      <c r="AI36" s="5">
        <f t="shared" ca="1" si="8"/>
        <v>8.3183859156502199E-3</v>
      </c>
      <c r="AJ36" s="5">
        <f t="shared" ca="1" si="9"/>
        <v>4.6775016375123291E-3</v>
      </c>
      <c r="AK36" s="5">
        <f t="shared" ca="1" si="10"/>
        <v>1.0485578938351326E-2</v>
      </c>
      <c r="AM36" s="5">
        <f t="shared" ca="1" si="22"/>
        <v>8.2950268373065891E-2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1.2019200000000001</v>
      </c>
      <c r="F37" s="5">
        <v>87</v>
      </c>
      <c r="H37" s="5" t="s">
        <v>0</v>
      </c>
      <c r="I37" s="5">
        <v>100</v>
      </c>
      <c r="J37" s="5">
        <v>1</v>
      </c>
      <c r="L37" s="5">
        <f t="shared" ca="1" si="11"/>
        <v>103.93525</v>
      </c>
      <c r="M37" s="5">
        <f t="shared" ca="1" si="12"/>
        <v>103.93919</v>
      </c>
      <c r="N37" s="5">
        <f t="shared" ca="1" si="13"/>
        <v>104.01663000000001</v>
      </c>
      <c r="O37" s="5">
        <f t="shared" ca="1" si="14"/>
        <v>103.95919000000001</v>
      </c>
      <c r="P37" s="5">
        <f t="shared" ca="1" si="15"/>
        <v>103.89006999999999</v>
      </c>
      <c r="Q37" s="5">
        <f t="shared" ca="1" si="16"/>
        <v>103.87174</v>
      </c>
      <c r="R37" s="5">
        <f t="shared" ca="1" si="17"/>
        <v>104.03579999999999</v>
      </c>
      <c r="S37" s="5">
        <f t="shared" ca="1" si="18"/>
        <v>104.04496</v>
      </c>
      <c r="T37" s="5">
        <f t="shared" ca="1" si="19"/>
        <v>104.08747</v>
      </c>
      <c r="U37" s="5">
        <f t="shared" ca="1" si="20"/>
        <v>103.96414</v>
      </c>
      <c r="W37" s="5">
        <f t="shared" ca="1" si="21"/>
        <v>103.97444400000002</v>
      </c>
      <c r="Y37" s="5">
        <f ca="1">Total!E37</f>
        <v>103.21266</v>
      </c>
      <c r="AB37" s="5">
        <f t="shared" ca="1" si="1"/>
        <v>7.0009822438448612E-3</v>
      </c>
      <c r="AC37" s="5">
        <f t="shared" ca="1" si="2"/>
        <v>7.0391558554928901E-3</v>
      </c>
      <c r="AD37" s="5">
        <f t="shared" ca="1" si="3"/>
        <v>7.7894514103212407E-3</v>
      </c>
      <c r="AE37" s="5">
        <f t="shared" ca="1" si="4"/>
        <v>7.232930533909377E-3</v>
      </c>
      <c r="AF37" s="5">
        <f t="shared" ca="1" si="5"/>
        <v>6.5632452453022209E-3</v>
      </c>
      <c r="AG37" s="5">
        <f t="shared" ca="1" si="6"/>
        <v>6.3856507525336817E-3</v>
      </c>
      <c r="AH37" s="5">
        <f t="shared" ca="1" si="7"/>
        <v>7.9751844395832359E-3</v>
      </c>
      <c r="AI37" s="5">
        <f t="shared" ca="1" si="8"/>
        <v>8.0639332422980242E-3</v>
      </c>
      <c r="AJ37" s="5">
        <f t="shared" ca="1" si="9"/>
        <v>8.475801321271988E-3</v>
      </c>
      <c r="AK37" s="5">
        <f t="shared" ca="1" si="10"/>
        <v>7.2808897668173731E-3</v>
      </c>
      <c r="AM37" s="5">
        <f t="shared" ca="1" si="22"/>
        <v>7.3807224811374889E-2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1.2066399999999999</v>
      </c>
      <c r="F38" s="5">
        <v>86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2"/>
        <v>1796.83125</v>
      </c>
      <c r="N38" s="5">
        <f t="shared" ca="1" si="13"/>
        <v>1796.83125</v>
      </c>
      <c r="O38" s="5">
        <f t="shared" ca="1" si="14"/>
        <v>1796.83125</v>
      </c>
      <c r="P38" s="5">
        <f t="shared" ca="1" si="15"/>
        <v>1796.83125</v>
      </c>
      <c r="Q38" s="5">
        <f t="shared" ca="1" si="16"/>
        <v>1796.83125</v>
      </c>
      <c r="R38" s="5">
        <f t="shared" ca="1" si="17"/>
        <v>1796.83125</v>
      </c>
      <c r="S38" s="5">
        <f t="shared" ca="1" si="18"/>
        <v>1796.83125</v>
      </c>
      <c r="T38" s="5">
        <f t="shared" ca="1" si="19"/>
        <v>1796.83125</v>
      </c>
      <c r="U38" s="5">
        <f t="shared" ca="1" si="20"/>
        <v>1796.83125</v>
      </c>
      <c r="W38" s="5">
        <f t="shared" ca="1" si="21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22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1.2020900000000001</v>
      </c>
      <c r="F39" s="5">
        <v>89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2"/>
        <v>1469.6411000000001</v>
      </c>
      <c r="N39" s="5">
        <f t="shared" ca="1" si="13"/>
        <v>1469.6411000000001</v>
      </c>
      <c r="O39" s="5">
        <f t="shared" ca="1" si="14"/>
        <v>1469.6411000000001</v>
      </c>
      <c r="P39" s="5">
        <f t="shared" ca="1" si="15"/>
        <v>1469.6411000000001</v>
      </c>
      <c r="Q39" s="5">
        <f t="shared" ca="1" si="16"/>
        <v>1469.6411000000001</v>
      </c>
      <c r="R39" s="5">
        <f t="shared" ca="1" si="17"/>
        <v>1469.6411000000001</v>
      </c>
      <c r="S39" s="5">
        <f t="shared" ca="1" si="18"/>
        <v>1469.6411000000001</v>
      </c>
      <c r="T39" s="5">
        <f t="shared" ca="1" si="19"/>
        <v>1469.6411000000001</v>
      </c>
      <c r="U39" s="5">
        <f t="shared" ca="1" si="20"/>
        <v>1469.6411000000001</v>
      </c>
      <c r="W39" s="5">
        <f t="shared" ca="1" si="21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22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1.2055499999999999</v>
      </c>
      <c r="F40" s="5">
        <v>90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2"/>
        <v>1469.6411000000001</v>
      </c>
      <c r="N40" s="5">
        <f t="shared" ca="1" si="13"/>
        <v>1469.6411000000001</v>
      </c>
      <c r="O40" s="5">
        <f t="shared" ca="1" si="14"/>
        <v>1469.6411000000001</v>
      </c>
      <c r="P40" s="5">
        <f t="shared" ca="1" si="15"/>
        <v>1469.6411000000001</v>
      </c>
      <c r="Q40" s="5">
        <f t="shared" ca="1" si="16"/>
        <v>1469.6411000000001</v>
      </c>
      <c r="R40" s="5">
        <f t="shared" ca="1" si="17"/>
        <v>1469.6411000000001</v>
      </c>
      <c r="S40" s="5">
        <f t="shared" ca="1" si="18"/>
        <v>1469.6411000000001</v>
      </c>
      <c r="T40" s="5">
        <f t="shared" ca="1" si="19"/>
        <v>1469.6411000000001</v>
      </c>
      <c r="U40" s="5">
        <f t="shared" ca="1" si="20"/>
        <v>1469.6411000000001</v>
      </c>
      <c r="W40" s="5">
        <f t="shared" ca="1" si="21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22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2.8902800000000002</v>
      </c>
      <c r="F41" s="5">
        <v>223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2"/>
        <v>3085.9724099999999</v>
      </c>
      <c r="N41" s="5">
        <f t="shared" ca="1" si="13"/>
        <v>3085.9724099999999</v>
      </c>
      <c r="O41" s="5">
        <f t="shared" ca="1" si="14"/>
        <v>3085.9724099999999</v>
      </c>
      <c r="P41" s="5">
        <f t="shared" ca="1" si="15"/>
        <v>3085.9724099999999</v>
      </c>
      <c r="Q41" s="5">
        <f t="shared" ca="1" si="16"/>
        <v>3085.9724099999999</v>
      </c>
      <c r="R41" s="5">
        <f t="shared" ca="1" si="17"/>
        <v>3085.9724099999999</v>
      </c>
      <c r="S41" s="5">
        <f t="shared" ca="1" si="18"/>
        <v>3085.9724099999999</v>
      </c>
      <c r="T41" s="5">
        <f t="shared" ca="1" si="19"/>
        <v>3085.9724099999999</v>
      </c>
      <c r="U41" s="5">
        <f t="shared" ca="1" si="20"/>
        <v>3085.9724099999999</v>
      </c>
      <c r="W41" s="5">
        <f t="shared" ca="1" si="21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22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2.8893900000000001</v>
      </c>
      <c r="F42" s="5">
        <v>236</v>
      </c>
      <c r="H42" s="5" t="s">
        <v>28</v>
      </c>
      <c r="I42" s="5">
        <v>58</v>
      </c>
      <c r="J42" s="5">
        <v>0.7</v>
      </c>
      <c r="L42" s="5">
        <f t="shared" ca="1" si="11"/>
        <v>1547.1361300000001</v>
      </c>
      <c r="M42" s="5">
        <f t="shared" ca="1" si="12"/>
        <v>1547.1361300000001</v>
      </c>
      <c r="N42" s="5">
        <f t="shared" ca="1" si="13"/>
        <v>1547.1361300000001</v>
      </c>
      <c r="O42" s="5">
        <f t="shared" ca="1" si="14"/>
        <v>1547.1361300000001</v>
      </c>
      <c r="P42" s="5">
        <f t="shared" ca="1" si="15"/>
        <v>1547.1361300000001</v>
      </c>
      <c r="Q42" s="5">
        <f t="shared" ca="1" si="16"/>
        <v>1547.1361300000001</v>
      </c>
      <c r="R42" s="5">
        <f t="shared" ca="1" si="17"/>
        <v>1547.1361300000001</v>
      </c>
      <c r="S42" s="5">
        <f t="shared" ca="1" si="18"/>
        <v>1547.1361300000001</v>
      </c>
      <c r="T42" s="5">
        <f t="shared" ca="1" si="19"/>
        <v>1547.1361300000001</v>
      </c>
      <c r="U42" s="5">
        <f t="shared" ca="1" si="20"/>
        <v>1547.1361300000001</v>
      </c>
      <c r="W42" s="5">
        <f t="shared" ca="1" si="21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22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2.89893</v>
      </c>
      <c r="F43" s="5">
        <v>233</v>
      </c>
      <c r="H43" s="5" t="s">
        <v>28</v>
      </c>
      <c r="I43" s="5">
        <v>58</v>
      </c>
      <c r="J43" s="5">
        <v>1</v>
      </c>
      <c r="L43" s="5">
        <f t="shared" ca="1" si="11"/>
        <v>1546.5742299999999</v>
      </c>
      <c r="M43" s="5">
        <f t="shared" ca="1" si="12"/>
        <v>1546.5742299999999</v>
      </c>
      <c r="N43" s="5">
        <f t="shared" ca="1" si="13"/>
        <v>1546.5742299999999</v>
      </c>
      <c r="O43" s="5">
        <f t="shared" ca="1" si="14"/>
        <v>1546.5742299999999</v>
      </c>
      <c r="P43" s="5">
        <f t="shared" ca="1" si="15"/>
        <v>1546.5742299999999</v>
      </c>
      <c r="Q43" s="5">
        <f t="shared" ca="1" si="16"/>
        <v>1546.5742299999999</v>
      </c>
      <c r="R43" s="5">
        <f t="shared" ca="1" si="17"/>
        <v>1546.5742299999999</v>
      </c>
      <c r="S43" s="5">
        <f t="shared" ca="1" si="18"/>
        <v>1546.5742299999999</v>
      </c>
      <c r="T43" s="5">
        <f t="shared" ca="1" si="19"/>
        <v>1546.5742299999999</v>
      </c>
      <c r="U43" s="5">
        <f t="shared" ca="1" si="20"/>
        <v>1546.5742299999999</v>
      </c>
      <c r="W43" s="5">
        <f t="shared" ca="1" si="21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22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2.8972099999999998</v>
      </c>
      <c r="F44" s="5">
        <v>232</v>
      </c>
      <c r="H44" s="5" t="s">
        <v>28</v>
      </c>
      <c r="I44" s="5">
        <v>97</v>
      </c>
      <c r="J44" s="5">
        <v>0.4</v>
      </c>
      <c r="L44" s="5">
        <f t="shared" ca="1" si="11"/>
        <v>2521.7109399999999</v>
      </c>
      <c r="M44" s="5">
        <f t="shared" ca="1" si="12"/>
        <v>2521.7109399999999</v>
      </c>
      <c r="N44" s="5">
        <f t="shared" ca="1" si="13"/>
        <v>2521.7109399999999</v>
      </c>
      <c r="O44" s="5">
        <f t="shared" ca="1" si="14"/>
        <v>2521.7109399999999</v>
      </c>
      <c r="P44" s="5">
        <f t="shared" ca="1" si="15"/>
        <v>2521.7109399999999</v>
      </c>
      <c r="Q44" s="5">
        <f t="shared" ca="1" si="16"/>
        <v>2521.7109399999999</v>
      </c>
      <c r="R44" s="5">
        <f t="shared" ca="1" si="17"/>
        <v>2521.7109399999999</v>
      </c>
      <c r="S44" s="5">
        <f t="shared" ca="1" si="18"/>
        <v>2521.7109399999999</v>
      </c>
      <c r="T44" s="5">
        <f t="shared" ca="1" si="19"/>
        <v>2521.7109399999999</v>
      </c>
      <c r="U44" s="5">
        <f t="shared" ca="1" si="20"/>
        <v>2521.7109399999999</v>
      </c>
      <c r="W44" s="5">
        <f t="shared" ca="1" si="21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22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2.8894700000000002</v>
      </c>
      <c r="F45" s="5">
        <v>240</v>
      </c>
      <c r="H45" s="5" t="s">
        <v>28</v>
      </c>
      <c r="I45" s="5">
        <v>97</v>
      </c>
      <c r="J45" s="5">
        <v>0.7</v>
      </c>
      <c r="L45" s="5">
        <f t="shared" ca="1" si="11"/>
        <v>2068.0263799999998</v>
      </c>
      <c r="M45" s="5">
        <f t="shared" ca="1" si="12"/>
        <v>2068.0263799999998</v>
      </c>
      <c r="N45" s="5">
        <f t="shared" ca="1" si="13"/>
        <v>2068.0263799999998</v>
      </c>
      <c r="O45" s="5">
        <f t="shared" ca="1" si="14"/>
        <v>2068.0263799999998</v>
      </c>
      <c r="P45" s="5">
        <f t="shared" ca="1" si="15"/>
        <v>2068.0263799999998</v>
      </c>
      <c r="Q45" s="5">
        <f t="shared" ca="1" si="16"/>
        <v>2068.0263799999998</v>
      </c>
      <c r="R45" s="5">
        <f t="shared" ca="1" si="17"/>
        <v>2068.0263799999998</v>
      </c>
      <c r="S45" s="5">
        <f t="shared" ca="1" si="18"/>
        <v>2068.0263799999998</v>
      </c>
      <c r="T45" s="5">
        <f t="shared" ca="1" si="19"/>
        <v>2068.0263799999998</v>
      </c>
      <c r="U45" s="5">
        <f t="shared" ca="1" si="20"/>
        <v>2068.0263799999998</v>
      </c>
      <c r="W45" s="5">
        <f t="shared" ca="1" si="21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22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2.8974500000000001</v>
      </c>
      <c r="F46" s="5">
        <v>235</v>
      </c>
      <c r="H46" s="5" t="s">
        <v>28</v>
      </c>
      <c r="I46" s="5">
        <v>97</v>
      </c>
      <c r="J46" s="5">
        <v>1</v>
      </c>
      <c r="L46" s="5">
        <f t="shared" ca="1" si="11"/>
        <v>1960.05636</v>
      </c>
      <c r="M46" s="5">
        <f t="shared" ca="1" si="12"/>
        <v>1960.05636</v>
      </c>
      <c r="N46" s="5">
        <f t="shared" ca="1" si="13"/>
        <v>1960.05636</v>
      </c>
      <c r="O46" s="5">
        <f t="shared" ca="1" si="14"/>
        <v>1960.05636</v>
      </c>
      <c r="P46" s="5">
        <f t="shared" ca="1" si="15"/>
        <v>1960.05636</v>
      </c>
      <c r="Q46" s="5">
        <f t="shared" ca="1" si="16"/>
        <v>1960.05636</v>
      </c>
      <c r="R46" s="5">
        <f t="shared" ca="1" si="17"/>
        <v>1960.05636</v>
      </c>
      <c r="S46" s="5">
        <f t="shared" ca="1" si="18"/>
        <v>1960.05636</v>
      </c>
      <c r="T46" s="5">
        <f t="shared" ca="1" si="19"/>
        <v>1960.05636</v>
      </c>
      <c r="U46" s="5">
        <f t="shared" ca="1" si="20"/>
        <v>1960.05636</v>
      </c>
      <c r="W46" s="5">
        <f t="shared" ca="1" si="21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22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2.88985</v>
      </c>
      <c r="F47" s="5">
        <v>233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2.8990100000000001</v>
      </c>
      <c r="F48" s="5">
        <v>239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2.89072</v>
      </c>
      <c r="F49" s="5">
        <v>238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2.8895499999999998</v>
      </c>
      <c r="F50" s="5">
        <v>232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182.50635</v>
      </c>
      <c r="E51" s="5">
        <v>4.5954199999999998</v>
      </c>
      <c r="F51" s="5">
        <v>368</v>
      </c>
    </row>
    <row r="52" spans="1:6" x14ac:dyDescent="0.25">
      <c r="A52" s="5" t="s">
        <v>27</v>
      </c>
      <c r="B52" s="5">
        <v>50</v>
      </c>
      <c r="C52" s="5">
        <v>1</v>
      </c>
      <c r="D52" s="5">
        <v>179.94333</v>
      </c>
      <c r="E52" s="5">
        <v>4.59213</v>
      </c>
      <c r="F52" s="5">
        <v>366</v>
      </c>
    </row>
    <row r="53" spans="1:6" x14ac:dyDescent="0.25">
      <c r="A53" s="5" t="s">
        <v>27</v>
      </c>
      <c r="B53" s="5">
        <v>50</v>
      </c>
      <c r="C53" s="5">
        <v>1</v>
      </c>
      <c r="D53" s="5">
        <v>181.82816</v>
      </c>
      <c r="E53" s="5">
        <v>4.59171</v>
      </c>
      <c r="F53" s="5">
        <v>368</v>
      </c>
    </row>
    <row r="54" spans="1:6" x14ac:dyDescent="0.25">
      <c r="A54" s="5" t="s">
        <v>27</v>
      </c>
      <c r="B54" s="5">
        <v>50</v>
      </c>
      <c r="C54" s="5">
        <v>1</v>
      </c>
      <c r="D54" s="5">
        <v>179.67332999999999</v>
      </c>
      <c r="E54" s="5">
        <v>4.59816</v>
      </c>
      <c r="F54" s="5">
        <v>369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182.34583000000001</v>
      </c>
      <c r="E55" s="5">
        <v>4.5986700000000003</v>
      </c>
      <c r="F55" s="5">
        <v>371</v>
      </c>
    </row>
    <row r="56" spans="1:6" x14ac:dyDescent="0.25">
      <c r="A56" s="5" t="s">
        <v>27</v>
      </c>
      <c r="B56" s="5">
        <v>50</v>
      </c>
      <c r="C56" s="5">
        <v>1</v>
      </c>
      <c r="D56" s="5">
        <v>183.85667000000001</v>
      </c>
      <c r="E56" s="5">
        <v>4.5973300000000004</v>
      </c>
      <c r="F56" s="5">
        <v>373</v>
      </c>
    </row>
    <row r="57" spans="1:6" x14ac:dyDescent="0.25">
      <c r="A57" s="5" t="s">
        <v>27</v>
      </c>
      <c r="B57" s="5">
        <v>50</v>
      </c>
      <c r="C57" s="5">
        <v>1</v>
      </c>
      <c r="D57" s="5">
        <v>182.37333000000001</v>
      </c>
      <c r="E57" s="5">
        <v>4.6001700000000003</v>
      </c>
      <c r="F57" s="5">
        <v>373</v>
      </c>
    </row>
    <row r="58" spans="1:6" x14ac:dyDescent="0.25">
      <c r="A58" s="5" t="s">
        <v>27</v>
      </c>
      <c r="B58" s="5">
        <v>50</v>
      </c>
      <c r="C58" s="5">
        <v>1</v>
      </c>
      <c r="D58" s="5">
        <v>180.33332999999999</v>
      </c>
      <c r="E58" s="5">
        <v>4.60006</v>
      </c>
      <c r="F58" s="5">
        <v>371</v>
      </c>
    </row>
    <row r="59" spans="1:6" x14ac:dyDescent="0.25">
      <c r="A59" s="5" t="s">
        <v>27</v>
      </c>
      <c r="B59" s="5">
        <v>50</v>
      </c>
      <c r="C59" s="5">
        <v>1</v>
      </c>
      <c r="D59" s="5">
        <v>180.7679</v>
      </c>
      <c r="E59" s="5">
        <v>4.59842</v>
      </c>
      <c r="F59" s="5">
        <v>352</v>
      </c>
    </row>
    <row r="60" spans="1:6" x14ac:dyDescent="0.25">
      <c r="A60" s="5" t="s">
        <v>27</v>
      </c>
      <c r="B60" s="5">
        <v>50</v>
      </c>
      <c r="C60" s="5">
        <v>1</v>
      </c>
      <c r="D60" s="5">
        <v>182.34583000000001</v>
      </c>
      <c r="E60" s="5">
        <v>4.5983799999999997</v>
      </c>
      <c r="F60" s="5">
        <v>369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5.5973199999999999</v>
      </c>
      <c r="F61" s="5">
        <v>125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5.5963900000000004</v>
      </c>
      <c r="F62" s="5">
        <v>128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5.59389</v>
      </c>
      <c r="F63" s="5">
        <v>127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5.5891799999999998</v>
      </c>
      <c r="F64" s="5">
        <v>128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5.6171100000000003</v>
      </c>
      <c r="F65" s="5">
        <v>129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5.6025600000000004</v>
      </c>
      <c r="F66" s="5">
        <v>127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5.5946400000000001</v>
      </c>
      <c r="F67" s="5">
        <v>128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5.5877999999999997</v>
      </c>
      <c r="F68" s="5">
        <v>128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5.5870600000000001</v>
      </c>
      <c r="F69" s="5">
        <v>128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5.6085599999999998</v>
      </c>
      <c r="F70" s="5">
        <v>128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258.40852000000001</v>
      </c>
      <c r="E71" s="5">
        <v>11.67057</v>
      </c>
      <c r="F71" s="5">
        <v>262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255.89185000000001</v>
      </c>
      <c r="E72" s="5">
        <v>11.64879</v>
      </c>
      <c r="F72" s="5">
        <v>263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258.20184999999998</v>
      </c>
      <c r="E73" s="5">
        <v>11.65165</v>
      </c>
      <c r="F73" s="5">
        <v>262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256.27307000000002</v>
      </c>
      <c r="E74" s="5">
        <v>11.64723</v>
      </c>
      <c r="F74" s="5">
        <v>264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256.57808999999997</v>
      </c>
      <c r="E75" s="5">
        <v>11.67564</v>
      </c>
      <c r="F75" s="5">
        <v>264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259.85129000000001</v>
      </c>
      <c r="E76" s="5">
        <v>11.67066</v>
      </c>
      <c r="F76" s="5">
        <v>264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259.37536</v>
      </c>
      <c r="E77" s="5">
        <v>11.68154</v>
      </c>
      <c r="F77" s="5">
        <v>268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259.16523000000001</v>
      </c>
      <c r="E78" s="5">
        <v>11.66738</v>
      </c>
      <c r="F78" s="5">
        <v>266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256.74675000000002</v>
      </c>
      <c r="E79" s="5">
        <v>11.68183</v>
      </c>
      <c r="F79" s="5">
        <v>265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256.15800000000002</v>
      </c>
      <c r="E80" s="5">
        <v>11.67737</v>
      </c>
      <c r="F80" s="5">
        <v>267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239.30293</v>
      </c>
      <c r="E81" s="5">
        <v>30.145890000000001</v>
      </c>
      <c r="F81" s="5">
        <v>674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240.48</v>
      </c>
      <c r="E82" s="5">
        <v>30.141169999999999</v>
      </c>
      <c r="F82" s="5">
        <v>672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239.2439</v>
      </c>
      <c r="E83" s="5">
        <v>30.128530000000001</v>
      </c>
      <c r="F83" s="5">
        <v>677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239.24666999999999</v>
      </c>
      <c r="E84" s="5">
        <v>30.147020000000001</v>
      </c>
      <c r="F84" s="5">
        <v>671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239.41560999999999</v>
      </c>
      <c r="E85" s="5">
        <v>30.149709999999999</v>
      </c>
      <c r="F85" s="5">
        <v>684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239.39667</v>
      </c>
      <c r="E86" s="5">
        <v>30.144659999999998</v>
      </c>
      <c r="F86" s="5">
        <v>675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239.11873</v>
      </c>
      <c r="E87" s="5">
        <v>30.14181</v>
      </c>
      <c r="F87" s="5">
        <v>674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239.33</v>
      </c>
      <c r="E88" s="5">
        <v>30.137630000000001</v>
      </c>
      <c r="F88" s="5">
        <v>673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239.55</v>
      </c>
      <c r="E89" s="5">
        <v>30.15757</v>
      </c>
      <c r="F89" s="5">
        <v>679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239.25</v>
      </c>
      <c r="E90" s="5">
        <v>30.131779999999999</v>
      </c>
      <c r="F90" s="5">
        <v>672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0.58225000000000005</v>
      </c>
      <c r="F91" s="5">
        <v>99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0.58131999999999995</v>
      </c>
      <c r="F92" s="5">
        <v>154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0.58116000000000001</v>
      </c>
      <c r="F93" s="5">
        <v>154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0.58103000000000005</v>
      </c>
      <c r="F94" s="5">
        <v>157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0.58223000000000003</v>
      </c>
      <c r="F95" s="5">
        <v>161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0.58369000000000004</v>
      </c>
      <c r="F96" s="5">
        <v>159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0.58238000000000001</v>
      </c>
      <c r="F97" s="5">
        <v>158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0.5827</v>
      </c>
      <c r="F98" s="5">
        <v>139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0.58365</v>
      </c>
      <c r="F99" s="5">
        <v>158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0.58204999999999996</v>
      </c>
      <c r="F100" s="5">
        <v>160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0.73445000000000005</v>
      </c>
      <c r="F101" s="5">
        <v>203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0.73402999999999996</v>
      </c>
      <c r="F102" s="5">
        <v>178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0.73517999999999994</v>
      </c>
      <c r="F103" s="5">
        <v>199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0.73631999999999997</v>
      </c>
      <c r="F104" s="5">
        <v>202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0.73455999999999999</v>
      </c>
      <c r="F105" s="5">
        <v>200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0.73418000000000005</v>
      </c>
      <c r="F106" s="5">
        <v>178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0.73523000000000005</v>
      </c>
      <c r="F107" s="5">
        <v>199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0.73673</v>
      </c>
      <c r="F108" s="5">
        <v>203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0.73453000000000002</v>
      </c>
      <c r="F109" s="5">
        <v>200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0.73573</v>
      </c>
      <c r="F110" s="5">
        <v>200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1.2744800000000001</v>
      </c>
      <c r="F111" s="5">
        <v>316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1.27576</v>
      </c>
      <c r="F112" s="5">
        <v>341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1.2761499999999999</v>
      </c>
      <c r="F113" s="5">
        <v>323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1.2768699999999999</v>
      </c>
      <c r="F114" s="5">
        <v>340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1.2761400000000001</v>
      </c>
      <c r="F115" s="5">
        <v>335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1.27599</v>
      </c>
      <c r="F116" s="5">
        <v>309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1.2741400000000001</v>
      </c>
      <c r="F117" s="5">
        <v>341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1.2751999999999999</v>
      </c>
      <c r="F118" s="5">
        <v>338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1.2763100000000001</v>
      </c>
      <c r="F119" s="5">
        <v>332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1.2767599999999999</v>
      </c>
      <c r="F120" s="5">
        <v>310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4350.8413700000001</v>
      </c>
      <c r="E121" s="5">
        <v>1.9920100000000001</v>
      </c>
      <c r="F121" s="5">
        <v>182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4348.0289499999999</v>
      </c>
      <c r="E122" s="5">
        <v>1.99976</v>
      </c>
      <c r="F122" s="5">
        <v>183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4348.0289499999999</v>
      </c>
      <c r="E123" s="5">
        <v>1.9918800000000001</v>
      </c>
      <c r="F123" s="5">
        <v>189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4350.8413700000001</v>
      </c>
      <c r="E124" s="5">
        <v>2.00644</v>
      </c>
      <c r="F124" s="5">
        <v>189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4348.0289499999999</v>
      </c>
      <c r="E125" s="5">
        <v>1.99963</v>
      </c>
      <c r="F125" s="5">
        <v>192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4348.0289499999999</v>
      </c>
      <c r="E126" s="5">
        <v>1.99386</v>
      </c>
      <c r="F126" s="5">
        <v>192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1.9957100000000001</v>
      </c>
      <c r="F127" s="5">
        <v>191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1.9910699999999999</v>
      </c>
      <c r="F128" s="5">
        <v>189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1.99274</v>
      </c>
      <c r="F129" s="5">
        <v>186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4350.8413700000001</v>
      </c>
      <c r="E130" s="5">
        <v>1.99701</v>
      </c>
      <c r="F130" s="5">
        <v>196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2.8641200000000002</v>
      </c>
      <c r="F131" s="5">
        <v>262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2.86232</v>
      </c>
      <c r="F132" s="5">
        <v>272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2.8650799999999998</v>
      </c>
      <c r="F133" s="5">
        <v>268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2.8623400000000001</v>
      </c>
      <c r="F134" s="5">
        <v>272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2.86354</v>
      </c>
      <c r="F135" s="5">
        <v>266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2.8667199999999999</v>
      </c>
      <c r="F136" s="5">
        <v>269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2.8691800000000001</v>
      </c>
      <c r="F137" s="5">
        <v>271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2.8649900000000001</v>
      </c>
      <c r="F138" s="5">
        <v>263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2.8813300000000002</v>
      </c>
      <c r="F139" s="5">
        <v>266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2.8618399999999999</v>
      </c>
      <c r="F140" s="5">
        <v>266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3.5145499999999998</v>
      </c>
      <c r="F141" s="5">
        <v>320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3.5115599999999998</v>
      </c>
      <c r="F142" s="5">
        <v>336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3.5202100000000001</v>
      </c>
      <c r="F143" s="5">
        <v>336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3.5112899999999998</v>
      </c>
      <c r="F144" s="5">
        <v>334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3.5173899999999998</v>
      </c>
      <c r="F145" s="5">
        <v>320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3.51328</v>
      </c>
      <c r="F146" s="5">
        <v>324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3.51634</v>
      </c>
      <c r="F147" s="5">
        <v>330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3.51329</v>
      </c>
      <c r="F148" s="5">
        <v>329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3.5175299999999998</v>
      </c>
      <c r="F149" s="5">
        <v>333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3.5171199999999998</v>
      </c>
      <c r="F150" s="5">
        <v>329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42986.403050000001</v>
      </c>
      <c r="E151" s="5">
        <v>4.8878300000000001</v>
      </c>
      <c r="F151" s="5">
        <v>118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42986.403050000001</v>
      </c>
      <c r="E152" s="5">
        <v>4.9120400000000002</v>
      </c>
      <c r="F152" s="5">
        <v>119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42986.802479999998</v>
      </c>
      <c r="E153" s="5">
        <v>4.8946399999999999</v>
      </c>
      <c r="F153" s="5">
        <v>121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42986.403050000001</v>
      </c>
      <c r="E154" s="5">
        <v>4.9053800000000001</v>
      </c>
      <c r="F154" s="5">
        <v>120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42986.673049999998</v>
      </c>
      <c r="E155" s="5">
        <v>4.9183700000000004</v>
      </c>
      <c r="F155" s="5">
        <v>120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42986.403050000001</v>
      </c>
      <c r="E156" s="5">
        <v>4.8899100000000004</v>
      </c>
      <c r="F156" s="5">
        <v>121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42986.673049999998</v>
      </c>
      <c r="E157" s="5">
        <v>4.9036499999999998</v>
      </c>
      <c r="F157" s="5">
        <v>120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42986.673049999998</v>
      </c>
      <c r="E158" s="5">
        <v>4.8943199999999996</v>
      </c>
      <c r="F158" s="5">
        <v>119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42986.403050000001</v>
      </c>
      <c r="E159" s="5">
        <v>4.8948499999999999</v>
      </c>
      <c r="F159" s="5">
        <v>120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42986.57692</v>
      </c>
      <c r="E160" s="5">
        <v>4.9003100000000002</v>
      </c>
      <c r="F160" s="5">
        <v>120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35773.046139999999</v>
      </c>
      <c r="E161" s="5">
        <v>12.724489999999999</v>
      </c>
      <c r="F161" s="5">
        <v>300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35472.520859999997</v>
      </c>
      <c r="E162" s="5">
        <v>12.699920000000001</v>
      </c>
      <c r="F162" s="5">
        <v>299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35679.823190000003</v>
      </c>
      <c r="E163" s="5">
        <v>12.7295</v>
      </c>
      <c r="F163" s="5">
        <v>302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35582.59057</v>
      </c>
      <c r="E164" s="5">
        <v>12.700480000000001</v>
      </c>
      <c r="F164" s="5">
        <v>301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35686.662880000003</v>
      </c>
      <c r="E165" s="5">
        <v>12.7262</v>
      </c>
      <c r="F165" s="5">
        <v>297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35656.862520000002</v>
      </c>
      <c r="E166" s="5">
        <v>12.714650000000001</v>
      </c>
      <c r="F166" s="5">
        <v>300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35601.708429999999</v>
      </c>
      <c r="E167" s="5">
        <v>12.71143</v>
      </c>
      <c r="F167" s="5">
        <v>300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35652.717490000003</v>
      </c>
      <c r="E168" s="5">
        <v>12.7201</v>
      </c>
      <c r="F168" s="5">
        <v>300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35472.797440000002</v>
      </c>
      <c r="E169" s="5">
        <v>12.726929999999999</v>
      </c>
      <c r="F169" s="5">
        <v>304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35598.991699999999</v>
      </c>
      <c r="E170" s="5">
        <v>12.70087</v>
      </c>
      <c r="F170" s="5">
        <v>303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35295.870560000003</v>
      </c>
      <c r="E171" s="5">
        <v>28.513680000000001</v>
      </c>
      <c r="F171" s="5">
        <v>709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35246.492810000003</v>
      </c>
      <c r="E172" s="5">
        <v>28.483750000000001</v>
      </c>
      <c r="F172" s="5">
        <v>711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35270.773249999998</v>
      </c>
      <c r="E173" s="5">
        <v>28.498570000000001</v>
      </c>
      <c r="F173" s="5">
        <v>705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35265.343330000003</v>
      </c>
      <c r="E174" s="5">
        <v>28.505459999999999</v>
      </c>
      <c r="F174" s="5">
        <v>723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35381.821430000004</v>
      </c>
      <c r="E175" s="5">
        <v>28.50159</v>
      </c>
      <c r="F175" s="5">
        <v>718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35287.232770000002</v>
      </c>
      <c r="E176" s="5">
        <v>28.48546</v>
      </c>
      <c r="F176" s="5">
        <v>689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35283.337610000002</v>
      </c>
      <c r="E177" s="5">
        <v>28.503579999999999</v>
      </c>
      <c r="F177" s="5">
        <v>714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35287.88667</v>
      </c>
      <c r="E178" s="5">
        <v>28.510439999999999</v>
      </c>
      <c r="F178" s="5">
        <v>706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35311.428050000002</v>
      </c>
      <c r="E179" s="5">
        <v>28.48621</v>
      </c>
      <c r="F179" s="5">
        <v>698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35296.916469999996</v>
      </c>
      <c r="E180" s="5">
        <v>28.491949999999999</v>
      </c>
      <c r="F180" s="5">
        <v>713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0.73180999999999996</v>
      </c>
      <c r="F181" s="5">
        <v>120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0.73236000000000001</v>
      </c>
      <c r="F182" s="5">
        <v>140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0.73402999999999996</v>
      </c>
      <c r="F183" s="5">
        <v>140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0.73324</v>
      </c>
      <c r="F184" s="5">
        <v>127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0.73370999999999997</v>
      </c>
      <c r="F185" s="5">
        <v>146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0.73316999999999999</v>
      </c>
      <c r="F186" s="5">
        <v>138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0.73280999999999996</v>
      </c>
      <c r="F187" s="5">
        <v>146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0.73070999999999997</v>
      </c>
      <c r="F188" s="5">
        <v>147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0.73096000000000005</v>
      </c>
      <c r="F189" s="5">
        <v>146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0.73109999999999997</v>
      </c>
      <c r="F190" s="5">
        <v>128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677.26074000000006</v>
      </c>
      <c r="E191" s="5">
        <v>1.13679</v>
      </c>
      <c r="F191" s="5">
        <v>210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675.36989000000005</v>
      </c>
      <c r="E192" s="5">
        <v>1.13835</v>
      </c>
      <c r="F192" s="5">
        <v>229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675.36989000000005</v>
      </c>
      <c r="E193" s="5">
        <v>1.13795</v>
      </c>
      <c r="F193" s="5">
        <v>210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675.53859999999997</v>
      </c>
      <c r="E194" s="5">
        <v>1.13862</v>
      </c>
      <c r="F194" s="5">
        <v>226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675.36989000000005</v>
      </c>
      <c r="E195" s="5">
        <v>1.1382099999999999</v>
      </c>
      <c r="F195" s="5">
        <v>225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677.27696000000003</v>
      </c>
      <c r="E196" s="5">
        <v>1.13615</v>
      </c>
      <c r="F196" s="5">
        <v>228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675.36989000000005</v>
      </c>
      <c r="E197" s="5">
        <v>1.1391100000000001</v>
      </c>
      <c r="F197" s="5">
        <v>213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675.36581000000001</v>
      </c>
      <c r="E198" s="5">
        <v>1.13636</v>
      </c>
      <c r="F198" s="5">
        <v>222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675.36581000000001</v>
      </c>
      <c r="E199" s="5">
        <v>1.1357900000000001</v>
      </c>
      <c r="F199" s="5">
        <v>224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675.38611000000003</v>
      </c>
      <c r="E200" s="5">
        <v>1.13602</v>
      </c>
      <c r="F200" s="5">
        <v>210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662.5059</v>
      </c>
      <c r="E201" s="5">
        <v>2.0668199999999999</v>
      </c>
      <c r="F201" s="5">
        <v>381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657.32380999999998</v>
      </c>
      <c r="E202" s="5">
        <v>2.06684</v>
      </c>
      <c r="F202" s="5">
        <v>387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658.23289</v>
      </c>
      <c r="E203" s="5">
        <v>2.0682900000000002</v>
      </c>
      <c r="F203" s="5">
        <v>402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655.43907999999999</v>
      </c>
      <c r="E204" s="5">
        <v>2.0673499999999998</v>
      </c>
      <c r="F204" s="5">
        <v>380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655.43295999999998</v>
      </c>
      <c r="E205" s="5">
        <v>2.06671</v>
      </c>
      <c r="F205" s="5">
        <v>395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658.23289</v>
      </c>
      <c r="E206" s="5">
        <v>2.0663499999999999</v>
      </c>
      <c r="F206" s="5">
        <v>381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655.43295999999998</v>
      </c>
      <c r="E207" s="5">
        <v>2.0699800000000002</v>
      </c>
      <c r="F207" s="5">
        <v>393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657.41200000000003</v>
      </c>
      <c r="E208" s="5">
        <v>2.06982</v>
      </c>
      <c r="F208" s="5">
        <v>379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655.43907999999999</v>
      </c>
      <c r="E209" s="5">
        <v>2.0669599999999999</v>
      </c>
      <c r="F209" s="5">
        <v>397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658.23289</v>
      </c>
      <c r="E210" s="5">
        <v>2.0672199999999998</v>
      </c>
      <c r="F210" s="5">
        <v>389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1459.9687899999999</v>
      </c>
      <c r="E211" s="5">
        <v>1.5943000000000001</v>
      </c>
      <c r="F211" s="5">
        <v>126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1467.0879600000001</v>
      </c>
      <c r="E212" s="5">
        <v>1.58918</v>
      </c>
      <c r="F212" s="5">
        <v>143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1459.9687899999999</v>
      </c>
      <c r="E213" s="5">
        <v>1.58711</v>
      </c>
      <c r="F213" s="5">
        <v>143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1460.8056899999999</v>
      </c>
      <c r="E214" s="5">
        <v>1.59314</v>
      </c>
      <c r="F214" s="5">
        <v>135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1467.14011</v>
      </c>
      <c r="E215" s="5">
        <v>1.5932999999999999</v>
      </c>
      <c r="F215" s="5">
        <v>142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1459.9687899999999</v>
      </c>
      <c r="E216" s="5">
        <v>1.59239</v>
      </c>
      <c r="F216" s="5">
        <v>144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1483.36385</v>
      </c>
      <c r="E217" s="5">
        <v>1.5874600000000001</v>
      </c>
      <c r="F217" s="5">
        <v>137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1459.9687899999999</v>
      </c>
      <c r="E218" s="5">
        <v>1.59415</v>
      </c>
      <c r="F218" s="5">
        <v>128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1483.36385</v>
      </c>
      <c r="E219" s="5">
        <v>1.5916999999999999</v>
      </c>
      <c r="F219" s="5">
        <v>136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1459.9687899999999</v>
      </c>
      <c r="E220" s="5">
        <v>1.5930800000000001</v>
      </c>
      <c r="F220" s="5">
        <v>144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1011.42058</v>
      </c>
      <c r="E221" s="5">
        <v>4.5454999999999997</v>
      </c>
      <c r="F221" s="5">
        <v>406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1018.40882</v>
      </c>
      <c r="E222" s="5">
        <v>4.5470800000000002</v>
      </c>
      <c r="F222" s="5">
        <v>406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1012.28611</v>
      </c>
      <c r="E223" s="5">
        <v>4.5434000000000001</v>
      </c>
      <c r="F223" s="5">
        <v>406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1019.0778</v>
      </c>
      <c r="E224" s="5">
        <v>4.5453799999999998</v>
      </c>
      <c r="F224" s="5">
        <v>416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1031.60328</v>
      </c>
      <c r="E225" s="5">
        <v>4.54244</v>
      </c>
      <c r="F225" s="5">
        <v>413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1015.16903</v>
      </c>
      <c r="E226" s="5">
        <v>4.5417800000000002</v>
      </c>
      <c r="F226" s="5">
        <v>411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1012.05634</v>
      </c>
      <c r="E227" s="5">
        <v>4.5423200000000001</v>
      </c>
      <c r="F227" s="5">
        <v>398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1013.50597</v>
      </c>
      <c r="E228" s="5">
        <v>4.5463800000000001</v>
      </c>
      <c r="F228" s="5">
        <v>400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1023.09203</v>
      </c>
      <c r="E229" s="5">
        <v>4.5427499999999998</v>
      </c>
      <c r="F229" s="5">
        <v>404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1017.26257</v>
      </c>
      <c r="E230" s="5">
        <v>4.5498200000000004</v>
      </c>
      <c r="F230" s="5">
        <v>405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1016.47721</v>
      </c>
      <c r="E231" s="5">
        <v>8.38889</v>
      </c>
      <c r="F231" s="5">
        <v>748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996.05565000000001</v>
      </c>
      <c r="E232" s="5">
        <v>8.3935399999999998</v>
      </c>
      <c r="F232" s="5">
        <v>766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1009.74791</v>
      </c>
      <c r="E233" s="5">
        <v>8.3852499999999992</v>
      </c>
      <c r="F233" s="5">
        <v>742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997.17963999999995</v>
      </c>
      <c r="E234" s="5">
        <v>8.3879999999999999</v>
      </c>
      <c r="F234" s="5">
        <v>731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995.43777</v>
      </c>
      <c r="E235" s="5">
        <v>8.4435599999999997</v>
      </c>
      <c r="F235" s="5">
        <v>748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1002.75758</v>
      </c>
      <c r="E236" s="5">
        <v>8.3879000000000001</v>
      </c>
      <c r="F236" s="5">
        <v>744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1002.8246</v>
      </c>
      <c r="E237" s="5">
        <v>8.3892900000000008</v>
      </c>
      <c r="F237" s="5">
        <v>738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998.97820000000002</v>
      </c>
      <c r="E238" s="5">
        <v>8.3912499999999994</v>
      </c>
      <c r="F238" s="5">
        <v>740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1003.66</v>
      </c>
      <c r="E239" s="5">
        <v>8.3872599999999995</v>
      </c>
      <c r="F239" s="5">
        <v>762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1003.67988</v>
      </c>
      <c r="E240" s="5">
        <v>8.3862299999999994</v>
      </c>
      <c r="F240" s="5">
        <v>752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1822.1684299999999</v>
      </c>
      <c r="E241" s="5">
        <v>5.05464</v>
      </c>
      <c r="F241" s="5">
        <v>134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1883.2118599999999</v>
      </c>
      <c r="E242" s="5">
        <v>5.05525</v>
      </c>
      <c r="F242" s="5">
        <v>136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1810.49379</v>
      </c>
      <c r="E243" s="5">
        <v>5.0553900000000001</v>
      </c>
      <c r="F243" s="5">
        <v>136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1845.8876299999999</v>
      </c>
      <c r="E244" s="5">
        <v>5.0664300000000004</v>
      </c>
      <c r="F244" s="5">
        <v>135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1839.00991</v>
      </c>
      <c r="E245" s="5">
        <v>5.0563000000000002</v>
      </c>
      <c r="F245" s="5">
        <v>136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1836.19157</v>
      </c>
      <c r="E246" s="5">
        <v>5.0532399999999997</v>
      </c>
      <c r="F246" s="5">
        <v>135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1859.0645099999999</v>
      </c>
      <c r="E247" s="5">
        <v>5.0522</v>
      </c>
      <c r="F247" s="5">
        <v>134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1800.65093</v>
      </c>
      <c r="E248" s="5">
        <v>5.0415200000000002</v>
      </c>
      <c r="F248" s="5">
        <v>136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1835.1655900000001</v>
      </c>
      <c r="E249" s="5">
        <v>5.0493800000000002</v>
      </c>
      <c r="F249" s="5">
        <v>136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1837.5736899999999</v>
      </c>
      <c r="E250" s="5">
        <v>5.0545600000000004</v>
      </c>
      <c r="F250" s="5">
        <v>134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1790.1395600000001</v>
      </c>
      <c r="E251" s="5">
        <v>9.37073</v>
      </c>
      <c r="F251" s="5">
        <v>243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1775.925</v>
      </c>
      <c r="E252" s="5">
        <v>9.3680099999999999</v>
      </c>
      <c r="F252" s="5">
        <v>245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1775.9965199999999</v>
      </c>
      <c r="E253" s="5">
        <v>9.3782499999999995</v>
      </c>
      <c r="F253" s="5">
        <v>252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1780.74</v>
      </c>
      <c r="E254" s="5">
        <v>9.3925199999999993</v>
      </c>
      <c r="F254" s="5">
        <v>247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1776.5788600000001</v>
      </c>
      <c r="E255" s="5">
        <v>9.3930199999999999</v>
      </c>
      <c r="F255" s="5">
        <v>249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1773.25287</v>
      </c>
      <c r="E256" s="5">
        <v>9.3722999999999992</v>
      </c>
      <c r="F256" s="5">
        <v>244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1783.9087099999999</v>
      </c>
      <c r="E257" s="5">
        <v>9.3876899999999992</v>
      </c>
      <c r="F257" s="5">
        <v>248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1773.83376</v>
      </c>
      <c r="E258" s="5">
        <v>9.3751999999999995</v>
      </c>
      <c r="F258" s="5">
        <v>246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1773.46588</v>
      </c>
      <c r="E259" s="5">
        <v>9.3898700000000002</v>
      </c>
      <c r="F259" s="5">
        <v>248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1781.95667</v>
      </c>
      <c r="E260" s="5">
        <v>9.3832500000000003</v>
      </c>
      <c r="F260" s="5">
        <v>257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1757.4215200000001</v>
      </c>
      <c r="E261" s="5">
        <v>15.339040000000001</v>
      </c>
      <c r="F261" s="5">
        <v>402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1757.0401999999999</v>
      </c>
      <c r="E262" s="5">
        <v>15.35263</v>
      </c>
      <c r="F262" s="5">
        <v>414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1757.08</v>
      </c>
      <c r="E263" s="5">
        <v>15.36209</v>
      </c>
      <c r="F263" s="5">
        <v>403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1756.7248500000001</v>
      </c>
      <c r="E264" s="5">
        <v>15.339130000000001</v>
      </c>
      <c r="F264" s="5">
        <v>411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1756.34691</v>
      </c>
      <c r="E265" s="5">
        <v>15.35327</v>
      </c>
      <c r="F265" s="5">
        <v>406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1754.2411999999999</v>
      </c>
      <c r="E266" s="5">
        <v>15.358169999999999</v>
      </c>
      <c r="F266" s="5">
        <v>406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1757.07</v>
      </c>
      <c r="E267" s="5">
        <v>15.345969999999999</v>
      </c>
      <c r="F267" s="5">
        <v>404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1754.5619099999999</v>
      </c>
      <c r="E268" s="5">
        <v>15.35727</v>
      </c>
      <c r="F268" s="5">
        <v>411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1757.4011700000001</v>
      </c>
      <c r="E269" s="5">
        <v>15.33775</v>
      </c>
      <c r="F269" s="5">
        <v>408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1757.8202000000001</v>
      </c>
      <c r="E270" s="5">
        <v>15.34151</v>
      </c>
      <c r="F270" s="5">
        <v>405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42.424349999999997</v>
      </c>
      <c r="E271" s="5">
        <v>0.58665999999999996</v>
      </c>
      <c r="F271" s="5">
        <v>107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41.318849999999998</v>
      </c>
      <c r="E272" s="5">
        <v>0.58714999999999995</v>
      </c>
      <c r="F272" s="5">
        <v>137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40.897550000000003</v>
      </c>
      <c r="E273" s="5">
        <v>0.58521000000000001</v>
      </c>
      <c r="F273" s="5">
        <v>134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40.897550000000003</v>
      </c>
      <c r="E274" s="5">
        <v>0.58564000000000005</v>
      </c>
      <c r="F274" s="5">
        <v>136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42.424349999999997</v>
      </c>
      <c r="E275" s="5">
        <v>0.58608000000000005</v>
      </c>
      <c r="F275" s="5">
        <v>116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41.318849999999998</v>
      </c>
      <c r="E276" s="5">
        <v>0.58796000000000004</v>
      </c>
      <c r="F276" s="5">
        <v>134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41.318849999999998</v>
      </c>
      <c r="E277" s="5">
        <v>0.58713000000000004</v>
      </c>
      <c r="F277" s="5">
        <v>134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42.424349999999997</v>
      </c>
      <c r="E278" s="5">
        <v>0.58670999999999995</v>
      </c>
      <c r="F278" s="5">
        <v>134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42.424349999999997</v>
      </c>
      <c r="E279" s="5">
        <v>0.58621999999999996</v>
      </c>
      <c r="F279" s="5">
        <v>135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42.424349999999997</v>
      </c>
      <c r="E280" s="5">
        <v>0.58760000000000001</v>
      </c>
      <c r="F280" s="5">
        <v>136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0.87402000000000002</v>
      </c>
      <c r="F281" s="5">
        <v>160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0.87365999999999999</v>
      </c>
      <c r="F282" s="5">
        <v>210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28.65436</v>
      </c>
      <c r="E283" s="5">
        <v>0.87394000000000005</v>
      </c>
      <c r="F283" s="5">
        <v>210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0.87566999999999995</v>
      </c>
      <c r="F284" s="5">
        <v>211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0.87380999999999998</v>
      </c>
      <c r="F285" s="5">
        <v>208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28.65436</v>
      </c>
      <c r="E286" s="5">
        <v>0.87560000000000004</v>
      </c>
      <c r="F286" s="5">
        <v>191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28.65436</v>
      </c>
      <c r="E287" s="5">
        <v>0.87305999999999995</v>
      </c>
      <c r="F287" s="5">
        <v>211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0.87339</v>
      </c>
      <c r="F288" s="5">
        <v>209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28.65436</v>
      </c>
      <c r="E289" s="5">
        <v>0.87478</v>
      </c>
      <c r="F289" s="5">
        <v>203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0.87612000000000001</v>
      </c>
      <c r="F290" s="5">
        <v>203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28.587009999999999</v>
      </c>
      <c r="E291" s="5">
        <v>1.1312599999999999</v>
      </c>
      <c r="F291" s="5">
        <v>227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28.546240000000001</v>
      </c>
      <c r="E292" s="5">
        <v>1.13459</v>
      </c>
      <c r="F292" s="5">
        <v>258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28.592030000000001</v>
      </c>
      <c r="E293" s="5">
        <v>1.14486</v>
      </c>
      <c r="F293" s="5">
        <v>253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28.546240000000001</v>
      </c>
      <c r="E294" s="5">
        <v>1.1311800000000001</v>
      </c>
      <c r="F294" s="5">
        <v>251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28.587009999999999</v>
      </c>
      <c r="E295" s="5">
        <v>1.1335900000000001</v>
      </c>
      <c r="F295" s="5">
        <v>251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28.602029999999999</v>
      </c>
      <c r="E296" s="5">
        <v>1.1323399999999999</v>
      </c>
      <c r="F296" s="5">
        <v>256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28.546240000000001</v>
      </c>
      <c r="E297" s="5">
        <v>1.13459</v>
      </c>
      <c r="F297" s="5">
        <v>242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28.602029999999999</v>
      </c>
      <c r="E298" s="5">
        <v>1.1327499999999999</v>
      </c>
      <c r="F298" s="5">
        <v>262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28.587009999999999</v>
      </c>
      <c r="E299" s="5">
        <v>1.13402</v>
      </c>
      <c r="F299" s="5">
        <v>266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28.546240000000001</v>
      </c>
      <c r="E300" s="5">
        <v>1.1335900000000001</v>
      </c>
      <c r="F300" s="5">
        <v>264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59.001019999999997</v>
      </c>
      <c r="E301" s="5">
        <v>1.9236200000000001</v>
      </c>
      <c r="F301" s="5">
        <v>148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59.072850000000003</v>
      </c>
      <c r="E302" s="5">
        <v>1.9261299999999999</v>
      </c>
      <c r="F302" s="5">
        <v>169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59.18618</v>
      </c>
      <c r="E303" s="5">
        <v>1.9227300000000001</v>
      </c>
      <c r="F303" s="5">
        <v>158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59.081020000000002</v>
      </c>
      <c r="E304" s="5">
        <v>1.9283999999999999</v>
      </c>
      <c r="F304" s="5">
        <v>169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59.136180000000003</v>
      </c>
      <c r="E305" s="5">
        <v>1.92306</v>
      </c>
      <c r="F305" s="5">
        <v>158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59.062849999999997</v>
      </c>
      <c r="E306" s="5">
        <v>1.9203600000000001</v>
      </c>
      <c r="F306" s="5">
        <v>168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59.165979999999998</v>
      </c>
      <c r="E307" s="5">
        <v>1.9204000000000001</v>
      </c>
      <c r="F307" s="5">
        <v>169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56.791339999999998</v>
      </c>
      <c r="E308" s="5">
        <v>1.92638</v>
      </c>
      <c r="F308" s="5">
        <v>165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59.136180000000003</v>
      </c>
      <c r="E309" s="5">
        <v>1.9239299999999999</v>
      </c>
      <c r="F309" s="5">
        <v>168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59.072850000000003</v>
      </c>
      <c r="E310" s="5">
        <v>1.92944</v>
      </c>
      <c r="F310" s="5">
        <v>160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53.545070000000003</v>
      </c>
      <c r="E311" s="5">
        <v>3.75142</v>
      </c>
      <c r="F311" s="5">
        <v>312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53.652659999999997</v>
      </c>
      <c r="E312" s="5">
        <v>3.75495</v>
      </c>
      <c r="F312" s="5">
        <v>326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54.009160000000001</v>
      </c>
      <c r="E313" s="5">
        <v>3.7520600000000002</v>
      </c>
      <c r="F313" s="5">
        <v>323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53.872750000000003</v>
      </c>
      <c r="E314" s="5">
        <v>3.7503099999999998</v>
      </c>
      <c r="F314" s="5">
        <v>318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53.262659999999997</v>
      </c>
      <c r="E315" s="5">
        <v>3.7531400000000001</v>
      </c>
      <c r="F315" s="5">
        <v>322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54.031979999999997</v>
      </c>
      <c r="E316" s="5">
        <v>3.7570000000000001</v>
      </c>
      <c r="F316" s="5">
        <v>321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53.826079999999997</v>
      </c>
      <c r="E317" s="5">
        <v>3.7569300000000001</v>
      </c>
      <c r="F317" s="5">
        <v>321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53.272060000000003</v>
      </c>
      <c r="E318" s="5">
        <v>3.7543199999999999</v>
      </c>
      <c r="F318" s="5">
        <v>327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53.666080000000001</v>
      </c>
      <c r="E319" s="5">
        <v>3.75596</v>
      </c>
      <c r="F319" s="5">
        <v>318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53.879219999999997</v>
      </c>
      <c r="E320" s="5">
        <v>3.7585600000000001</v>
      </c>
      <c r="F320" s="5">
        <v>319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53.498109999999997</v>
      </c>
      <c r="E321" s="5">
        <v>6.0766099999999996</v>
      </c>
      <c r="F321" s="5">
        <v>505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53.307569999999998</v>
      </c>
      <c r="E322" s="5">
        <v>6.0827099999999996</v>
      </c>
      <c r="F322" s="5">
        <v>508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53.282409999999999</v>
      </c>
      <c r="E323" s="5">
        <v>6.0752499999999996</v>
      </c>
      <c r="F323" s="5">
        <v>514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53.48218</v>
      </c>
      <c r="E324" s="5">
        <v>6.07843</v>
      </c>
      <c r="F324" s="5">
        <v>512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53.503790000000002</v>
      </c>
      <c r="E325" s="5">
        <v>6.0806100000000001</v>
      </c>
      <c r="F325" s="5">
        <v>503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53.237490000000001</v>
      </c>
      <c r="E326" s="5">
        <v>6.0814899999999996</v>
      </c>
      <c r="F326" s="5">
        <v>512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53.26108</v>
      </c>
      <c r="E327" s="5">
        <v>6.0752899999999999</v>
      </c>
      <c r="F327" s="5">
        <v>501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53.38749</v>
      </c>
      <c r="E328" s="5">
        <v>6.08</v>
      </c>
      <c r="F328" s="5">
        <v>512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53.45241</v>
      </c>
      <c r="E329" s="5">
        <v>6.0798100000000002</v>
      </c>
      <c r="F329" s="5">
        <v>520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53.20749</v>
      </c>
      <c r="E330" s="5">
        <v>6.0820699999999999</v>
      </c>
      <c r="F330" s="5">
        <v>505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148.18228999999999</v>
      </c>
      <c r="E331" s="5">
        <v>7.0352300000000003</v>
      </c>
      <c r="F331" s="5">
        <v>181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148.19496000000001</v>
      </c>
      <c r="E332" s="5">
        <v>7.0252800000000004</v>
      </c>
      <c r="F332" s="5">
        <v>182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148.18950000000001</v>
      </c>
      <c r="E333" s="5">
        <v>7.0360699999999996</v>
      </c>
      <c r="F333" s="5">
        <v>184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148.2895</v>
      </c>
      <c r="E334" s="5">
        <v>7.0554699999999997</v>
      </c>
      <c r="F334" s="5">
        <v>184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148.18069</v>
      </c>
      <c r="E335" s="5">
        <v>7.0380799999999999</v>
      </c>
      <c r="F335" s="5">
        <v>185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148.22736</v>
      </c>
      <c r="E336" s="5">
        <v>7.0403799999999999</v>
      </c>
      <c r="F336" s="5">
        <v>183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148.20320000000001</v>
      </c>
      <c r="E337" s="5">
        <v>7.0445000000000002</v>
      </c>
      <c r="F337" s="5">
        <v>184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148.24986999999999</v>
      </c>
      <c r="E338" s="5">
        <v>7.0352600000000001</v>
      </c>
      <c r="F338" s="5">
        <v>183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148.29496</v>
      </c>
      <c r="E339" s="5">
        <v>7.0355400000000001</v>
      </c>
      <c r="F339" s="5">
        <v>181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148.21986999999999</v>
      </c>
      <c r="E340" s="5">
        <v>7.02799</v>
      </c>
      <c r="F340" s="5">
        <v>184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108.47177000000001</v>
      </c>
      <c r="E341" s="5">
        <v>16.810359999999999</v>
      </c>
      <c r="F341" s="5">
        <v>434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108.24314</v>
      </c>
      <c r="E342" s="5">
        <v>16.792269999999998</v>
      </c>
      <c r="F342" s="5">
        <v>430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108.09950000000001</v>
      </c>
      <c r="E343" s="5">
        <v>16.817900000000002</v>
      </c>
      <c r="F343" s="5">
        <v>427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108.0141</v>
      </c>
      <c r="E344" s="5">
        <v>16.79055</v>
      </c>
      <c r="F344" s="5">
        <v>428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108.02003000000001</v>
      </c>
      <c r="E345" s="5">
        <v>16.795839999999998</v>
      </c>
      <c r="F345" s="5">
        <v>429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107.92503000000001</v>
      </c>
      <c r="E346" s="5">
        <v>16.8062</v>
      </c>
      <c r="F346" s="5">
        <v>429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108.57774999999999</v>
      </c>
      <c r="E347" s="5">
        <v>16.800909999999998</v>
      </c>
      <c r="F347" s="5">
        <v>428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108.17404000000001</v>
      </c>
      <c r="E348" s="5">
        <v>16.789750000000002</v>
      </c>
      <c r="F348" s="5">
        <v>434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107.78344</v>
      </c>
      <c r="E349" s="5">
        <v>16.810490000000001</v>
      </c>
      <c r="F349" s="5">
        <v>434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108.40654000000001</v>
      </c>
      <c r="E350" s="5">
        <v>16.812349999999999</v>
      </c>
      <c r="F350" s="5">
        <v>428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103.93525</v>
      </c>
      <c r="E351" s="5">
        <v>29.363199999999999</v>
      </c>
      <c r="F351" s="5">
        <v>730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103.93919</v>
      </c>
      <c r="E352" s="5">
        <v>29.339490000000001</v>
      </c>
      <c r="F352" s="5">
        <v>731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104.01663000000001</v>
      </c>
      <c r="E353" s="5">
        <v>29.35708</v>
      </c>
      <c r="F353" s="5">
        <v>734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103.95919000000001</v>
      </c>
      <c r="E354" s="5">
        <v>29.357780000000002</v>
      </c>
      <c r="F354" s="5">
        <v>734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103.89006999999999</v>
      </c>
      <c r="E355" s="5">
        <v>29.33634</v>
      </c>
      <c r="F355" s="5">
        <v>725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103.87174</v>
      </c>
      <c r="E356" s="5">
        <v>29.36591</v>
      </c>
      <c r="F356" s="5">
        <v>730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104.03579999999999</v>
      </c>
      <c r="E357" s="5">
        <v>29.365649999999999</v>
      </c>
      <c r="F357" s="5">
        <v>735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104.04496</v>
      </c>
      <c r="E358" s="5">
        <v>29.363499999999998</v>
      </c>
      <c r="F358" s="5">
        <v>734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104.08747</v>
      </c>
      <c r="E359" s="5">
        <v>29.34723</v>
      </c>
      <c r="F359" s="5">
        <v>733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103.96414</v>
      </c>
      <c r="E360" s="5">
        <v>29.344180000000001</v>
      </c>
      <c r="F360" s="5">
        <v>739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0.54503999999999997</v>
      </c>
      <c r="F361" s="5">
        <v>71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0.54130999999999996</v>
      </c>
      <c r="F362" s="5">
        <v>105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0.54395000000000004</v>
      </c>
      <c r="F363" s="5">
        <v>105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0.54452</v>
      </c>
      <c r="F364" s="5">
        <v>86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0.54103000000000001</v>
      </c>
      <c r="F365" s="5">
        <v>108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0.54437999999999998</v>
      </c>
      <c r="F366" s="5">
        <v>107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0.54312000000000005</v>
      </c>
      <c r="F367" s="5">
        <v>107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0.54286000000000001</v>
      </c>
      <c r="F368" s="5">
        <v>108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0.54351000000000005</v>
      </c>
      <c r="F369" s="5">
        <v>107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0.54356000000000004</v>
      </c>
      <c r="F370" s="5">
        <v>108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0.87212999999999996</v>
      </c>
      <c r="F371" s="5">
        <v>156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0.87297000000000002</v>
      </c>
      <c r="F372" s="5">
        <v>174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0.87178999999999995</v>
      </c>
      <c r="F373" s="5">
        <v>162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0.87450000000000006</v>
      </c>
      <c r="F374" s="5">
        <v>175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0.87236999999999998</v>
      </c>
      <c r="F375" s="5">
        <v>173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0.87392000000000003</v>
      </c>
      <c r="F376" s="5">
        <v>175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0.87460000000000004</v>
      </c>
      <c r="F377" s="5">
        <v>155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0.87317999999999996</v>
      </c>
      <c r="F378" s="5">
        <v>173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0.87358000000000002</v>
      </c>
      <c r="F379" s="5">
        <v>175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0.87265000000000004</v>
      </c>
      <c r="F380" s="5">
        <v>178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1.1498699999999999</v>
      </c>
      <c r="F381" s="5">
        <v>194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1.1482000000000001</v>
      </c>
      <c r="F382" s="5">
        <v>222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1.1513899999999999</v>
      </c>
      <c r="F383" s="5">
        <v>226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1.1487799999999999</v>
      </c>
      <c r="F384" s="5">
        <v>228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1.14968</v>
      </c>
      <c r="F385" s="5">
        <v>217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1.14917</v>
      </c>
      <c r="F386" s="5">
        <v>228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1.15178</v>
      </c>
      <c r="F387" s="5">
        <v>230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1.1500600000000001</v>
      </c>
      <c r="F388" s="5">
        <v>211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1.1493</v>
      </c>
      <c r="F389" s="5">
        <v>231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1.15134</v>
      </c>
      <c r="F390" s="5">
        <v>225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1.11493</v>
      </c>
      <c r="F391" s="5">
        <v>71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1.11361</v>
      </c>
      <c r="F392" s="5">
        <v>74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1.1120099999999999</v>
      </c>
      <c r="F393" s="5">
        <v>76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1.1123400000000001</v>
      </c>
      <c r="F394" s="5">
        <v>78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1.1155999999999999</v>
      </c>
      <c r="F395" s="5">
        <v>73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1.11853</v>
      </c>
      <c r="F396" s="5">
        <v>79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1.1165099999999999</v>
      </c>
      <c r="F397" s="5">
        <v>78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1.1148400000000001</v>
      </c>
      <c r="F398" s="5">
        <v>76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1.11338</v>
      </c>
      <c r="F399" s="5">
        <v>73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1.1186</v>
      </c>
      <c r="F400" s="5">
        <v>77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2.4921199999999999</v>
      </c>
      <c r="F401" s="5">
        <v>167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2.4881000000000002</v>
      </c>
      <c r="F402" s="5">
        <v>169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2.4870299999999999</v>
      </c>
      <c r="F403" s="5">
        <v>170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2.4921099999999998</v>
      </c>
      <c r="F404" s="5">
        <v>176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2.4961000000000002</v>
      </c>
      <c r="F405" s="5">
        <v>167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2.4965799999999998</v>
      </c>
      <c r="F406" s="5">
        <v>175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2.4907599999999999</v>
      </c>
      <c r="F407" s="5">
        <v>169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2.4879500000000001</v>
      </c>
      <c r="F408" s="5">
        <v>177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2.4955799999999999</v>
      </c>
      <c r="F409" s="5">
        <v>172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2.4908600000000001</v>
      </c>
      <c r="F410" s="5">
        <v>169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2.7306300000000001</v>
      </c>
      <c r="F411" s="5">
        <v>183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2.7336900000000002</v>
      </c>
      <c r="F412" s="5">
        <v>184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2.7432599999999998</v>
      </c>
      <c r="F413" s="5">
        <v>185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2.7273800000000001</v>
      </c>
      <c r="F414" s="5">
        <v>186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2.7258</v>
      </c>
      <c r="F415" s="5">
        <v>183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2.7303700000000002</v>
      </c>
      <c r="F416" s="5">
        <v>187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2.7324199999999998</v>
      </c>
      <c r="F417" s="5">
        <v>189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2.7233499999999999</v>
      </c>
      <c r="F418" s="5">
        <v>183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2.7250999999999999</v>
      </c>
      <c r="F419" s="5">
        <v>187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2.7316500000000001</v>
      </c>
      <c r="F420" s="5">
        <v>184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2.9917199999999999</v>
      </c>
      <c r="F421" s="5">
        <v>79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2.98482</v>
      </c>
      <c r="F422" s="5">
        <v>80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2.9701399999999998</v>
      </c>
      <c r="F423" s="5">
        <v>82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2.96794</v>
      </c>
      <c r="F424" s="5">
        <v>81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2.9811200000000002</v>
      </c>
      <c r="F425" s="5">
        <v>80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2.9879500000000001</v>
      </c>
      <c r="F426" s="5">
        <v>81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2.9931299999999998</v>
      </c>
      <c r="F427" s="5">
        <v>81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2.9665499999999998</v>
      </c>
      <c r="F428" s="5">
        <v>80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2.9697300000000002</v>
      </c>
      <c r="F429" s="5">
        <v>80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2.97342</v>
      </c>
      <c r="F430" s="5">
        <v>82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3.7784800000000001</v>
      </c>
      <c r="F431" s="5">
        <v>98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3.7694399999999999</v>
      </c>
      <c r="F432" s="5">
        <v>98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3.79671</v>
      </c>
      <c r="F433" s="5">
        <v>100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3.7770999999999999</v>
      </c>
      <c r="F434" s="5">
        <v>99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3.79617</v>
      </c>
      <c r="F435" s="5">
        <v>101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3.7806099999999998</v>
      </c>
      <c r="F436" s="5">
        <v>100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3.7885499999999999</v>
      </c>
      <c r="F437" s="5">
        <v>100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3.7987199999999999</v>
      </c>
      <c r="F438" s="5">
        <v>100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3.7736999999999998</v>
      </c>
      <c r="F439" s="5">
        <v>100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3.7766799999999998</v>
      </c>
      <c r="F440" s="5">
        <v>99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5.4732799999999999</v>
      </c>
      <c r="F441" s="5">
        <v>139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5.4880199999999997</v>
      </c>
      <c r="F442" s="5">
        <v>142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5.4612699999999998</v>
      </c>
      <c r="F443" s="5">
        <v>141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5.4848699999999999</v>
      </c>
      <c r="F444" s="5">
        <v>138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5.4771200000000002</v>
      </c>
      <c r="F445" s="5">
        <v>141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5.4737900000000002</v>
      </c>
      <c r="F446" s="5">
        <v>141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5.4663199999999996</v>
      </c>
      <c r="F447" s="5">
        <v>142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5.4709399999999997</v>
      </c>
      <c r="F448" s="5">
        <v>141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5.4864800000000002</v>
      </c>
      <c r="F449" s="5">
        <v>141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5.4882999999999997</v>
      </c>
      <c r="F450" s="5">
        <v>142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T1"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0.54620999999999997</v>
      </c>
      <c r="F1" s="5">
        <v>46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0.54498999999999997</v>
      </c>
      <c r="F2" s="5">
        <v>50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0.54793999999999998</v>
      </c>
      <c r="F3" s="5">
        <v>55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170.35004000000001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0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0.54642999999999997</v>
      </c>
      <c r="F4" s="5">
        <v>50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0.54876999999999998</v>
      </c>
      <c r="F5" s="5">
        <v>43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0.54920000000000002</v>
      </c>
      <c r="F6" s="5">
        <v>34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0.56201000000000001</v>
      </c>
      <c r="F7" s="5">
        <v>43</v>
      </c>
      <c r="H7" s="5" t="s">
        <v>27</v>
      </c>
      <c r="I7" s="5">
        <v>50</v>
      </c>
      <c r="J7" s="5">
        <v>1</v>
      </c>
      <c r="L7" s="5">
        <f t="shared" ca="1" si="11"/>
        <v>181.40834000000001</v>
      </c>
      <c r="M7" s="5">
        <f t="shared" ca="1" si="0"/>
        <v>182.34583000000001</v>
      </c>
      <c r="N7" s="5">
        <f t="shared" ca="1" si="0"/>
        <v>182.34583000000001</v>
      </c>
      <c r="O7" s="5">
        <f t="shared" ca="1" si="0"/>
        <v>181.96333000000001</v>
      </c>
      <c r="P7" s="5">
        <f t="shared" ca="1" si="0"/>
        <v>181.71333000000001</v>
      </c>
      <c r="Q7" s="5">
        <f t="shared" ca="1" si="0"/>
        <v>182.34583000000001</v>
      </c>
      <c r="R7" s="5">
        <f t="shared" ca="1" si="0"/>
        <v>181.91333</v>
      </c>
      <c r="S7" s="5">
        <f t="shared" ca="1" si="0"/>
        <v>181.64518000000001</v>
      </c>
      <c r="T7" s="5">
        <f t="shared" ca="1" si="0"/>
        <v>180.10135</v>
      </c>
      <c r="U7" s="5">
        <f t="shared" ca="1" si="0"/>
        <v>182.66634999999999</v>
      </c>
      <c r="W7" s="5">
        <f t="shared" ca="1" si="12"/>
        <v>181.84487000000001</v>
      </c>
      <c r="Y7" s="5">
        <f ca="1">Total!E7</f>
        <v>179.67332999999999</v>
      </c>
      <c r="AB7" s="5">
        <f t="shared" ca="1" si="1"/>
        <v>9.6564693268612369E-3</v>
      </c>
      <c r="AC7" s="5">
        <f t="shared" ca="1" si="2"/>
        <v>1.4874216446035779E-2</v>
      </c>
      <c r="AD7" s="5">
        <f t="shared" ca="1" si="3"/>
        <v>1.4874216446035779E-2</v>
      </c>
      <c r="AE7" s="5">
        <f t="shared" ca="1" si="4"/>
        <v>1.2745352913534916E-2</v>
      </c>
      <c r="AF7" s="5">
        <f t="shared" ca="1" si="5"/>
        <v>1.1353938840004917E-2</v>
      </c>
      <c r="AG7" s="5">
        <f t="shared" ca="1" si="6"/>
        <v>1.4874216446035779E-2</v>
      </c>
      <c r="AH7" s="5">
        <f t="shared" ca="1" si="7"/>
        <v>1.2467070098828853E-2</v>
      </c>
      <c r="AI7" s="5">
        <f t="shared" ca="1" si="8"/>
        <v>1.0974639363560622E-2</v>
      </c>
      <c r="AJ7" s="5">
        <f t="shared" ca="1" si="9"/>
        <v>2.3822122070092629E-3</v>
      </c>
      <c r="AK7" s="5">
        <f t="shared" ca="1" si="10"/>
        <v>1.6658120601427052E-2</v>
      </c>
      <c r="AM7" s="5">
        <f t="shared" ca="1" si="13"/>
        <v>0.12086045268933421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0.54766000000000004</v>
      </c>
      <c r="F8" s="5">
        <v>52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0.55950999999999995</v>
      </c>
      <c r="F9" s="5">
        <v>46</v>
      </c>
      <c r="H9" s="5" t="s">
        <v>27</v>
      </c>
      <c r="I9" s="5">
        <v>100</v>
      </c>
      <c r="J9" s="5">
        <v>0.7</v>
      </c>
      <c r="L9" s="5">
        <f t="shared" ca="1" si="11"/>
        <v>257.21257000000003</v>
      </c>
      <c r="M9" s="5">
        <f t="shared" ca="1" si="0"/>
        <v>259.24196999999998</v>
      </c>
      <c r="N9" s="5">
        <f t="shared" ca="1" si="0"/>
        <v>260.23993999999999</v>
      </c>
      <c r="O9" s="5">
        <f t="shared" ca="1" si="0"/>
        <v>258.12184999999999</v>
      </c>
      <c r="P9" s="5">
        <f t="shared" ca="1" si="0"/>
        <v>259.16728999999998</v>
      </c>
      <c r="Q9" s="5">
        <f t="shared" ca="1" si="0"/>
        <v>258.11732000000001</v>
      </c>
      <c r="R9" s="5">
        <f t="shared" ca="1" si="0"/>
        <v>258.90071</v>
      </c>
      <c r="S9" s="5">
        <f t="shared" ca="1" si="0"/>
        <v>256.36493999999999</v>
      </c>
      <c r="T9" s="5">
        <f t="shared" ca="1" si="0"/>
        <v>259.03222</v>
      </c>
      <c r="U9" s="5">
        <f t="shared" ca="1" si="0"/>
        <v>257.12272000000002</v>
      </c>
      <c r="W9" s="5">
        <f t="shared" ca="1" si="12"/>
        <v>258.35215299999999</v>
      </c>
      <c r="Y9" s="5">
        <f ca="1">Total!E9</f>
        <v>255.18879999999999</v>
      </c>
      <c r="AB9" s="5">
        <f t="shared" ca="1" si="1"/>
        <v>7.9304812750404467E-3</v>
      </c>
      <c r="AC9" s="5">
        <f t="shared" ca="1" si="2"/>
        <v>1.5883024646849684E-2</v>
      </c>
      <c r="AD9" s="5">
        <f t="shared" ca="1" si="3"/>
        <v>1.979373702921133E-2</v>
      </c>
      <c r="AE9" s="5">
        <f t="shared" ca="1" si="4"/>
        <v>1.1493647056610668E-2</v>
      </c>
      <c r="AF9" s="5">
        <f t="shared" ca="1" si="5"/>
        <v>1.5590378574608266E-2</v>
      </c>
      <c r="AG9" s="5">
        <f t="shared" ca="1" si="6"/>
        <v>1.1475895493846205E-2</v>
      </c>
      <c r="AH9" s="5">
        <f t="shared" ca="1" si="7"/>
        <v>1.454574025192335E-2</v>
      </c>
      <c r="AI9" s="5">
        <f t="shared" ca="1" si="8"/>
        <v>4.6089013310929156E-3</v>
      </c>
      <c r="AJ9" s="5">
        <f t="shared" ca="1" si="9"/>
        <v>1.506108418551288E-2</v>
      </c>
      <c r="AK9" s="5">
        <f t="shared" ca="1" si="10"/>
        <v>7.5783890202078975E-3</v>
      </c>
      <c r="AM9" s="5">
        <f t="shared" ca="1" si="13"/>
        <v>0.12396127886490364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0.54786000000000001</v>
      </c>
      <c r="F10" s="5">
        <v>51</v>
      </c>
      <c r="H10" s="5" t="s">
        <v>27</v>
      </c>
      <c r="I10" s="5">
        <v>100</v>
      </c>
      <c r="J10" s="5">
        <v>1</v>
      </c>
      <c r="L10" s="5">
        <f t="shared" ca="1" si="11"/>
        <v>239.85667000000001</v>
      </c>
      <c r="M10" s="5">
        <f t="shared" ca="1" si="0"/>
        <v>239.28756000000001</v>
      </c>
      <c r="N10" s="5">
        <f t="shared" ca="1" si="0"/>
        <v>238.87823</v>
      </c>
      <c r="O10" s="5">
        <f t="shared" ca="1" si="0"/>
        <v>239.10873000000001</v>
      </c>
      <c r="P10" s="5">
        <f t="shared" ca="1" si="0"/>
        <v>239.39322999999999</v>
      </c>
      <c r="Q10" s="5">
        <f t="shared" ca="1" si="0"/>
        <v>239.33541</v>
      </c>
      <c r="R10" s="5">
        <f t="shared" ca="1" si="0"/>
        <v>240.24332999999999</v>
      </c>
      <c r="S10" s="5">
        <f t="shared" ca="1" si="0"/>
        <v>241.15333000000001</v>
      </c>
      <c r="T10" s="5">
        <f t="shared" ca="1" si="0"/>
        <v>239.89332999999999</v>
      </c>
      <c r="U10" s="5">
        <f t="shared" ca="1" si="0"/>
        <v>239.62117000000001</v>
      </c>
      <c r="W10" s="5">
        <f t="shared" ca="1" si="12"/>
        <v>239.677099</v>
      </c>
      <c r="Y10" s="5">
        <f ca="1">Total!E10</f>
        <v>238.77667</v>
      </c>
      <c r="AB10" s="5">
        <f t="shared" ca="1" si="1"/>
        <v>4.5230549534006504E-3</v>
      </c>
      <c r="AC10" s="5">
        <f t="shared" ca="1" si="2"/>
        <v>2.1396143936508439E-3</v>
      </c>
      <c r="AD10" s="5">
        <f t="shared" ca="1" si="3"/>
        <v>4.253346861735123E-4</v>
      </c>
      <c r="AE10" s="5">
        <f t="shared" ca="1" si="4"/>
        <v>1.3906718776169073E-3</v>
      </c>
      <c r="AF10" s="5">
        <f t="shared" ca="1" si="5"/>
        <v>2.582161816730222E-3</v>
      </c>
      <c r="AG10" s="5">
        <f t="shared" ca="1" si="6"/>
        <v>2.3400108561694921E-3</v>
      </c>
      <c r="AH10" s="5">
        <f t="shared" ca="1" si="7"/>
        <v>6.1423923869948866E-3</v>
      </c>
      <c r="AI10" s="5">
        <f t="shared" ca="1" si="8"/>
        <v>9.9534849866195693E-3</v>
      </c>
      <c r="AJ10" s="5">
        <f t="shared" ca="1" si="9"/>
        <v>4.6765875409854572E-3</v>
      </c>
      <c r="AK10" s="5">
        <f t="shared" ca="1" si="10"/>
        <v>3.5367776927285681E-3</v>
      </c>
      <c r="AM10" s="5">
        <f t="shared" ca="1" si="13"/>
        <v>3.7710091191070112E-2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1.4238999999999999</v>
      </c>
      <c r="F11" s="5">
        <v>146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1.4251799999999999</v>
      </c>
      <c r="F12" s="5">
        <v>153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1.4386699999999999</v>
      </c>
      <c r="F13" s="5">
        <v>155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1.4257</v>
      </c>
      <c r="F14" s="5">
        <v>154</v>
      </c>
      <c r="H14" s="5" t="s">
        <v>2</v>
      </c>
      <c r="I14" s="5">
        <v>47</v>
      </c>
      <c r="J14" s="5">
        <v>0.4</v>
      </c>
      <c r="L14" s="5">
        <f t="shared" ca="1" si="11"/>
        <v>4350.8413700000001</v>
      </c>
      <c r="M14" s="5">
        <f t="shared" ca="1" si="0"/>
        <v>4348.0289499999999</v>
      </c>
      <c r="N14" s="5">
        <f t="shared" ca="1" si="0"/>
        <v>4348.0289499999999</v>
      </c>
      <c r="O14" s="5">
        <f t="shared" ca="1" si="0"/>
        <v>4350.8413700000001</v>
      </c>
      <c r="P14" s="5">
        <f t="shared" ca="1" si="0"/>
        <v>4348.0289499999999</v>
      </c>
      <c r="Q14" s="5">
        <f t="shared" ca="1" si="0"/>
        <v>4348.0289499999999</v>
      </c>
      <c r="R14" s="5">
        <f t="shared" ca="1" si="0"/>
        <v>4348.0289499999999</v>
      </c>
      <c r="S14" s="5">
        <f t="shared" ca="1" si="0"/>
        <v>4350.8413700000001</v>
      </c>
      <c r="T14" s="5">
        <f t="shared" ca="1" si="0"/>
        <v>4348.0289499999999</v>
      </c>
      <c r="U14" s="5">
        <f t="shared" ca="1" si="0"/>
        <v>4350.8413700000001</v>
      </c>
      <c r="W14" s="5">
        <f t="shared" ca="1" si="12"/>
        <v>4349.153918</v>
      </c>
      <c r="Y14" s="5">
        <f ca="1">Total!E14</f>
        <v>4348.0289499999999</v>
      </c>
      <c r="AB14" s="5">
        <f t="shared" ca="1" si="1"/>
        <v>6.4682642004952661E-4</v>
      </c>
      <c r="AC14" s="5">
        <f t="shared" ca="1" si="2"/>
        <v>0</v>
      </c>
      <c r="AD14" s="5">
        <f t="shared" ca="1" si="3"/>
        <v>0</v>
      </c>
      <c r="AE14" s="5">
        <f t="shared" ca="1" si="4"/>
        <v>6.4682642004952661E-4</v>
      </c>
      <c r="AF14" s="5">
        <f t="shared" ca="1" si="5"/>
        <v>0</v>
      </c>
      <c r="AG14" s="5">
        <f t="shared" ca="1" si="6"/>
        <v>0</v>
      </c>
      <c r="AH14" s="5">
        <f t="shared" ca="1" si="7"/>
        <v>0</v>
      </c>
      <c r="AI14" s="5">
        <f t="shared" ca="1" si="8"/>
        <v>6.4682642004952661E-4</v>
      </c>
      <c r="AJ14" s="5">
        <f t="shared" ca="1" si="9"/>
        <v>0</v>
      </c>
      <c r="AK14" s="5">
        <f t="shared" ca="1" si="10"/>
        <v>6.4682642004952661E-4</v>
      </c>
      <c r="AM14" s="5">
        <f t="shared" ca="1" si="13"/>
        <v>2.5873056801981064E-3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1.4217599999999999</v>
      </c>
      <c r="F15" s="5">
        <v>138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1.4264600000000001</v>
      </c>
      <c r="F16" s="5">
        <v>138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1.42319</v>
      </c>
      <c r="F17" s="5">
        <v>162</v>
      </c>
      <c r="H17" s="5" t="s">
        <v>2</v>
      </c>
      <c r="I17" s="5">
        <v>100</v>
      </c>
      <c r="J17" s="5">
        <v>0.4</v>
      </c>
      <c r="L17" s="5">
        <f t="shared" ca="1" si="11"/>
        <v>42986.403050000001</v>
      </c>
      <c r="M17" s="5">
        <f t="shared" ca="1" si="0"/>
        <v>42986.403050000001</v>
      </c>
      <c r="N17" s="5">
        <f t="shared" ca="1" si="0"/>
        <v>42986.193919999998</v>
      </c>
      <c r="O17" s="5">
        <f t="shared" ca="1" si="0"/>
        <v>42986.403050000001</v>
      </c>
      <c r="P17" s="5">
        <f t="shared" ca="1" si="0"/>
        <v>42986.403050000001</v>
      </c>
      <c r="Q17" s="5">
        <f t="shared" ca="1" si="0"/>
        <v>42986.802479999998</v>
      </c>
      <c r="R17" s="5">
        <f t="shared" ca="1" si="0"/>
        <v>42986.345820000002</v>
      </c>
      <c r="S17" s="5">
        <f t="shared" ca="1" si="0"/>
        <v>42986.345820000002</v>
      </c>
      <c r="T17" s="5">
        <f t="shared" ca="1" si="0"/>
        <v>42986.802479999998</v>
      </c>
      <c r="U17" s="5">
        <f t="shared" ca="1" si="0"/>
        <v>42986.345820000002</v>
      </c>
      <c r="W17" s="5">
        <f t="shared" ca="1" si="12"/>
        <v>42986.444853999994</v>
      </c>
      <c r="Y17" s="5">
        <f ca="1">Total!E17</f>
        <v>42986.193919999998</v>
      </c>
      <c r="AB17" s="5">
        <f t="shared" ca="1" si="1"/>
        <v>4.8650504018131747E-6</v>
      </c>
      <c r="AC17" s="5">
        <f t="shared" ca="1" si="2"/>
        <v>4.8650504018131747E-6</v>
      </c>
      <c r="AD17" s="5">
        <f t="shared" ca="1" si="3"/>
        <v>0</v>
      </c>
      <c r="AE17" s="5">
        <f t="shared" ca="1" si="4"/>
        <v>4.8650504018131747E-6</v>
      </c>
      <c r="AF17" s="5">
        <f t="shared" ca="1" si="5"/>
        <v>4.8650504018131747E-6</v>
      </c>
      <c r="AG17" s="5">
        <f t="shared" ca="1" si="6"/>
        <v>1.4157103583842479E-5</v>
      </c>
      <c r="AH17" s="5">
        <f t="shared" ca="1" si="7"/>
        <v>3.5336927081072652E-6</v>
      </c>
      <c r="AI17" s="5">
        <f t="shared" ca="1" si="8"/>
        <v>3.5336927081072652E-6</v>
      </c>
      <c r="AJ17" s="5">
        <f t="shared" ca="1" si="9"/>
        <v>1.4157103583842479E-5</v>
      </c>
      <c r="AK17" s="5">
        <f t="shared" ca="1" si="10"/>
        <v>3.5336927081072652E-6</v>
      </c>
      <c r="AM17" s="5">
        <f t="shared" ca="1" si="13"/>
        <v>5.8375486899259453E-5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1.4468300000000001</v>
      </c>
      <c r="F18" s="5">
        <v>128</v>
      </c>
      <c r="H18" s="5" t="s">
        <v>2</v>
      </c>
      <c r="I18" s="5">
        <v>100</v>
      </c>
      <c r="J18" s="5">
        <v>0.7</v>
      </c>
      <c r="L18" s="5">
        <f t="shared" ca="1" si="11"/>
        <v>35742.314599999998</v>
      </c>
      <c r="M18" s="5">
        <f t="shared" ca="1" si="11"/>
        <v>35648.338369999998</v>
      </c>
      <c r="N18" s="5">
        <f t="shared" ca="1" si="11"/>
        <v>35653.122960000001</v>
      </c>
      <c r="O18" s="5">
        <f t="shared" ca="1" si="11"/>
        <v>35649.233370000002</v>
      </c>
      <c r="P18" s="5">
        <f t="shared" ca="1" si="11"/>
        <v>35535.562429999998</v>
      </c>
      <c r="Q18" s="5">
        <f t="shared" ca="1" si="11"/>
        <v>35792.39471</v>
      </c>
      <c r="R18" s="5">
        <f t="shared" ca="1" si="11"/>
        <v>35646.466070000002</v>
      </c>
      <c r="S18" s="5">
        <f t="shared" ca="1" si="11"/>
        <v>35786.257440000001</v>
      </c>
      <c r="T18" s="5">
        <f t="shared" ca="1" si="11"/>
        <v>35485.16057</v>
      </c>
      <c r="U18" s="5">
        <f t="shared" ca="1" si="11"/>
        <v>35644.69384</v>
      </c>
      <c r="W18" s="5">
        <f t="shared" ca="1" si="12"/>
        <v>35658.354436000001</v>
      </c>
      <c r="Y18" s="5">
        <f ca="1">Total!E18</f>
        <v>35336.072039999999</v>
      </c>
      <c r="AB18" s="5">
        <f t="shared" ca="1" si="1"/>
        <v>1.1496539840085711E-2</v>
      </c>
      <c r="AC18" s="5">
        <f t="shared" ca="1" si="2"/>
        <v>8.8370413566770216E-3</v>
      </c>
      <c r="AD18" s="5">
        <f t="shared" ca="1" si="3"/>
        <v>8.9724437860864599E-3</v>
      </c>
      <c r="AE18" s="5">
        <f t="shared" ca="1" si="4"/>
        <v>8.8623695821512891E-3</v>
      </c>
      <c r="AF18" s="5">
        <f t="shared" ca="1" si="5"/>
        <v>5.6455168467558691E-3</v>
      </c>
      <c r="AG18" s="5">
        <f t="shared" ca="1" si="6"/>
        <v>1.2913791591873872E-2</v>
      </c>
      <c r="AH18" s="5">
        <f t="shared" ca="1" si="7"/>
        <v>8.7840558409729552E-3</v>
      </c>
      <c r="AI18" s="5">
        <f t="shared" ca="1" si="8"/>
        <v>1.2740108733375848E-2</v>
      </c>
      <c r="AJ18" s="5">
        <f t="shared" ca="1" si="9"/>
        <v>4.2191596686591117E-3</v>
      </c>
      <c r="AK18" s="5">
        <f t="shared" ca="1" si="10"/>
        <v>8.7339022755739439E-3</v>
      </c>
      <c r="AM18" s="5">
        <f t="shared" ca="1" si="13"/>
        <v>9.1204929522212083E-2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1.4254800000000001</v>
      </c>
      <c r="F19" s="5">
        <v>134</v>
      </c>
      <c r="H19" s="5" t="s">
        <v>2</v>
      </c>
      <c r="I19" s="5">
        <v>100</v>
      </c>
      <c r="J19" s="5">
        <v>1</v>
      </c>
      <c r="L19" s="5">
        <f t="shared" ca="1" si="11"/>
        <v>35327.958599999998</v>
      </c>
      <c r="M19" s="5">
        <f t="shared" ca="1" si="11"/>
        <v>35319.893329999999</v>
      </c>
      <c r="N19" s="5">
        <f t="shared" ca="1" si="11"/>
        <v>35311.571929999998</v>
      </c>
      <c r="O19" s="5">
        <f t="shared" ca="1" si="11"/>
        <v>35258.5</v>
      </c>
      <c r="P19" s="5">
        <f t="shared" ca="1" si="11"/>
        <v>35272.827380000002</v>
      </c>
      <c r="Q19" s="5">
        <f t="shared" ca="1" si="11"/>
        <v>35352.424570000003</v>
      </c>
      <c r="R19" s="5">
        <f t="shared" ca="1" si="11"/>
        <v>35364.480000000003</v>
      </c>
      <c r="S19" s="5">
        <f t="shared" ca="1" si="11"/>
        <v>35223.339999999997</v>
      </c>
      <c r="T19" s="5">
        <f t="shared" ca="1" si="11"/>
        <v>35256.673329999998</v>
      </c>
      <c r="U19" s="5">
        <f t="shared" ca="1" si="11"/>
        <v>35278.257790000003</v>
      </c>
      <c r="W19" s="5">
        <f t="shared" ca="1" si="12"/>
        <v>35296.592692999999</v>
      </c>
      <c r="Y19" s="5">
        <f ca="1">Total!E19</f>
        <v>35203.853329999998</v>
      </c>
      <c r="AB19" s="5">
        <f t="shared" ca="1" si="1"/>
        <v>3.5253319810374301E-3</v>
      </c>
      <c r="AC19" s="5">
        <f t="shared" ca="1" si="2"/>
        <v>3.2962300720959423E-3</v>
      </c>
      <c r="AD19" s="5">
        <f t="shared" ca="1" si="3"/>
        <v>3.0598525391595296E-3</v>
      </c>
      <c r="AE19" s="5">
        <f t="shared" ca="1" si="4"/>
        <v>1.5522922870898665E-3</v>
      </c>
      <c r="AF19" s="5">
        <f t="shared" ca="1" si="5"/>
        <v>1.9592755757002912E-3</v>
      </c>
      <c r="AG19" s="5">
        <f t="shared" ca="1" si="6"/>
        <v>4.2203118677748667E-3</v>
      </c>
      <c r="AH19" s="5">
        <f t="shared" ca="1" si="7"/>
        <v>4.5627581871306791E-3</v>
      </c>
      <c r="AI19" s="5">
        <f t="shared" ca="1" si="8"/>
        <v>5.5353798396246229E-4</v>
      </c>
      <c r="AJ19" s="5">
        <f t="shared" ca="1" si="9"/>
        <v>1.5004039331963583E-3</v>
      </c>
      <c r="AK19" s="5">
        <f t="shared" ca="1" si="10"/>
        <v>2.1135317007072987E-3</v>
      </c>
      <c r="AM19" s="5">
        <f t="shared" ca="1" si="13"/>
        <v>2.6343526127854726E-2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1.4267799999999999</v>
      </c>
      <c r="F20" s="5">
        <v>138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1.7733099999999999</v>
      </c>
      <c r="F21" s="5">
        <v>228</v>
      </c>
      <c r="H21" s="5" t="s">
        <v>1</v>
      </c>
      <c r="I21" s="5">
        <v>30</v>
      </c>
      <c r="J21" s="5">
        <v>0.7</v>
      </c>
      <c r="L21" s="5">
        <f t="shared" ca="1" si="11"/>
        <v>677.27696000000003</v>
      </c>
      <c r="M21" s="5">
        <f t="shared" ca="1" si="11"/>
        <v>675.36989000000005</v>
      </c>
      <c r="N21" s="5">
        <f t="shared" ca="1" si="11"/>
        <v>675.36581000000001</v>
      </c>
      <c r="O21" s="5">
        <f t="shared" ca="1" si="11"/>
        <v>677.26074000000006</v>
      </c>
      <c r="P21" s="5">
        <f t="shared" ca="1" si="11"/>
        <v>675.47581000000002</v>
      </c>
      <c r="Q21" s="5">
        <f t="shared" ca="1" si="11"/>
        <v>675.36581000000001</v>
      </c>
      <c r="R21" s="5">
        <f t="shared" ca="1" si="11"/>
        <v>675.36989000000005</v>
      </c>
      <c r="S21" s="5">
        <f t="shared" ca="1" si="11"/>
        <v>678.07272</v>
      </c>
      <c r="T21" s="5">
        <f t="shared" ca="1" si="11"/>
        <v>675.36581000000001</v>
      </c>
      <c r="U21" s="5">
        <f t="shared" ca="1" si="11"/>
        <v>675.36989000000005</v>
      </c>
      <c r="W21" s="5">
        <f t="shared" ca="1" si="12"/>
        <v>676.02933300000007</v>
      </c>
      <c r="Y21" s="5">
        <f ca="1">Total!E21</f>
        <v>675.36581000000001</v>
      </c>
      <c r="AB21" s="5">
        <f t="shared" ca="1" si="1"/>
        <v>2.8297997495609385E-3</v>
      </c>
      <c r="AC21" s="5">
        <f t="shared" ca="1" si="2"/>
        <v>6.0411704881010963E-6</v>
      </c>
      <c r="AD21" s="5">
        <f t="shared" ca="1" si="3"/>
        <v>0</v>
      </c>
      <c r="AE21" s="5">
        <f t="shared" ca="1" si="4"/>
        <v>2.8057831355129525E-3</v>
      </c>
      <c r="AF21" s="5">
        <f t="shared" ca="1" si="5"/>
        <v>1.6287469453038145E-4</v>
      </c>
      <c r="AG21" s="5">
        <f t="shared" ca="1" si="6"/>
        <v>0</v>
      </c>
      <c r="AH21" s="5">
        <f t="shared" ca="1" si="7"/>
        <v>6.0411704881010963E-6</v>
      </c>
      <c r="AI21" s="5">
        <f t="shared" ca="1" si="8"/>
        <v>4.0080649033743558E-3</v>
      </c>
      <c r="AJ21" s="5">
        <f t="shared" ca="1" si="9"/>
        <v>0</v>
      </c>
      <c r="AK21" s="5">
        <f t="shared" ca="1" si="10"/>
        <v>6.0411704881010963E-6</v>
      </c>
      <c r="AM21" s="5">
        <f t="shared" ca="1" si="13"/>
        <v>9.8246459944429307E-3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1.7748900000000001</v>
      </c>
      <c r="F22" s="5">
        <v>244</v>
      </c>
      <c r="H22" s="5" t="s">
        <v>1</v>
      </c>
      <c r="I22" s="5">
        <v>30</v>
      </c>
      <c r="J22" s="5">
        <v>1</v>
      </c>
      <c r="L22" s="5">
        <f t="shared" ca="1" si="11"/>
        <v>657.46325999999999</v>
      </c>
      <c r="M22" s="5">
        <f t="shared" ca="1" si="11"/>
        <v>656.19402000000002</v>
      </c>
      <c r="N22" s="5">
        <f t="shared" ca="1" si="11"/>
        <v>658.23289</v>
      </c>
      <c r="O22" s="5">
        <f t="shared" ca="1" si="11"/>
        <v>658.23289</v>
      </c>
      <c r="P22" s="5">
        <f t="shared" ca="1" si="11"/>
        <v>655.43295999999998</v>
      </c>
      <c r="Q22" s="5">
        <f t="shared" ca="1" si="11"/>
        <v>655.43295999999998</v>
      </c>
      <c r="R22" s="5">
        <f t="shared" ca="1" si="11"/>
        <v>655.43907999999999</v>
      </c>
      <c r="S22" s="5">
        <f t="shared" ca="1" si="11"/>
        <v>657.32380999999998</v>
      </c>
      <c r="T22" s="5">
        <f t="shared" ca="1" si="11"/>
        <v>657.32380999999998</v>
      </c>
      <c r="U22" s="5">
        <f t="shared" ca="1" si="11"/>
        <v>659.97877000000005</v>
      </c>
      <c r="W22" s="5">
        <f t="shared" ca="1" si="12"/>
        <v>657.10544499999992</v>
      </c>
      <c r="Y22" s="5">
        <f ca="1">Total!E22</f>
        <v>655.43295999999998</v>
      </c>
      <c r="AB22" s="5">
        <f t="shared" ca="1" si="1"/>
        <v>3.0976470881171601E-3</v>
      </c>
      <c r="AC22" s="5">
        <f t="shared" ca="1" si="2"/>
        <v>1.1611561310557882E-3</v>
      </c>
      <c r="AD22" s="5">
        <f t="shared" ca="1" si="3"/>
        <v>4.2718785457478634E-3</v>
      </c>
      <c r="AE22" s="5">
        <f t="shared" ca="1" si="4"/>
        <v>4.2718785457478634E-3</v>
      </c>
      <c r="AF22" s="5">
        <f t="shared" ca="1" si="5"/>
        <v>0</v>
      </c>
      <c r="AG22" s="5">
        <f t="shared" ca="1" si="6"/>
        <v>0</v>
      </c>
      <c r="AH22" s="5">
        <f t="shared" ca="1" si="7"/>
        <v>9.337339397777456E-6</v>
      </c>
      <c r="AI22" s="5">
        <f t="shared" ca="1" si="8"/>
        <v>2.8848869608266272E-3</v>
      </c>
      <c r="AJ22" s="5">
        <f t="shared" ca="1" si="9"/>
        <v>2.8848869608266272E-3</v>
      </c>
      <c r="AK22" s="5">
        <f t="shared" ca="1" si="10"/>
        <v>6.9355834653174507E-3</v>
      </c>
      <c r="AM22" s="5">
        <f t="shared" ca="1" si="13"/>
        <v>2.5517255037037157E-2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1.7720400000000001</v>
      </c>
      <c r="F23" s="5">
        <v>231</v>
      </c>
      <c r="H23" s="5" t="s">
        <v>1</v>
      </c>
      <c r="I23" s="5">
        <v>50</v>
      </c>
      <c r="J23" s="5">
        <v>0.4</v>
      </c>
      <c r="L23" s="5">
        <f t="shared" ca="1" si="11"/>
        <v>1461.1750099999999</v>
      </c>
      <c r="M23" s="5">
        <f t="shared" ca="1" si="11"/>
        <v>1459.9687899999999</v>
      </c>
      <c r="N23" s="5">
        <f t="shared" ca="1" si="11"/>
        <v>1483.36385</v>
      </c>
      <c r="O23" s="5">
        <f t="shared" ca="1" si="11"/>
        <v>1460.0209400000001</v>
      </c>
      <c r="P23" s="5">
        <f t="shared" ca="1" si="11"/>
        <v>1459.9687899999999</v>
      </c>
      <c r="Q23" s="5">
        <f t="shared" ca="1" si="11"/>
        <v>1459.9687899999999</v>
      </c>
      <c r="R23" s="5">
        <f t="shared" ca="1" si="11"/>
        <v>1459.9687899999999</v>
      </c>
      <c r="S23" s="5">
        <f t="shared" ca="1" si="11"/>
        <v>1459.9687899999999</v>
      </c>
      <c r="T23" s="5">
        <f t="shared" ca="1" si="11"/>
        <v>1483.36385</v>
      </c>
      <c r="U23" s="5">
        <f t="shared" ca="1" si="11"/>
        <v>1459.9687899999999</v>
      </c>
      <c r="W23" s="5">
        <f t="shared" ca="1" si="12"/>
        <v>1464.7736389999998</v>
      </c>
      <c r="Y23" s="5">
        <f ca="1">Total!E23</f>
        <v>1459.9687899999999</v>
      </c>
      <c r="AB23" s="5">
        <f t="shared" ca="1" si="1"/>
        <v>8.2619574354053855E-4</v>
      </c>
      <c r="AC23" s="5">
        <f t="shared" ca="1" si="2"/>
        <v>0</v>
      </c>
      <c r="AD23" s="5">
        <f t="shared" ca="1" si="3"/>
        <v>1.6024356246683916E-2</v>
      </c>
      <c r="AE23" s="5">
        <f t="shared" ca="1" si="4"/>
        <v>3.5719941657253266E-5</v>
      </c>
      <c r="AF23" s="5">
        <f t="shared" ca="1" si="5"/>
        <v>0</v>
      </c>
      <c r="AG23" s="5">
        <f t="shared" ca="1" si="6"/>
        <v>0</v>
      </c>
      <c r="AH23" s="5">
        <f t="shared" ca="1" si="7"/>
        <v>0</v>
      </c>
      <c r="AI23" s="5">
        <f t="shared" ca="1" si="8"/>
        <v>0</v>
      </c>
      <c r="AJ23" s="5">
        <f t="shared" ca="1" si="9"/>
        <v>1.6024356246683916E-2</v>
      </c>
      <c r="AK23" s="5">
        <f t="shared" ca="1" si="10"/>
        <v>0</v>
      </c>
      <c r="AM23" s="5">
        <f t="shared" ca="1" si="13"/>
        <v>3.2910628178565625E-2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1.77203</v>
      </c>
      <c r="F24" s="5">
        <v>240</v>
      </c>
      <c r="H24" s="5" t="s">
        <v>1</v>
      </c>
      <c r="I24" s="5">
        <v>50</v>
      </c>
      <c r="J24" s="5">
        <v>0.7</v>
      </c>
      <c r="L24" s="5">
        <f t="shared" ca="1" si="11"/>
        <v>1009.20867</v>
      </c>
      <c r="M24" s="5">
        <f t="shared" ca="1" si="11"/>
        <v>1015.87215</v>
      </c>
      <c r="N24" s="5">
        <f t="shared" ca="1" si="11"/>
        <v>1016.1746000000001</v>
      </c>
      <c r="O24" s="5">
        <f t="shared" ca="1" si="11"/>
        <v>1012.4457200000001</v>
      </c>
      <c r="P24" s="5">
        <f t="shared" ca="1" si="11"/>
        <v>1016.18362</v>
      </c>
      <c r="Q24" s="5">
        <f t="shared" ca="1" si="11"/>
        <v>1020.7832100000001</v>
      </c>
      <c r="R24" s="5">
        <f t="shared" ca="1" si="11"/>
        <v>1015.5940900000001</v>
      </c>
      <c r="S24" s="5">
        <f t="shared" ca="1" si="11"/>
        <v>1019.04311</v>
      </c>
      <c r="T24" s="5">
        <f t="shared" ca="1" si="11"/>
        <v>1009.37908</v>
      </c>
      <c r="U24" s="5">
        <f t="shared" ca="1" si="11"/>
        <v>1018.33901</v>
      </c>
      <c r="W24" s="5">
        <f t="shared" ca="1" si="12"/>
        <v>1015.302326</v>
      </c>
      <c r="Y24" s="5">
        <f ca="1">Total!E24</f>
        <v>1005.95063</v>
      </c>
      <c r="AB24" s="5">
        <f t="shared" ca="1" si="1"/>
        <v>3.2387672941761934E-3</v>
      </c>
      <c r="AC24" s="5">
        <f t="shared" ca="1" si="2"/>
        <v>9.862829948225179E-3</v>
      </c>
      <c r="AD24" s="5">
        <f t="shared" ca="1" si="3"/>
        <v>1.0163490826582621E-2</v>
      </c>
      <c r="AE24" s="5">
        <f t="shared" ca="1" si="4"/>
        <v>6.4566687532170482E-3</v>
      </c>
      <c r="AF24" s="5">
        <f t="shared" ca="1" si="5"/>
        <v>1.0172457469408784E-2</v>
      </c>
      <c r="AG24" s="5">
        <f t="shared" ca="1" si="6"/>
        <v>1.4744838919182353E-2</v>
      </c>
      <c r="AH24" s="5">
        <f t="shared" ca="1" si="7"/>
        <v>9.5864147925430535E-3</v>
      </c>
      <c r="AI24" s="5">
        <f t="shared" ca="1" si="8"/>
        <v>1.3015032357999426E-2</v>
      </c>
      <c r="AJ24" s="5">
        <f t="shared" ca="1" si="9"/>
        <v>3.4081692458406213E-3</v>
      </c>
      <c r="AK24" s="5">
        <f t="shared" ca="1" si="10"/>
        <v>1.231509741188788E-2</v>
      </c>
      <c r="AM24" s="5">
        <f t="shared" ca="1" si="13"/>
        <v>9.296376701906317E-2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1.7741499999999999</v>
      </c>
      <c r="F25" s="5">
        <v>232</v>
      </c>
      <c r="H25" s="5" t="s">
        <v>1</v>
      </c>
      <c r="I25" s="5">
        <v>50</v>
      </c>
      <c r="J25" s="5">
        <v>1</v>
      </c>
      <c r="L25" s="5">
        <f t="shared" ca="1" si="11"/>
        <v>997.75333000000001</v>
      </c>
      <c r="M25" s="5">
        <f t="shared" ca="1" si="11"/>
        <v>994.77441999999996</v>
      </c>
      <c r="N25" s="5">
        <f t="shared" ca="1" si="11"/>
        <v>995.64332999999999</v>
      </c>
      <c r="O25" s="5">
        <f t="shared" ca="1" si="11"/>
        <v>994.21615999999995</v>
      </c>
      <c r="P25" s="5">
        <f t="shared" ca="1" si="11"/>
        <v>1001.65344</v>
      </c>
      <c r="Q25" s="5">
        <f t="shared" ca="1" si="11"/>
        <v>994.75451999999996</v>
      </c>
      <c r="R25" s="5">
        <f t="shared" ca="1" si="11"/>
        <v>1001.44366</v>
      </c>
      <c r="S25" s="5">
        <f t="shared" ca="1" si="11"/>
        <v>998.93699000000004</v>
      </c>
      <c r="T25" s="5">
        <f t="shared" ca="1" si="11"/>
        <v>996.42502999999999</v>
      </c>
      <c r="U25" s="5">
        <f t="shared" ca="1" si="11"/>
        <v>995.55094999999994</v>
      </c>
      <c r="W25" s="5">
        <f t="shared" ca="1" si="12"/>
        <v>997.11518300000012</v>
      </c>
      <c r="Y25" s="5">
        <f ca="1">Total!E25</f>
        <v>990.69820000000004</v>
      </c>
      <c r="AB25" s="5">
        <f t="shared" ca="1" si="1"/>
        <v>7.1213715741080003E-3</v>
      </c>
      <c r="AC25" s="5">
        <f t="shared" ca="1" si="2"/>
        <v>4.1144921833913906E-3</v>
      </c>
      <c r="AD25" s="5">
        <f t="shared" ca="1" si="3"/>
        <v>4.9915604974349898E-3</v>
      </c>
      <c r="AE25" s="5">
        <f t="shared" ca="1" si="4"/>
        <v>3.550990604403947E-3</v>
      </c>
      <c r="AF25" s="5">
        <f t="shared" ca="1" si="5"/>
        <v>1.1058100236782506E-2</v>
      </c>
      <c r="AG25" s="5">
        <f t="shared" ca="1" si="6"/>
        <v>4.094405339587691E-3</v>
      </c>
      <c r="AH25" s="5">
        <f t="shared" ca="1" si="7"/>
        <v>1.0846350583860936E-2</v>
      </c>
      <c r="AI25" s="5">
        <f t="shared" ca="1" si="8"/>
        <v>8.3161451186647903E-3</v>
      </c>
      <c r="AJ25" s="5">
        <f t="shared" ca="1" si="9"/>
        <v>5.7805999849398632E-3</v>
      </c>
      <c r="AK25" s="5">
        <f t="shared" ca="1" si="10"/>
        <v>4.898313129063827E-3</v>
      </c>
      <c r="AM25" s="5">
        <f t="shared" ca="1" si="13"/>
        <v>6.4772329252237942E-2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1.7749999999999999</v>
      </c>
      <c r="F26" s="5">
        <v>239</v>
      </c>
      <c r="H26" s="5" t="s">
        <v>1</v>
      </c>
      <c r="I26" s="5">
        <v>100</v>
      </c>
      <c r="J26" s="5">
        <v>0.4</v>
      </c>
      <c r="L26" s="5">
        <f t="shared" ca="1" si="11"/>
        <v>1834.98956</v>
      </c>
      <c r="M26" s="5">
        <f t="shared" ca="1" si="11"/>
        <v>1877.06738</v>
      </c>
      <c r="N26" s="5">
        <f t="shared" ca="1" si="11"/>
        <v>1824.405</v>
      </c>
      <c r="O26" s="5">
        <f t="shared" ca="1" si="11"/>
        <v>1847.72864</v>
      </c>
      <c r="P26" s="5">
        <f t="shared" ca="1" si="11"/>
        <v>1822.2385200000001</v>
      </c>
      <c r="Q26" s="5">
        <f t="shared" ca="1" si="11"/>
        <v>1820.13293</v>
      </c>
      <c r="R26" s="5">
        <f t="shared" ca="1" si="11"/>
        <v>1821.5547200000001</v>
      </c>
      <c r="S26" s="5">
        <f t="shared" ca="1" si="11"/>
        <v>1829.83341</v>
      </c>
      <c r="T26" s="5">
        <f t="shared" ca="1" si="11"/>
        <v>1855.38291</v>
      </c>
      <c r="U26" s="5">
        <f t="shared" ca="1" si="11"/>
        <v>1796.8859</v>
      </c>
      <c r="W26" s="5">
        <f t="shared" ca="1" si="12"/>
        <v>1833.0218970000001</v>
      </c>
      <c r="Y26" s="5">
        <f ca="1">Total!E26</f>
        <v>1786.3248599999999</v>
      </c>
      <c r="AB26" s="5">
        <f t="shared" ca="1" si="1"/>
        <v>2.7242917058210813E-2</v>
      </c>
      <c r="AC26" s="5">
        <f t="shared" ca="1" si="2"/>
        <v>5.0798442115394409E-2</v>
      </c>
      <c r="AD26" s="5">
        <f t="shared" ca="1" si="3"/>
        <v>2.131758945570518E-2</v>
      </c>
      <c r="AE26" s="5">
        <f t="shared" ca="1" si="4"/>
        <v>3.4374363462645927E-2</v>
      </c>
      <c r="AF26" s="5">
        <f t="shared" ca="1" si="5"/>
        <v>2.0104775343047158E-2</v>
      </c>
      <c r="AG26" s="5">
        <f t="shared" ca="1" si="6"/>
        <v>1.89260479753946E-2</v>
      </c>
      <c r="AH26" s="5">
        <f t="shared" ca="1" si="7"/>
        <v>1.9721978229648635E-2</v>
      </c>
      <c r="AI26" s="5">
        <f t="shared" ca="1" si="8"/>
        <v>2.4356460000226395E-2</v>
      </c>
      <c r="AJ26" s="5">
        <f t="shared" ca="1" si="9"/>
        <v>3.8659289553860936E-2</v>
      </c>
      <c r="AK26" s="5">
        <f t="shared" ca="1" si="10"/>
        <v>5.9121609044841088E-3</v>
      </c>
      <c r="AM26" s="5">
        <f t="shared" ca="1" si="13"/>
        <v>0.26141402409861814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1.7717400000000001</v>
      </c>
      <c r="F27" s="5">
        <v>227</v>
      </c>
      <c r="H27" s="5" t="s">
        <v>1</v>
      </c>
      <c r="I27" s="5">
        <v>100</v>
      </c>
      <c r="J27" s="5">
        <v>0.7</v>
      </c>
      <c r="L27" s="5">
        <f t="shared" ca="1" si="11"/>
        <v>1787.14508</v>
      </c>
      <c r="M27" s="5">
        <f t="shared" ca="1" si="11"/>
        <v>1770.08</v>
      </c>
      <c r="N27" s="5">
        <f t="shared" ca="1" si="11"/>
        <v>1783.1351999999999</v>
      </c>
      <c r="O27" s="5">
        <f t="shared" ca="1" si="11"/>
        <v>1786.3896999999999</v>
      </c>
      <c r="P27" s="5">
        <f t="shared" ca="1" si="11"/>
        <v>1783.9784500000001</v>
      </c>
      <c r="Q27" s="5">
        <f t="shared" ca="1" si="11"/>
        <v>1768.1744699999999</v>
      </c>
      <c r="R27" s="5">
        <f t="shared" ca="1" si="11"/>
        <v>1773.9231600000001</v>
      </c>
      <c r="S27" s="5">
        <f t="shared" ca="1" si="11"/>
        <v>1770.94</v>
      </c>
      <c r="T27" s="5">
        <f t="shared" ca="1" si="11"/>
        <v>1793.49667</v>
      </c>
      <c r="U27" s="5">
        <f t="shared" ca="1" si="11"/>
        <v>1773.6867</v>
      </c>
      <c r="W27" s="5">
        <f t="shared" ca="1" si="12"/>
        <v>1779.0949430000001</v>
      </c>
      <c r="Y27" s="5">
        <f ca="1">Total!E27</f>
        <v>1761.02206</v>
      </c>
      <c r="AB27" s="5">
        <f t="shared" ca="1" si="1"/>
        <v>1.4834010654017587E-2</v>
      </c>
      <c r="AC27" s="5">
        <f t="shared" ca="1" si="2"/>
        <v>5.1435698653314521E-3</v>
      </c>
      <c r="AD27" s="5">
        <f t="shared" ca="1" si="3"/>
        <v>1.2556992045857694E-2</v>
      </c>
      <c r="AE27" s="5">
        <f t="shared" ca="1" si="4"/>
        <v>1.4405066566854896E-2</v>
      </c>
      <c r="AF27" s="5">
        <f t="shared" ca="1" si="5"/>
        <v>1.3035833293309259E-2</v>
      </c>
      <c r="AG27" s="5">
        <f t="shared" ca="1" si="6"/>
        <v>4.06151073428343E-3</v>
      </c>
      <c r="AH27" s="5">
        <f t="shared" ca="1" si="7"/>
        <v>7.3259161784719733E-3</v>
      </c>
      <c r="AI27" s="5">
        <f t="shared" ca="1" si="8"/>
        <v>5.6319226347454412E-3</v>
      </c>
      <c r="AJ27" s="5">
        <f t="shared" ca="1" si="9"/>
        <v>1.8440774103647507E-2</v>
      </c>
      <c r="AK27" s="5">
        <f t="shared" ca="1" si="10"/>
        <v>7.1916418809653999E-3</v>
      </c>
      <c r="AM27" s="5">
        <f t="shared" ca="1" si="13"/>
        <v>0.10262723795748464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1.7707900000000001</v>
      </c>
      <c r="F28" s="5">
        <v>238</v>
      </c>
      <c r="H28" s="5" t="s">
        <v>1</v>
      </c>
      <c r="I28" s="5">
        <v>100</v>
      </c>
      <c r="J28" s="5">
        <v>1</v>
      </c>
      <c r="L28" s="5">
        <f t="shared" ca="1" si="11"/>
        <v>1758.36913</v>
      </c>
      <c r="M28" s="5">
        <f t="shared" ca="1" si="11"/>
        <v>1757.51333</v>
      </c>
      <c r="N28" s="5">
        <f t="shared" ca="1" si="11"/>
        <v>1760.6961699999999</v>
      </c>
      <c r="O28" s="5">
        <f t="shared" ca="1" si="11"/>
        <v>1757.48206</v>
      </c>
      <c r="P28" s="5">
        <f t="shared" ca="1" si="11"/>
        <v>1758.8833299999999</v>
      </c>
      <c r="Q28" s="5">
        <f t="shared" ca="1" si="11"/>
        <v>1755.79224</v>
      </c>
      <c r="R28" s="5">
        <f t="shared" ca="1" si="11"/>
        <v>1758.1551999999999</v>
      </c>
      <c r="S28" s="5">
        <f t="shared" ca="1" si="11"/>
        <v>1758.08</v>
      </c>
      <c r="T28" s="5">
        <f t="shared" ca="1" si="11"/>
        <v>1757.9815699999999</v>
      </c>
      <c r="U28" s="5">
        <f t="shared" ca="1" si="11"/>
        <v>1756.9732200000001</v>
      </c>
      <c r="W28" s="5">
        <f t="shared" ca="1" si="12"/>
        <v>1757.9926250000001</v>
      </c>
      <c r="Y28" s="5">
        <f ca="1">Total!E28</f>
        <v>1753.1198199999999</v>
      </c>
      <c r="AB28" s="5">
        <f t="shared" ca="1" si="1"/>
        <v>2.9942676707631717E-3</v>
      </c>
      <c r="AC28" s="5">
        <f t="shared" ca="1" si="2"/>
        <v>2.5061093656451308E-3</v>
      </c>
      <c r="AD28" s="5">
        <f t="shared" ca="1" si="3"/>
        <v>4.321638437696773E-3</v>
      </c>
      <c r="AE28" s="5">
        <f t="shared" ca="1" si="4"/>
        <v>2.4882725927998215E-3</v>
      </c>
      <c r="AF28" s="5">
        <f t="shared" ca="1" si="5"/>
        <v>3.2875733502345534E-3</v>
      </c>
      <c r="AG28" s="5">
        <f t="shared" ca="1" si="6"/>
        <v>1.5243795486837301E-3</v>
      </c>
      <c r="AH28" s="5">
        <f t="shared" ca="1" si="7"/>
        <v>2.8722395027169518E-3</v>
      </c>
      <c r="AI28" s="5">
        <f t="shared" ca="1" si="8"/>
        <v>2.8293445453146703E-3</v>
      </c>
      <c r="AJ28" s="5">
        <f t="shared" ca="1" si="9"/>
        <v>2.7731989248744159E-3</v>
      </c>
      <c r="AK28" s="5">
        <f t="shared" ca="1" si="10"/>
        <v>2.1980243198666208E-3</v>
      </c>
      <c r="AM28" s="5">
        <f t="shared" ca="1" si="13"/>
        <v>2.7795048258595835E-2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1.77061</v>
      </c>
      <c r="F29" s="5">
        <v>242</v>
      </c>
      <c r="H29" s="5" t="s">
        <v>0</v>
      </c>
      <c r="I29" s="5">
        <v>25</v>
      </c>
      <c r="J29" s="5">
        <v>0.4</v>
      </c>
      <c r="L29" s="5">
        <f t="shared" ca="1" si="11"/>
        <v>41.318849999999998</v>
      </c>
      <c r="M29" s="5">
        <f t="shared" ca="1" si="11"/>
        <v>41.318849999999998</v>
      </c>
      <c r="N29" s="5">
        <f t="shared" ca="1" si="11"/>
        <v>42.424349999999997</v>
      </c>
      <c r="O29" s="5">
        <f t="shared" ca="1" si="11"/>
        <v>42.003050000000002</v>
      </c>
      <c r="P29" s="5">
        <f t="shared" ca="1" si="11"/>
        <v>41.318849999999998</v>
      </c>
      <c r="Q29" s="5">
        <f t="shared" ca="1" si="11"/>
        <v>42.424349999999997</v>
      </c>
      <c r="R29" s="5">
        <f t="shared" ca="1" si="11"/>
        <v>42.424349999999997</v>
      </c>
      <c r="S29" s="5">
        <f t="shared" ca="1" si="11"/>
        <v>42.424349999999997</v>
      </c>
      <c r="T29" s="5">
        <f t="shared" ca="1" si="11"/>
        <v>42.003050000000002</v>
      </c>
      <c r="U29" s="5">
        <f t="shared" ca="1" si="11"/>
        <v>41.318849999999998</v>
      </c>
      <c r="W29" s="5">
        <f t="shared" ca="1" si="12"/>
        <v>41.897889999999997</v>
      </c>
      <c r="Y29" s="5">
        <f ca="1">Total!E29</f>
        <v>40.897550000000003</v>
      </c>
      <c r="AB29" s="5">
        <f t="shared" ca="1" si="1"/>
        <v>1.0301350569899543E-2</v>
      </c>
      <c r="AC29" s="5">
        <f t="shared" ca="1" si="2"/>
        <v>1.0301350569899543E-2</v>
      </c>
      <c r="AD29" s="5">
        <f t="shared" ca="1" si="3"/>
        <v>3.7332309637129711E-2</v>
      </c>
      <c r="AE29" s="5">
        <f t="shared" ca="1" si="4"/>
        <v>2.703095906723017E-2</v>
      </c>
      <c r="AF29" s="5">
        <f t="shared" ca="1" si="5"/>
        <v>1.0301350569899543E-2</v>
      </c>
      <c r="AG29" s="5">
        <f t="shared" ca="1" si="6"/>
        <v>3.7332309637129711E-2</v>
      </c>
      <c r="AH29" s="5">
        <f t="shared" ca="1" si="7"/>
        <v>3.7332309637129711E-2</v>
      </c>
      <c r="AI29" s="5">
        <f t="shared" ca="1" si="8"/>
        <v>3.7332309637129711E-2</v>
      </c>
      <c r="AJ29" s="5">
        <f t="shared" ca="1" si="9"/>
        <v>2.703095906723017E-2</v>
      </c>
      <c r="AK29" s="5">
        <f t="shared" ca="1" si="10"/>
        <v>1.0301350569899543E-2</v>
      </c>
      <c r="AM29" s="5">
        <f t="shared" ca="1" si="13"/>
        <v>0.24459655896257734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1.7691600000000001</v>
      </c>
      <c r="F30" s="5">
        <v>228</v>
      </c>
      <c r="H30" s="5" t="s">
        <v>0</v>
      </c>
      <c r="I30" s="5">
        <v>25</v>
      </c>
      <c r="J30" s="5">
        <v>0.7</v>
      </c>
      <c r="L30" s="5">
        <f t="shared" ca="1" si="11"/>
        <v>28.65624</v>
      </c>
      <c r="M30" s="5">
        <f t="shared" ca="1" si="11"/>
        <v>28.65436</v>
      </c>
      <c r="N30" s="5">
        <f t="shared" ca="1" si="11"/>
        <v>28.65436</v>
      </c>
      <c r="O30" s="5">
        <f t="shared" ca="1" si="11"/>
        <v>28.65436</v>
      </c>
      <c r="P30" s="5">
        <f t="shared" ca="1" si="11"/>
        <v>28.65624</v>
      </c>
      <c r="Q30" s="5">
        <f t="shared" ca="1" si="11"/>
        <v>28.65436</v>
      </c>
      <c r="R30" s="5">
        <f t="shared" ca="1" si="11"/>
        <v>28.65436</v>
      </c>
      <c r="S30" s="5">
        <f t="shared" ca="1" si="11"/>
        <v>28.65436</v>
      </c>
      <c r="T30" s="5">
        <f t="shared" ca="1" si="11"/>
        <v>28.65624</v>
      </c>
      <c r="U30" s="5">
        <f t="shared" ca="1" si="11"/>
        <v>28.65436</v>
      </c>
      <c r="W30" s="5">
        <f t="shared" ca="1" si="12"/>
        <v>28.654924000000001</v>
      </c>
      <c r="Y30" s="5">
        <f ca="1">Total!E30</f>
        <v>28.65436</v>
      </c>
      <c r="AB30" s="5">
        <f t="shared" ca="1" si="1"/>
        <v>6.5609561686245368E-5</v>
      </c>
      <c r="AC30" s="5">
        <f t="shared" ca="1" si="2"/>
        <v>0</v>
      </c>
      <c r="AD30" s="5">
        <f t="shared" ca="1" si="3"/>
        <v>0</v>
      </c>
      <c r="AE30" s="5">
        <f t="shared" ca="1" si="4"/>
        <v>0</v>
      </c>
      <c r="AF30" s="5">
        <f t="shared" ca="1" si="5"/>
        <v>6.5609561686245368E-5</v>
      </c>
      <c r="AG30" s="5">
        <f t="shared" ca="1" si="6"/>
        <v>0</v>
      </c>
      <c r="AH30" s="5">
        <f t="shared" ca="1" si="7"/>
        <v>0</v>
      </c>
      <c r="AI30" s="5">
        <f t="shared" ca="1" si="8"/>
        <v>0</v>
      </c>
      <c r="AJ30" s="5">
        <f t="shared" ca="1" si="9"/>
        <v>6.5609561686245368E-5</v>
      </c>
      <c r="AK30" s="5">
        <f t="shared" ca="1" si="10"/>
        <v>0</v>
      </c>
      <c r="AM30" s="5">
        <f t="shared" ca="1" si="13"/>
        <v>1.968286850587361E-4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1.21848</v>
      </c>
      <c r="F31" s="5">
        <v>45</v>
      </c>
      <c r="H31" s="5" t="s">
        <v>0</v>
      </c>
      <c r="I31" s="5">
        <v>25</v>
      </c>
      <c r="J31" s="5">
        <v>1</v>
      </c>
      <c r="L31" s="5">
        <f t="shared" ca="1" si="11"/>
        <v>28.602029999999999</v>
      </c>
      <c r="M31" s="5">
        <f t="shared" ca="1" si="11"/>
        <v>28.592030000000001</v>
      </c>
      <c r="N31" s="5">
        <f t="shared" ca="1" si="11"/>
        <v>28.587009999999999</v>
      </c>
      <c r="O31" s="5">
        <f t="shared" ca="1" si="11"/>
        <v>28.546240000000001</v>
      </c>
      <c r="P31" s="5">
        <f t="shared" ca="1" si="11"/>
        <v>28.592030000000001</v>
      </c>
      <c r="Q31" s="5">
        <f t="shared" ca="1" si="11"/>
        <v>28.592030000000001</v>
      </c>
      <c r="R31" s="5">
        <f t="shared" ca="1" si="11"/>
        <v>28.602029999999999</v>
      </c>
      <c r="S31" s="5">
        <f t="shared" ca="1" si="11"/>
        <v>28.60624</v>
      </c>
      <c r="T31" s="5">
        <f t="shared" ca="1" si="11"/>
        <v>28.592030000000001</v>
      </c>
      <c r="U31" s="5">
        <f t="shared" ca="1" si="11"/>
        <v>28.504100000000001</v>
      </c>
      <c r="W31" s="5">
        <f t="shared" ca="1" si="12"/>
        <v>28.581577000000003</v>
      </c>
      <c r="Y31" s="5">
        <f ca="1">Total!E31</f>
        <v>28.504100000000001</v>
      </c>
      <c r="AB31" s="5">
        <f t="shared" ca="1" si="1"/>
        <v>3.4356461000346642E-3</v>
      </c>
      <c r="AC31" s="5">
        <f t="shared" ca="1" si="2"/>
        <v>3.0848193768615766E-3</v>
      </c>
      <c r="AD31" s="5">
        <f t="shared" ca="1" si="3"/>
        <v>2.9087043618285882E-3</v>
      </c>
      <c r="AE31" s="5">
        <f t="shared" ca="1" si="4"/>
        <v>1.4783838114516804E-3</v>
      </c>
      <c r="AF31" s="5">
        <f t="shared" ca="1" si="5"/>
        <v>3.0848193768615766E-3</v>
      </c>
      <c r="AG31" s="5">
        <f t="shared" ca="1" si="6"/>
        <v>3.0848193768615766E-3</v>
      </c>
      <c r="AH31" s="5">
        <f t="shared" ca="1" si="7"/>
        <v>3.4356461000346642E-3</v>
      </c>
      <c r="AI31" s="5">
        <f t="shared" ca="1" si="8"/>
        <v>3.5833441504905805E-3</v>
      </c>
      <c r="AJ31" s="5">
        <f t="shared" ca="1" si="9"/>
        <v>3.0848193768615766E-3</v>
      </c>
      <c r="AK31" s="5">
        <f t="shared" ca="1" si="10"/>
        <v>0</v>
      </c>
      <c r="AM31" s="5">
        <f t="shared" ca="1" si="13"/>
        <v>2.7181002031286483E-2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1.2129700000000001</v>
      </c>
      <c r="F32" s="5">
        <v>53</v>
      </c>
      <c r="H32" s="5" t="s">
        <v>0</v>
      </c>
      <c r="I32" s="5">
        <v>50</v>
      </c>
      <c r="J32" s="5">
        <v>0.4</v>
      </c>
      <c r="L32" s="5">
        <f t="shared" ca="1" si="11"/>
        <v>59.971150000000002</v>
      </c>
      <c r="M32" s="5">
        <f t="shared" ca="1" si="11"/>
        <v>59.069510000000001</v>
      </c>
      <c r="N32" s="5">
        <f t="shared" ca="1" si="11"/>
        <v>56.901339999999998</v>
      </c>
      <c r="O32" s="5">
        <f t="shared" ca="1" si="11"/>
        <v>56.901339999999998</v>
      </c>
      <c r="P32" s="5">
        <f t="shared" ca="1" si="11"/>
        <v>59.056179999999998</v>
      </c>
      <c r="Q32" s="5">
        <f t="shared" ca="1" si="11"/>
        <v>59.069510000000001</v>
      </c>
      <c r="R32" s="5">
        <f t="shared" ca="1" si="11"/>
        <v>56.96134</v>
      </c>
      <c r="S32" s="5">
        <f t="shared" ca="1" si="11"/>
        <v>59.279589999999999</v>
      </c>
      <c r="T32" s="5">
        <f t="shared" ca="1" si="11"/>
        <v>59.03134</v>
      </c>
      <c r="U32" s="5">
        <f t="shared" ca="1" si="11"/>
        <v>56.901339999999998</v>
      </c>
      <c r="W32" s="5">
        <f t="shared" ca="1" si="12"/>
        <v>58.314263999999994</v>
      </c>
      <c r="Y32" s="5">
        <f ca="1">Total!E32</f>
        <v>56.511339999999997</v>
      </c>
      <c r="AB32" s="5">
        <f t="shared" ca="1" si="1"/>
        <v>6.122328721987489E-2</v>
      </c>
      <c r="AC32" s="5">
        <f t="shared" ca="1" si="2"/>
        <v>4.5268259432531668E-2</v>
      </c>
      <c r="AD32" s="5">
        <f t="shared" ca="1" si="3"/>
        <v>6.901269727456482E-3</v>
      </c>
      <c r="AE32" s="5">
        <f t="shared" ca="1" si="4"/>
        <v>6.901269727456482E-3</v>
      </c>
      <c r="AF32" s="5">
        <f t="shared" ca="1" si="5"/>
        <v>4.5032377572359825E-2</v>
      </c>
      <c r="AG32" s="5">
        <f t="shared" ca="1" si="6"/>
        <v>4.5268259432531668E-2</v>
      </c>
      <c r="AH32" s="5">
        <f t="shared" ca="1" si="7"/>
        <v>7.9630035316805951E-3</v>
      </c>
      <c r="AI32" s="5">
        <f t="shared" ca="1" si="8"/>
        <v>4.8985743392388183E-2</v>
      </c>
      <c r="AJ32" s="5">
        <f t="shared" ca="1" si="9"/>
        <v>4.4592819777411107E-2</v>
      </c>
      <c r="AK32" s="5">
        <f t="shared" ca="1" si="10"/>
        <v>6.901269727456482E-3</v>
      </c>
      <c r="AM32" s="5">
        <f t="shared" ca="1" si="13"/>
        <v>0.31903755954114732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1.20882</v>
      </c>
      <c r="F33" s="5">
        <v>54</v>
      </c>
      <c r="H33" s="5" t="s">
        <v>0</v>
      </c>
      <c r="I33" s="5">
        <v>50</v>
      </c>
      <c r="J33" s="5">
        <v>0.7</v>
      </c>
      <c r="L33" s="5">
        <f t="shared" ca="1" si="11"/>
        <v>53.242750000000001</v>
      </c>
      <c r="M33" s="5">
        <f t="shared" ca="1" si="11"/>
        <v>53.475070000000002</v>
      </c>
      <c r="N33" s="5">
        <f t="shared" ca="1" si="11"/>
        <v>53.592660000000002</v>
      </c>
      <c r="O33" s="5">
        <f t="shared" ca="1" si="11"/>
        <v>53.262659999999997</v>
      </c>
      <c r="P33" s="5">
        <f t="shared" ca="1" si="11"/>
        <v>53.575069999999997</v>
      </c>
      <c r="Q33" s="5">
        <f t="shared" ca="1" si="11"/>
        <v>53.598730000000003</v>
      </c>
      <c r="R33" s="5">
        <f t="shared" ca="1" si="11"/>
        <v>53.466079999999998</v>
      </c>
      <c r="S33" s="5">
        <f t="shared" ca="1" si="11"/>
        <v>53.445070000000001</v>
      </c>
      <c r="T33" s="5">
        <f t="shared" ca="1" si="11"/>
        <v>53.616079999999997</v>
      </c>
      <c r="U33" s="5">
        <f t="shared" ca="1" si="11"/>
        <v>53.922750000000001</v>
      </c>
      <c r="W33" s="5">
        <f t="shared" ca="1" si="12"/>
        <v>53.519691999999999</v>
      </c>
      <c r="Y33" s="5">
        <f ca="1">Total!E33</f>
        <v>53.115070000000003</v>
      </c>
      <c r="AB33" s="5">
        <f t="shared" ca="1" si="1"/>
        <v>2.4038375549537637E-3</v>
      </c>
      <c r="AC33" s="5">
        <f t="shared" ca="1" si="2"/>
        <v>6.7777374669749924E-3</v>
      </c>
      <c r="AD33" s="5">
        <f t="shared" ca="1" si="3"/>
        <v>8.9916101023682967E-3</v>
      </c>
      <c r="AE33" s="5">
        <f t="shared" ca="1" si="4"/>
        <v>2.7786840909744424E-3</v>
      </c>
      <c r="AF33" s="5">
        <f t="shared" ca="1" si="5"/>
        <v>8.6604423189123869E-3</v>
      </c>
      <c r="AG33" s="5">
        <f t="shared" ca="1" si="6"/>
        <v>9.1058902868809254E-3</v>
      </c>
      <c r="AH33" s="5">
        <f t="shared" ca="1" si="7"/>
        <v>6.6084823007857302E-3</v>
      </c>
      <c r="AI33" s="5">
        <f t="shared" ca="1" si="8"/>
        <v>6.2129260113937207E-3</v>
      </c>
      <c r="AJ33" s="5">
        <f t="shared" ca="1" si="9"/>
        <v>9.4325395786919557E-3</v>
      </c>
      <c r="AK33" s="5">
        <f t="shared" ca="1" si="10"/>
        <v>1.5206230548128764E-2</v>
      </c>
      <c r="AM33" s="5">
        <f t="shared" ca="1" si="13"/>
        <v>7.6178380260064973E-2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1.2079299999999999</v>
      </c>
      <c r="F34" s="5">
        <v>53</v>
      </c>
      <c r="H34" s="5" t="s">
        <v>0</v>
      </c>
      <c r="I34" s="5">
        <v>50</v>
      </c>
      <c r="J34" s="5">
        <v>1</v>
      </c>
      <c r="L34" s="5">
        <f t="shared" ca="1" si="11"/>
        <v>53.553809999999999</v>
      </c>
      <c r="M34" s="5">
        <f t="shared" ca="1" si="11"/>
        <v>53.257489999999997</v>
      </c>
      <c r="N34" s="5">
        <f t="shared" ca="1" si="11"/>
        <v>53.430709999999998</v>
      </c>
      <c r="O34" s="5">
        <f t="shared" ca="1" si="11"/>
        <v>53.147570000000002</v>
      </c>
      <c r="P34" s="5">
        <f t="shared" ca="1" si="11"/>
        <v>53.257489999999997</v>
      </c>
      <c r="Q34" s="5">
        <f t="shared" ca="1" si="11"/>
        <v>53.38749</v>
      </c>
      <c r="R34" s="5">
        <f t="shared" ca="1" si="11"/>
        <v>53.337490000000003</v>
      </c>
      <c r="S34" s="5">
        <f t="shared" ca="1" si="11"/>
        <v>53.115519999999997</v>
      </c>
      <c r="T34" s="5">
        <f t="shared" ca="1" si="11"/>
        <v>53.505600000000001</v>
      </c>
      <c r="U34" s="5">
        <f t="shared" ca="1" si="11"/>
        <v>53.143889999999999</v>
      </c>
      <c r="W34" s="5">
        <f t="shared" ca="1" si="12"/>
        <v>53.313706000000003</v>
      </c>
      <c r="Y34" s="5">
        <f ca="1">Total!E34</f>
        <v>53.003740000000001</v>
      </c>
      <c r="AB34" s="5">
        <f t="shared" ca="1" si="1"/>
        <v>1.0377946914689379E-2</v>
      </c>
      <c r="AC34" s="5">
        <f t="shared" ca="1" si="2"/>
        <v>4.7873980213471081E-3</v>
      </c>
      <c r="AD34" s="5">
        <f t="shared" ca="1" si="3"/>
        <v>8.0554692932988722E-3</v>
      </c>
      <c r="AE34" s="5">
        <f t="shared" ca="1" si="4"/>
        <v>2.7135820981689447E-3</v>
      </c>
      <c r="AF34" s="5">
        <f t="shared" ca="1" si="5"/>
        <v>4.7873980213471081E-3</v>
      </c>
      <c r="AG34" s="5">
        <f t="shared" ca="1" si="6"/>
        <v>7.2400551357319149E-3</v>
      </c>
      <c r="AH34" s="5">
        <f t="shared" ca="1" si="7"/>
        <v>6.296725476353216E-3</v>
      </c>
      <c r="AI34" s="5">
        <f t="shared" ca="1" si="8"/>
        <v>2.1089077865070653E-3</v>
      </c>
      <c r="AJ34" s="5">
        <f t="shared" ca="1" si="9"/>
        <v>9.4683884571164344E-3</v>
      </c>
      <c r="AK34" s="5">
        <f t="shared" ca="1" si="10"/>
        <v>2.6441530352386161E-3</v>
      </c>
      <c r="AM34" s="5">
        <f t="shared" ca="1" si="13"/>
        <v>5.8480024239798659E-2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1.21133</v>
      </c>
      <c r="F35" s="5">
        <v>54</v>
      </c>
      <c r="H35" s="5" t="s">
        <v>0</v>
      </c>
      <c r="I35" s="5">
        <v>100</v>
      </c>
      <c r="J35" s="5">
        <v>0.4</v>
      </c>
      <c r="L35" s="5">
        <f t="shared" ca="1" si="11"/>
        <v>148.32163</v>
      </c>
      <c r="M35" s="5">
        <f t="shared" ca="1" si="11"/>
        <v>148.25163000000001</v>
      </c>
      <c r="N35" s="5">
        <f t="shared" ca="1" si="11"/>
        <v>148.22979000000001</v>
      </c>
      <c r="O35" s="5">
        <f t="shared" ca="1" si="11"/>
        <v>148.23987</v>
      </c>
      <c r="P35" s="5">
        <f t="shared" ca="1" si="11"/>
        <v>148.17402999999999</v>
      </c>
      <c r="Q35" s="5">
        <f t="shared" ca="1" si="11"/>
        <v>148.23987</v>
      </c>
      <c r="R35" s="5">
        <f t="shared" ca="1" si="11"/>
        <v>148.19365999999999</v>
      </c>
      <c r="S35" s="5">
        <f t="shared" ca="1" si="11"/>
        <v>148.19901999999999</v>
      </c>
      <c r="T35" s="5">
        <f t="shared" ca="1" si="11"/>
        <v>148.19282999999999</v>
      </c>
      <c r="U35" s="5">
        <f t="shared" ca="1" si="11"/>
        <v>148.28617</v>
      </c>
      <c r="W35" s="5">
        <f t="shared" ca="1" si="12"/>
        <v>148.23285000000001</v>
      </c>
      <c r="Y35" s="5">
        <f ca="1">Total!E35</f>
        <v>147.96312</v>
      </c>
      <c r="AB35" s="5">
        <f t="shared" ca="1" si="1"/>
        <v>2.4229686424562785E-3</v>
      </c>
      <c r="AC35" s="5">
        <f t="shared" ca="1" si="2"/>
        <v>1.9498777803550118E-3</v>
      </c>
      <c r="AD35" s="5">
        <f t="shared" ca="1" si="3"/>
        <v>1.8022734313794197E-3</v>
      </c>
      <c r="AE35" s="5">
        <f t="shared" ca="1" si="4"/>
        <v>1.8703985155219267E-3</v>
      </c>
      <c r="AF35" s="5">
        <f t="shared" ca="1" si="5"/>
        <v>1.4254227675111484E-3</v>
      </c>
      <c r="AG35" s="5">
        <f t="shared" ca="1" si="6"/>
        <v>1.8703985155219267E-3</v>
      </c>
      <c r="AH35" s="5">
        <f t="shared" ca="1" si="7"/>
        <v>1.5580909621261746E-3</v>
      </c>
      <c r="AI35" s="5">
        <f t="shared" ca="1" si="8"/>
        <v>1.5943162052813342E-3</v>
      </c>
      <c r="AJ35" s="5">
        <f t="shared" ca="1" si="9"/>
        <v>1.5524814561897787E-3</v>
      </c>
      <c r="AK35" s="5">
        <f t="shared" ca="1" si="10"/>
        <v>2.1833143285975246E-3</v>
      </c>
      <c r="AM35" s="5">
        <f t="shared" ca="1" si="13"/>
        <v>1.8229542604940523E-2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1.2048000000000001</v>
      </c>
      <c r="F36" s="5">
        <v>54</v>
      </c>
      <c r="H36" s="5" t="s">
        <v>0</v>
      </c>
      <c r="I36" s="5">
        <v>100</v>
      </c>
      <c r="J36" s="5">
        <v>0.7</v>
      </c>
      <c r="L36" s="5">
        <f t="shared" ca="1" si="11"/>
        <v>107.99261</v>
      </c>
      <c r="M36" s="5">
        <f t="shared" ca="1" si="11"/>
        <v>108.35063</v>
      </c>
      <c r="N36" s="5">
        <f t="shared" ca="1" si="11"/>
        <v>108.36821</v>
      </c>
      <c r="O36" s="5">
        <f t="shared" ca="1" si="11"/>
        <v>107.79337</v>
      </c>
      <c r="P36" s="5">
        <f t="shared" ca="1" si="11"/>
        <v>108.50127999999999</v>
      </c>
      <c r="Q36" s="5">
        <f t="shared" ca="1" si="11"/>
        <v>107.99866</v>
      </c>
      <c r="R36" s="5">
        <f t="shared" ca="1" si="11"/>
        <v>107.99169999999999</v>
      </c>
      <c r="S36" s="5">
        <f t="shared" ca="1" si="11"/>
        <v>108.45428</v>
      </c>
      <c r="T36" s="5">
        <f t="shared" ca="1" si="11"/>
        <v>108.53247</v>
      </c>
      <c r="U36" s="5">
        <f t="shared" ca="1" si="11"/>
        <v>108.45698</v>
      </c>
      <c r="W36" s="5">
        <f t="shared" ca="1" si="12"/>
        <v>108.24401900000001</v>
      </c>
      <c r="Y36" s="5">
        <f ca="1">Total!E36</f>
        <v>107.28163000000001</v>
      </c>
      <c r="AB36" s="5">
        <f t="shared" ca="1" si="1"/>
        <v>6.6272296571182982E-3</v>
      </c>
      <c r="AC36" s="5">
        <f t="shared" ca="1" si="2"/>
        <v>9.9644272742685606E-3</v>
      </c>
      <c r="AD36" s="5">
        <f t="shared" ca="1" si="3"/>
        <v>1.012829503056579E-2</v>
      </c>
      <c r="AE36" s="5">
        <f t="shared" ca="1" si="4"/>
        <v>4.7700617524173428E-3</v>
      </c>
      <c r="AF36" s="5">
        <f t="shared" ca="1" si="5"/>
        <v>1.136867514037573E-2</v>
      </c>
      <c r="AG36" s="5">
        <f t="shared" ca="1" si="6"/>
        <v>6.6836232820101076E-3</v>
      </c>
      <c r="AH36" s="5">
        <f t="shared" ca="1" si="7"/>
        <v>6.6187473102337045E-3</v>
      </c>
      <c r="AI36" s="5">
        <f t="shared" ca="1" si="8"/>
        <v>1.0930575905679193E-2</v>
      </c>
      <c r="AJ36" s="5">
        <f t="shared" ca="1" si="9"/>
        <v>1.1659405249528708E-2</v>
      </c>
      <c r="AK36" s="5">
        <f t="shared" ca="1" si="10"/>
        <v>1.0955743308523504E-2</v>
      </c>
      <c r="AM36" s="5">
        <f t="shared" ca="1" si="13"/>
        <v>8.9706783910720955E-2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1.2002699999999999</v>
      </c>
      <c r="F37" s="5">
        <v>54</v>
      </c>
      <c r="H37" s="5" t="s">
        <v>0</v>
      </c>
      <c r="I37" s="5">
        <v>100</v>
      </c>
      <c r="J37" s="5">
        <v>1</v>
      </c>
      <c r="L37" s="5">
        <f t="shared" ca="1" si="11"/>
        <v>104.09366</v>
      </c>
      <c r="M37" s="5">
        <f t="shared" ca="1" si="11"/>
        <v>104.16829</v>
      </c>
      <c r="N37" s="5">
        <f t="shared" ca="1" si="11"/>
        <v>104.13912999999999</v>
      </c>
      <c r="O37" s="5">
        <f t="shared" ca="1" si="11"/>
        <v>103.88413</v>
      </c>
      <c r="P37" s="5">
        <f t="shared" ca="1" si="11"/>
        <v>104.12503</v>
      </c>
      <c r="Q37" s="5">
        <f t="shared" ca="1" si="11"/>
        <v>104.01253</v>
      </c>
      <c r="R37" s="5">
        <f t="shared" ca="1" si="11"/>
        <v>104.12329</v>
      </c>
      <c r="S37" s="5">
        <f t="shared" ca="1" si="11"/>
        <v>103.9543</v>
      </c>
      <c r="T37" s="5">
        <f t="shared" ca="1" si="11"/>
        <v>104.07337</v>
      </c>
      <c r="U37" s="5">
        <f t="shared" ca="1" si="11"/>
        <v>104.1367</v>
      </c>
      <c r="W37" s="5">
        <f t="shared" ca="1" si="12"/>
        <v>104.07104299999999</v>
      </c>
      <c r="Y37" s="5">
        <f ca="1">Total!E37</f>
        <v>103.21266</v>
      </c>
      <c r="AB37" s="5">
        <f t="shared" ca="1" si="1"/>
        <v>8.5357745842418974E-3</v>
      </c>
      <c r="AC37" s="5">
        <f t="shared" ca="1" si="2"/>
        <v>9.25884479675264E-3</v>
      </c>
      <c r="AD37" s="5">
        <f t="shared" ca="1" si="3"/>
        <v>8.9763213156215018E-3</v>
      </c>
      <c r="AE37" s="5">
        <f t="shared" ca="1" si="4"/>
        <v>6.5056941658125983E-3</v>
      </c>
      <c r="AF37" s="5">
        <f t="shared" ca="1" si="5"/>
        <v>8.8397101673379566E-3</v>
      </c>
      <c r="AG37" s="5">
        <f t="shared" ca="1" si="6"/>
        <v>7.7497276012458019E-3</v>
      </c>
      <c r="AH37" s="5">
        <f t="shared" ca="1" si="7"/>
        <v>8.82285177031575E-3</v>
      </c>
      <c r="AI37" s="5">
        <f t="shared" ca="1" si="8"/>
        <v>7.1855526250365395E-3</v>
      </c>
      <c r="AJ37" s="5">
        <f t="shared" ca="1" si="9"/>
        <v>8.3391901729884445E-3</v>
      </c>
      <c r="AK37" s="5">
        <f t="shared" ca="1" si="10"/>
        <v>8.9527776921940107E-3</v>
      </c>
      <c r="AM37" s="5">
        <f t="shared" ca="1" si="13"/>
        <v>8.3166444891547134E-2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1.2072099999999999</v>
      </c>
      <c r="F38" s="5">
        <v>52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1.2105699999999999</v>
      </c>
      <c r="F39" s="5">
        <v>54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1.20024</v>
      </c>
      <c r="F40" s="5">
        <v>53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2.8949099999999999</v>
      </c>
      <c r="F41" s="5">
        <v>152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2.8973200000000001</v>
      </c>
      <c r="F42" s="5">
        <v>163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2.90015</v>
      </c>
      <c r="F43" s="5">
        <v>159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2.9021300000000001</v>
      </c>
      <c r="F44" s="5">
        <v>157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2.8988700000000001</v>
      </c>
      <c r="F45" s="5">
        <v>162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2.8898899999999998</v>
      </c>
      <c r="F46" s="5">
        <v>157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2.8950399999999998</v>
      </c>
      <c r="F47" s="5">
        <v>158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2.8909500000000001</v>
      </c>
      <c r="F48" s="5">
        <v>161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2.8906499999999999</v>
      </c>
      <c r="F49" s="5">
        <v>159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2.9000599999999999</v>
      </c>
      <c r="F50" s="5">
        <v>158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181.40834000000001</v>
      </c>
      <c r="E51" s="5">
        <v>4.6047599999999997</v>
      </c>
      <c r="F51" s="5">
        <v>250</v>
      </c>
    </row>
    <row r="52" spans="1:6" x14ac:dyDescent="0.25">
      <c r="A52" s="5" t="s">
        <v>27</v>
      </c>
      <c r="B52" s="5">
        <v>50</v>
      </c>
      <c r="C52" s="5">
        <v>1</v>
      </c>
      <c r="D52" s="5">
        <v>182.34583000000001</v>
      </c>
      <c r="E52" s="5">
        <v>4.5977100000000002</v>
      </c>
      <c r="F52" s="5">
        <v>253</v>
      </c>
    </row>
    <row r="53" spans="1:6" x14ac:dyDescent="0.25">
      <c r="A53" s="5" t="s">
        <v>27</v>
      </c>
      <c r="B53" s="5">
        <v>50</v>
      </c>
      <c r="C53" s="5">
        <v>1</v>
      </c>
      <c r="D53" s="5">
        <v>182.34583000000001</v>
      </c>
      <c r="E53" s="5">
        <v>4.5969300000000004</v>
      </c>
      <c r="F53" s="5">
        <v>252</v>
      </c>
    </row>
    <row r="54" spans="1:6" x14ac:dyDescent="0.25">
      <c r="A54" s="5" t="s">
        <v>27</v>
      </c>
      <c r="B54" s="5">
        <v>50</v>
      </c>
      <c r="C54" s="5">
        <v>1</v>
      </c>
      <c r="D54" s="5">
        <v>181.96333000000001</v>
      </c>
      <c r="E54" s="5">
        <v>4.5923999999999996</v>
      </c>
      <c r="F54" s="5">
        <v>248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181.71333000000001</v>
      </c>
      <c r="E55" s="5">
        <v>4.60229</v>
      </c>
      <c r="F55" s="5">
        <v>256</v>
      </c>
    </row>
    <row r="56" spans="1:6" x14ac:dyDescent="0.25">
      <c r="A56" s="5" t="s">
        <v>27</v>
      </c>
      <c r="B56" s="5">
        <v>50</v>
      </c>
      <c r="C56" s="5">
        <v>1</v>
      </c>
      <c r="D56" s="5">
        <v>182.34583000000001</v>
      </c>
      <c r="E56" s="5">
        <v>4.5942800000000004</v>
      </c>
      <c r="F56" s="5">
        <v>253</v>
      </c>
    </row>
    <row r="57" spans="1:6" x14ac:dyDescent="0.25">
      <c r="A57" s="5" t="s">
        <v>27</v>
      </c>
      <c r="B57" s="5">
        <v>50</v>
      </c>
      <c r="C57" s="5">
        <v>1</v>
      </c>
      <c r="D57" s="5">
        <v>181.91333</v>
      </c>
      <c r="E57" s="5">
        <v>4.5987499999999999</v>
      </c>
      <c r="F57" s="5">
        <v>255</v>
      </c>
    </row>
    <row r="58" spans="1:6" x14ac:dyDescent="0.25">
      <c r="A58" s="5" t="s">
        <v>27</v>
      </c>
      <c r="B58" s="5">
        <v>50</v>
      </c>
      <c r="C58" s="5">
        <v>1</v>
      </c>
      <c r="D58" s="5">
        <v>181.64518000000001</v>
      </c>
      <c r="E58" s="5">
        <v>4.5989100000000001</v>
      </c>
      <c r="F58" s="5">
        <v>255</v>
      </c>
    </row>
    <row r="59" spans="1:6" x14ac:dyDescent="0.25">
      <c r="A59" s="5" t="s">
        <v>27</v>
      </c>
      <c r="B59" s="5">
        <v>50</v>
      </c>
      <c r="C59" s="5">
        <v>1</v>
      </c>
      <c r="D59" s="5">
        <v>180.10135</v>
      </c>
      <c r="E59" s="5">
        <v>4.5933099999999998</v>
      </c>
      <c r="F59" s="5">
        <v>258</v>
      </c>
    </row>
    <row r="60" spans="1:6" x14ac:dyDescent="0.25">
      <c r="A60" s="5" t="s">
        <v>27</v>
      </c>
      <c r="B60" s="5">
        <v>50</v>
      </c>
      <c r="C60" s="5">
        <v>1</v>
      </c>
      <c r="D60" s="5">
        <v>182.66634999999999</v>
      </c>
      <c r="E60" s="5">
        <v>4.5921900000000004</v>
      </c>
      <c r="F60" s="5">
        <v>256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5.6291099999999998</v>
      </c>
      <c r="F61" s="5">
        <v>86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5.6399499999999998</v>
      </c>
      <c r="F62" s="5">
        <v>88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5.6062399999999997</v>
      </c>
      <c r="F63" s="5">
        <v>87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5.6377800000000002</v>
      </c>
      <c r="F64" s="5">
        <v>88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5.6353</v>
      </c>
      <c r="F65" s="5">
        <v>87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5.5939100000000002</v>
      </c>
      <c r="F66" s="5">
        <v>87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5.6279899999999996</v>
      </c>
      <c r="F67" s="5">
        <v>88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5.6370100000000001</v>
      </c>
      <c r="F68" s="5">
        <v>86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5.6053899999999999</v>
      </c>
      <c r="F69" s="5">
        <v>87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5.6395</v>
      </c>
      <c r="F70" s="5">
        <v>87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257.21257000000003</v>
      </c>
      <c r="E71" s="5">
        <v>11.68483</v>
      </c>
      <c r="F71" s="5">
        <v>173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259.24196999999998</v>
      </c>
      <c r="E72" s="5">
        <v>11.68356</v>
      </c>
      <c r="F72" s="5">
        <v>175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260.23993999999999</v>
      </c>
      <c r="E73" s="5">
        <v>11.687279999999999</v>
      </c>
      <c r="F73" s="5">
        <v>174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258.12184999999999</v>
      </c>
      <c r="E74" s="5">
        <v>11.669639999999999</v>
      </c>
      <c r="F74" s="5">
        <v>171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259.16728999999998</v>
      </c>
      <c r="E75" s="5">
        <v>11.686170000000001</v>
      </c>
      <c r="F75" s="5">
        <v>174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258.11732000000001</v>
      </c>
      <c r="E76" s="5">
        <v>11.694039999999999</v>
      </c>
      <c r="F76" s="5">
        <v>171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258.90071</v>
      </c>
      <c r="E77" s="5">
        <v>11.655860000000001</v>
      </c>
      <c r="F77" s="5">
        <v>175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256.36493999999999</v>
      </c>
      <c r="E78" s="5">
        <v>11.6601</v>
      </c>
      <c r="F78" s="5">
        <v>173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259.03222</v>
      </c>
      <c r="E79" s="5">
        <v>11.650510000000001</v>
      </c>
      <c r="F79" s="5">
        <v>172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257.12272000000002</v>
      </c>
      <c r="E80" s="5">
        <v>11.661630000000001</v>
      </c>
      <c r="F80" s="5">
        <v>169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239.85667000000001</v>
      </c>
      <c r="E81" s="5">
        <v>30.1326</v>
      </c>
      <c r="F81" s="5">
        <v>432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239.28756000000001</v>
      </c>
      <c r="E82" s="5">
        <v>30.129390000000001</v>
      </c>
      <c r="F82" s="5">
        <v>430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238.87823</v>
      </c>
      <c r="E83" s="5">
        <v>30.17802</v>
      </c>
      <c r="F83" s="5">
        <v>430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239.10873000000001</v>
      </c>
      <c r="E84" s="5">
        <v>30.170670000000001</v>
      </c>
      <c r="F84" s="5">
        <v>431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239.39322999999999</v>
      </c>
      <c r="E85" s="5">
        <v>30.140999999999998</v>
      </c>
      <c r="F85" s="5">
        <v>431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239.33541</v>
      </c>
      <c r="E86" s="5">
        <v>30.156089999999999</v>
      </c>
      <c r="F86" s="5">
        <v>428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240.24332999999999</v>
      </c>
      <c r="E87" s="5">
        <v>30.128530000000001</v>
      </c>
      <c r="F87" s="5">
        <v>428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241.15333000000001</v>
      </c>
      <c r="E88" s="5">
        <v>30.135660000000001</v>
      </c>
      <c r="F88" s="5">
        <v>430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239.89332999999999</v>
      </c>
      <c r="E89" s="5">
        <v>30.164459999999998</v>
      </c>
      <c r="F89" s="5">
        <v>433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239.62117000000001</v>
      </c>
      <c r="E90" s="5">
        <v>30.156079999999999</v>
      </c>
      <c r="F90" s="5">
        <v>431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0.58372999999999997</v>
      </c>
      <c r="F91" s="5">
        <v>129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0.59963999999999995</v>
      </c>
      <c r="F92" s="5">
        <v>110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0.58462000000000003</v>
      </c>
      <c r="F93" s="5">
        <v>130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0.58233999999999997</v>
      </c>
      <c r="F94" s="5">
        <v>129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0.58167000000000002</v>
      </c>
      <c r="F95" s="5">
        <v>110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0.58438000000000001</v>
      </c>
      <c r="F96" s="5">
        <v>128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0.58270999999999995</v>
      </c>
      <c r="F97" s="5">
        <v>126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0.58387999999999995</v>
      </c>
      <c r="F98" s="5">
        <v>128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0.58369000000000004</v>
      </c>
      <c r="F99" s="5">
        <v>129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0.58201999999999998</v>
      </c>
      <c r="F100" s="5">
        <v>128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0.76019000000000003</v>
      </c>
      <c r="F101" s="5">
        <v>126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0.73409999999999997</v>
      </c>
      <c r="F102" s="5">
        <v>152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0.73736999999999997</v>
      </c>
      <c r="F103" s="5">
        <v>165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0.73621000000000003</v>
      </c>
      <c r="F104" s="5">
        <v>160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0.73587999999999998</v>
      </c>
      <c r="F105" s="5">
        <v>163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0.73682999999999998</v>
      </c>
      <c r="F106" s="5">
        <v>162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0.73543000000000003</v>
      </c>
      <c r="F107" s="5">
        <v>148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0.73419999999999996</v>
      </c>
      <c r="F108" s="5">
        <v>162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0.73565999999999998</v>
      </c>
      <c r="F109" s="5">
        <v>164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0.73670999999999998</v>
      </c>
      <c r="F110" s="5">
        <v>162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1.2743</v>
      </c>
      <c r="F111" s="5">
        <v>252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1.27739</v>
      </c>
      <c r="F112" s="5">
        <v>277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1.27416</v>
      </c>
      <c r="F113" s="5">
        <v>258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1.2772699999999999</v>
      </c>
      <c r="F114" s="5">
        <v>277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1.27556</v>
      </c>
      <c r="F115" s="5">
        <v>271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1.2745899999999999</v>
      </c>
      <c r="F116" s="5">
        <v>256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1.2762899999999999</v>
      </c>
      <c r="F117" s="5">
        <v>275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1.27755</v>
      </c>
      <c r="F118" s="5">
        <v>276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1.2770600000000001</v>
      </c>
      <c r="F119" s="5">
        <v>255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1.27508</v>
      </c>
      <c r="F120" s="5">
        <v>273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4350.8413700000001</v>
      </c>
      <c r="E121" s="5">
        <v>1.99417</v>
      </c>
      <c r="F121" s="5">
        <v>131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4348.0289499999999</v>
      </c>
      <c r="E122" s="5">
        <v>1.9915799999999999</v>
      </c>
      <c r="F122" s="5">
        <v>141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4348.0289499999999</v>
      </c>
      <c r="E123" s="5">
        <v>1.9939199999999999</v>
      </c>
      <c r="F123" s="5">
        <v>136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4350.8413700000001</v>
      </c>
      <c r="E124" s="5">
        <v>1.9960100000000001</v>
      </c>
      <c r="F124" s="5">
        <v>139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4348.0289499999999</v>
      </c>
      <c r="E125" s="5">
        <v>1.9966200000000001</v>
      </c>
      <c r="F125" s="5">
        <v>134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4348.0289499999999</v>
      </c>
      <c r="E126" s="5">
        <v>1.99641</v>
      </c>
      <c r="F126" s="5">
        <v>140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1.9971300000000001</v>
      </c>
      <c r="F127" s="5">
        <v>136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4350.8413700000001</v>
      </c>
      <c r="E128" s="5">
        <v>1.9938899999999999</v>
      </c>
      <c r="F128" s="5">
        <v>142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1.9989300000000001</v>
      </c>
      <c r="F129" s="5">
        <v>135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4350.8413700000001</v>
      </c>
      <c r="E130" s="5">
        <v>1.99447</v>
      </c>
      <c r="F130" s="5">
        <v>141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2.8657400000000002</v>
      </c>
      <c r="F131" s="5">
        <v>185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2.87134</v>
      </c>
      <c r="F132" s="5">
        <v>192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2.8701699999999999</v>
      </c>
      <c r="F133" s="5">
        <v>196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2.8668100000000001</v>
      </c>
      <c r="F134" s="5">
        <v>192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2.8648799999999999</v>
      </c>
      <c r="F135" s="5">
        <v>189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2.8644099999999999</v>
      </c>
      <c r="F136" s="5">
        <v>196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2.8676699999999999</v>
      </c>
      <c r="F137" s="5">
        <v>193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2.8673099999999998</v>
      </c>
      <c r="F138" s="5">
        <v>191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2.8669099999999998</v>
      </c>
      <c r="F139" s="5">
        <v>199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2.8717100000000002</v>
      </c>
      <c r="F140" s="5">
        <v>193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3.51492</v>
      </c>
      <c r="F141" s="5">
        <v>234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3.5175999999999998</v>
      </c>
      <c r="F142" s="5">
        <v>237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3.5110299999999999</v>
      </c>
      <c r="F143" s="5">
        <v>230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3.5167899999999999</v>
      </c>
      <c r="F144" s="5">
        <v>234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3.5121799999999999</v>
      </c>
      <c r="F145" s="5">
        <v>241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3.5218799999999999</v>
      </c>
      <c r="F146" s="5">
        <v>238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3.5121600000000002</v>
      </c>
      <c r="F147" s="5">
        <v>237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3.5130599999999998</v>
      </c>
      <c r="F148" s="5">
        <v>236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3.5210499999999998</v>
      </c>
      <c r="F149" s="5">
        <v>234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3.51844</v>
      </c>
      <c r="F150" s="5">
        <v>237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42986.403050000001</v>
      </c>
      <c r="E151" s="5">
        <v>4.9009900000000002</v>
      </c>
      <c r="F151" s="5">
        <v>81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42986.403050000001</v>
      </c>
      <c r="E152" s="5">
        <v>4.9326100000000004</v>
      </c>
      <c r="F152" s="5">
        <v>82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42986.193919999998</v>
      </c>
      <c r="E153" s="5">
        <v>4.88626</v>
      </c>
      <c r="F153" s="5">
        <v>81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42986.403050000001</v>
      </c>
      <c r="E154" s="5">
        <v>4.88971</v>
      </c>
      <c r="F154" s="5">
        <v>81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42986.403050000001</v>
      </c>
      <c r="E155" s="5">
        <v>4.91031</v>
      </c>
      <c r="F155" s="5">
        <v>82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42986.802479999998</v>
      </c>
      <c r="E156" s="5">
        <v>4.9081700000000001</v>
      </c>
      <c r="F156" s="5">
        <v>82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42986.345820000002</v>
      </c>
      <c r="E157" s="5">
        <v>4.9113499999999997</v>
      </c>
      <c r="F157" s="5">
        <v>81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42986.345820000002</v>
      </c>
      <c r="E158" s="5">
        <v>4.8978700000000002</v>
      </c>
      <c r="F158" s="5">
        <v>82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42986.802479999998</v>
      </c>
      <c r="E159" s="5">
        <v>4.9038000000000004</v>
      </c>
      <c r="F159" s="5">
        <v>82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42986.345820000002</v>
      </c>
      <c r="E160" s="5">
        <v>4.90808</v>
      </c>
      <c r="F160" s="5">
        <v>81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35742.314599999998</v>
      </c>
      <c r="E161" s="5">
        <v>12.713990000000001</v>
      </c>
      <c r="F161" s="5">
        <v>202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35648.338369999998</v>
      </c>
      <c r="E162" s="5">
        <v>12.708159999999999</v>
      </c>
      <c r="F162" s="5">
        <v>201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35653.122960000001</v>
      </c>
      <c r="E163" s="5">
        <v>12.70069</v>
      </c>
      <c r="F163" s="5">
        <v>201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35649.233370000002</v>
      </c>
      <c r="E164" s="5">
        <v>12.706899999999999</v>
      </c>
      <c r="F164" s="5">
        <v>199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35535.562429999998</v>
      </c>
      <c r="E165" s="5">
        <v>12.738390000000001</v>
      </c>
      <c r="F165" s="5">
        <v>201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35792.39471</v>
      </c>
      <c r="E166" s="5">
        <v>12.738049999999999</v>
      </c>
      <c r="F166" s="5">
        <v>201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35646.466070000002</v>
      </c>
      <c r="E167" s="5">
        <v>12.74381</v>
      </c>
      <c r="F167" s="5">
        <v>202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35786.257440000001</v>
      </c>
      <c r="E168" s="5">
        <v>12.735250000000001</v>
      </c>
      <c r="F168" s="5">
        <v>205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35485.16057</v>
      </c>
      <c r="E169" s="5">
        <v>12.70787</v>
      </c>
      <c r="F169" s="5">
        <v>200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35644.69384</v>
      </c>
      <c r="E170" s="5">
        <v>12.743969999999999</v>
      </c>
      <c r="F170" s="5">
        <v>202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35327.958599999998</v>
      </c>
      <c r="E171" s="5">
        <v>28.51417</v>
      </c>
      <c r="F171" s="5">
        <v>462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35319.893329999999</v>
      </c>
      <c r="E172" s="5">
        <v>28.519950000000001</v>
      </c>
      <c r="F172" s="5">
        <v>459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35311.571929999998</v>
      </c>
      <c r="E173" s="5">
        <v>28.51211</v>
      </c>
      <c r="F173" s="5">
        <v>462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35258.5</v>
      </c>
      <c r="E174" s="5">
        <v>28.524730000000002</v>
      </c>
      <c r="F174" s="5">
        <v>465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35272.827380000002</v>
      </c>
      <c r="E175" s="5">
        <v>28.523209999999999</v>
      </c>
      <c r="F175" s="5">
        <v>462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35352.424570000003</v>
      </c>
      <c r="E176" s="5">
        <v>28.50048</v>
      </c>
      <c r="F176" s="5">
        <v>454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35364.480000000003</v>
      </c>
      <c r="E177" s="5">
        <v>28.510390000000001</v>
      </c>
      <c r="F177" s="5">
        <v>465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35223.339999999997</v>
      </c>
      <c r="E178" s="5">
        <v>28.524090000000001</v>
      </c>
      <c r="F178" s="5">
        <v>462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35256.673329999998</v>
      </c>
      <c r="E179" s="5">
        <v>28.51484</v>
      </c>
      <c r="F179" s="5">
        <v>461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35278.257790000003</v>
      </c>
      <c r="E180" s="5">
        <v>28.519269999999999</v>
      </c>
      <c r="F180" s="5">
        <v>462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0.73309999999999997</v>
      </c>
      <c r="F181" s="5">
        <v>105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0.73468999999999995</v>
      </c>
      <c r="F182" s="5">
        <v>101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0.73504000000000003</v>
      </c>
      <c r="F183" s="5">
        <v>110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0.73072999999999999</v>
      </c>
      <c r="F184" s="5">
        <v>110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0.73473999999999995</v>
      </c>
      <c r="F185" s="5">
        <v>97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0.73021999999999998</v>
      </c>
      <c r="F186" s="5">
        <v>109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0.73304999999999998</v>
      </c>
      <c r="F187" s="5">
        <v>111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0.73243000000000003</v>
      </c>
      <c r="F188" s="5">
        <v>110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0.73341000000000001</v>
      </c>
      <c r="F189" s="5">
        <v>111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0.73397999999999997</v>
      </c>
      <c r="F190" s="5">
        <v>111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677.27696000000003</v>
      </c>
      <c r="E191" s="5">
        <v>1.1373</v>
      </c>
      <c r="F191" s="5">
        <v>151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675.36989000000005</v>
      </c>
      <c r="E192" s="5">
        <v>1.14025</v>
      </c>
      <c r="F192" s="5">
        <v>173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675.36581000000001</v>
      </c>
      <c r="E193" s="5">
        <v>1.1371500000000001</v>
      </c>
      <c r="F193" s="5">
        <v>168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677.26074000000006</v>
      </c>
      <c r="E194" s="5">
        <v>1.14008</v>
      </c>
      <c r="F194" s="5">
        <v>153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675.47581000000002</v>
      </c>
      <c r="E195" s="5">
        <v>1.1377999999999999</v>
      </c>
      <c r="F195" s="5">
        <v>163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675.36581000000001</v>
      </c>
      <c r="E196" s="5">
        <v>1.13669</v>
      </c>
      <c r="F196" s="5">
        <v>170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675.36989000000005</v>
      </c>
      <c r="E197" s="5">
        <v>1.13808</v>
      </c>
      <c r="F197" s="5">
        <v>163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678.07272</v>
      </c>
      <c r="E198" s="5">
        <v>1.1376900000000001</v>
      </c>
      <c r="F198" s="5">
        <v>162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675.36581000000001</v>
      </c>
      <c r="E199" s="5">
        <v>1.13985</v>
      </c>
      <c r="F199" s="5">
        <v>163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675.36989000000005</v>
      </c>
      <c r="E200" s="5">
        <v>1.1355900000000001</v>
      </c>
      <c r="F200" s="5">
        <v>167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657.46325999999999</v>
      </c>
      <c r="E201" s="5">
        <v>2.0665300000000002</v>
      </c>
      <c r="F201" s="5">
        <v>283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656.19402000000002</v>
      </c>
      <c r="E202" s="5">
        <v>2.0676299999999999</v>
      </c>
      <c r="F202" s="5">
        <v>294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658.23289</v>
      </c>
      <c r="E203" s="5">
        <v>2.0693899999999998</v>
      </c>
      <c r="F203" s="5">
        <v>304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658.23289</v>
      </c>
      <c r="E204" s="5">
        <v>2.0709900000000001</v>
      </c>
      <c r="F204" s="5">
        <v>288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655.43295999999998</v>
      </c>
      <c r="E205" s="5">
        <v>2.06643</v>
      </c>
      <c r="F205" s="5">
        <v>301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655.43295999999998</v>
      </c>
      <c r="E206" s="5">
        <v>2.07002</v>
      </c>
      <c r="F206" s="5">
        <v>286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655.43907999999999</v>
      </c>
      <c r="E207" s="5">
        <v>2.0687899999999999</v>
      </c>
      <c r="F207" s="5">
        <v>296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657.32380999999998</v>
      </c>
      <c r="E208" s="5">
        <v>2.0699700000000001</v>
      </c>
      <c r="F208" s="5">
        <v>282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657.32380999999998</v>
      </c>
      <c r="E209" s="5">
        <v>2.0696699999999999</v>
      </c>
      <c r="F209" s="5">
        <v>299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659.97877000000005</v>
      </c>
      <c r="E210" s="5">
        <v>2.0683400000000001</v>
      </c>
      <c r="F210" s="5">
        <v>281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1461.1750099999999</v>
      </c>
      <c r="E211" s="5">
        <v>1.5882000000000001</v>
      </c>
      <c r="F211" s="5">
        <v>95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1459.9687899999999</v>
      </c>
      <c r="E212" s="5">
        <v>1.59755</v>
      </c>
      <c r="F212" s="5">
        <v>102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1483.36385</v>
      </c>
      <c r="E213" s="5">
        <v>1.5972900000000001</v>
      </c>
      <c r="F213" s="5">
        <v>106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1460.0209400000001</v>
      </c>
      <c r="E214" s="5">
        <v>1.5895600000000001</v>
      </c>
      <c r="F214" s="5">
        <v>104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1459.9687899999999</v>
      </c>
      <c r="E215" s="5">
        <v>1.5862000000000001</v>
      </c>
      <c r="F215" s="5">
        <v>104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1459.9687899999999</v>
      </c>
      <c r="E216" s="5">
        <v>1.5891</v>
      </c>
      <c r="F216" s="5">
        <v>105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1459.9687899999999</v>
      </c>
      <c r="E217" s="5">
        <v>1.59127</v>
      </c>
      <c r="F217" s="5">
        <v>102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1459.9687899999999</v>
      </c>
      <c r="E218" s="5">
        <v>1.5863799999999999</v>
      </c>
      <c r="F218" s="5">
        <v>105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1483.36385</v>
      </c>
      <c r="E219" s="5">
        <v>1.5893600000000001</v>
      </c>
      <c r="F219" s="5">
        <v>106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1459.9687899999999</v>
      </c>
      <c r="E220" s="5">
        <v>1.5975200000000001</v>
      </c>
      <c r="F220" s="5">
        <v>101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1009.20867</v>
      </c>
      <c r="E221" s="5">
        <v>4.5458100000000004</v>
      </c>
      <c r="F221" s="5">
        <v>283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1015.87215</v>
      </c>
      <c r="E222" s="5">
        <v>4.5467399999999998</v>
      </c>
      <c r="F222" s="5">
        <v>292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1016.1746000000001</v>
      </c>
      <c r="E223" s="5">
        <v>4.5487000000000002</v>
      </c>
      <c r="F223" s="5">
        <v>295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1012.4457200000001</v>
      </c>
      <c r="E224" s="5">
        <v>4.5484600000000004</v>
      </c>
      <c r="F224" s="5">
        <v>294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1016.18362</v>
      </c>
      <c r="E225" s="5">
        <v>4.5541200000000002</v>
      </c>
      <c r="F225" s="5">
        <v>287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1020.7832100000001</v>
      </c>
      <c r="E226" s="5">
        <v>4.5510799999999998</v>
      </c>
      <c r="F226" s="5">
        <v>294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1015.5940900000001</v>
      </c>
      <c r="E227" s="5">
        <v>4.5498799999999999</v>
      </c>
      <c r="F227" s="5">
        <v>291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1019.04311</v>
      </c>
      <c r="E228" s="5">
        <v>4.5438999999999998</v>
      </c>
      <c r="F228" s="5">
        <v>293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1009.37908</v>
      </c>
      <c r="E229" s="5">
        <v>4.5512199999999998</v>
      </c>
      <c r="F229" s="5">
        <v>297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1018.33901</v>
      </c>
      <c r="E230" s="5">
        <v>4.5487299999999999</v>
      </c>
      <c r="F230" s="5">
        <v>292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997.75333000000001</v>
      </c>
      <c r="E231" s="5">
        <v>8.3889700000000005</v>
      </c>
      <c r="F231" s="5">
        <v>528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994.77441999999996</v>
      </c>
      <c r="E232" s="5">
        <v>8.3966200000000004</v>
      </c>
      <c r="F232" s="5">
        <v>524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995.64332999999999</v>
      </c>
      <c r="E233" s="5">
        <v>8.3916500000000003</v>
      </c>
      <c r="F233" s="5">
        <v>521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994.21615999999995</v>
      </c>
      <c r="E234" s="5">
        <v>8.3974799999999998</v>
      </c>
      <c r="F234" s="5">
        <v>522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1001.65344</v>
      </c>
      <c r="E235" s="5">
        <v>8.3911599999999993</v>
      </c>
      <c r="F235" s="5">
        <v>524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994.75451999999996</v>
      </c>
      <c r="E236" s="5">
        <v>8.3921299999999999</v>
      </c>
      <c r="F236" s="5">
        <v>520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1001.44366</v>
      </c>
      <c r="E237" s="5">
        <v>8.3957800000000002</v>
      </c>
      <c r="F237" s="5">
        <v>518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998.93699000000004</v>
      </c>
      <c r="E238" s="5">
        <v>8.3925000000000001</v>
      </c>
      <c r="F238" s="5">
        <v>519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996.42502999999999</v>
      </c>
      <c r="E239" s="5">
        <v>8.3934800000000003</v>
      </c>
      <c r="F239" s="5">
        <v>520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995.55094999999994</v>
      </c>
      <c r="E240" s="5">
        <v>8.3863900000000005</v>
      </c>
      <c r="F240" s="5">
        <v>522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1834.98956</v>
      </c>
      <c r="E241" s="5">
        <v>5.0818599999999998</v>
      </c>
      <c r="F241" s="5">
        <v>94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1877.06738</v>
      </c>
      <c r="E242" s="5">
        <v>5.0421300000000002</v>
      </c>
      <c r="F242" s="5">
        <v>94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1824.405</v>
      </c>
      <c r="E243" s="5">
        <v>5.0733800000000002</v>
      </c>
      <c r="F243" s="5">
        <v>95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1847.72864</v>
      </c>
      <c r="E244" s="5">
        <v>5.07639</v>
      </c>
      <c r="F244" s="5">
        <v>96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1822.2385200000001</v>
      </c>
      <c r="E245" s="5">
        <v>5.0740299999999996</v>
      </c>
      <c r="F245" s="5">
        <v>95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1820.13293</v>
      </c>
      <c r="E246" s="5">
        <v>5.03925</v>
      </c>
      <c r="F246" s="5">
        <v>95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1821.5547200000001</v>
      </c>
      <c r="E247" s="5">
        <v>5.0440199999999997</v>
      </c>
      <c r="F247" s="5">
        <v>95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1829.83341</v>
      </c>
      <c r="E248" s="5">
        <v>5.0476000000000001</v>
      </c>
      <c r="F248" s="5">
        <v>95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1855.38291</v>
      </c>
      <c r="E249" s="5">
        <v>5.0694100000000004</v>
      </c>
      <c r="F249" s="5">
        <v>95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1796.8859</v>
      </c>
      <c r="E250" s="5">
        <v>5.0442400000000003</v>
      </c>
      <c r="F250" s="5">
        <v>95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1787.14508</v>
      </c>
      <c r="E251" s="5">
        <v>9.3685399999999994</v>
      </c>
      <c r="F251" s="5">
        <v>166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1770.08</v>
      </c>
      <c r="E252" s="5">
        <v>9.3864800000000006</v>
      </c>
      <c r="F252" s="5">
        <v>172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1783.1351999999999</v>
      </c>
      <c r="E253" s="5">
        <v>9.3690300000000004</v>
      </c>
      <c r="F253" s="5">
        <v>169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1786.3896999999999</v>
      </c>
      <c r="E254" s="5">
        <v>9.3962500000000002</v>
      </c>
      <c r="F254" s="5">
        <v>168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1783.9784500000001</v>
      </c>
      <c r="E255" s="5">
        <v>9.4033200000000008</v>
      </c>
      <c r="F255" s="5">
        <v>167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1768.1744699999999</v>
      </c>
      <c r="E256" s="5">
        <v>9.37331</v>
      </c>
      <c r="F256" s="5">
        <v>169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1773.9231600000001</v>
      </c>
      <c r="E257" s="5">
        <v>9.4075699999999998</v>
      </c>
      <c r="F257" s="5">
        <v>170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1770.94</v>
      </c>
      <c r="E258" s="5">
        <v>9.4047199999999993</v>
      </c>
      <c r="F258" s="5">
        <v>173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1793.49667</v>
      </c>
      <c r="E259" s="5">
        <v>9.4031500000000001</v>
      </c>
      <c r="F259" s="5">
        <v>165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1773.6867</v>
      </c>
      <c r="E260" s="5">
        <v>9.3747199999999999</v>
      </c>
      <c r="F260" s="5">
        <v>171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1758.36913</v>
      </c>
      <c r="E261" s="5">
        <v>15.36628</v>
      </c>
      <c r="F261" s="5">
        <v>268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1757.51333</v>
      </c>
      <c r="E262" s="5">
        <v>15.3477</v>
      </c>
      <c r="F262" s="5">
        <v>268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1760.6961699999999</v>
      </c>
      <c r="E263" s="5">
        <v>15.34942</v>
      </c>
      <c r="F263" s="5">
        <v>270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1757.48206</v>
      </c>
      <c r="E264" s="5">
        <v>15.34047</v>
      </c>
      <c r="F264" s="5">
        <v>268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1758.8833299999999</v>
      </c>
      <c r="E265" s="5">
        <v>15.33418</v>
      </c>
      <c r="F265" s="5">
        <v>269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1755.79224</v>
      </c>
      <c r="E266" s="5">
        <v>15.35586</v>
      </c>
      <c r="F266" s="5">
        <v>266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1758.1551999999999</v>
      </c>
      <c r="E267" s="5">
        <v>15.357620000000001</v>
      </c>
      <c r="F267" s="5">
        <v>269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1758.08</v>
      </c>
      <c r="E268" s="5">
        <v>15.372339999999999</v>
      </c>
      <c r="F268" s="5">
        <v>270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1757.9815699999999</v>
      </c>
      <c r="E269" s="5">
        <v>15.34259</v>
      </c>
      <c r="F269" s="5">
        <v>267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1756.9732200000001</v>
      </c>
      <c r="E270" s="5">
        <v>15.36881</v>
      </c>
      <c r="F270" s="5">
        <v>269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41.318849999999998</v>
      </c>
      <c r="E271" s="5">
        <v>0.58870999999999996</v>
      </c>
      <c r="F271" s="5">
        <v>96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41.318849999999998</v>
      </c>
      <c r="E272" s="5">
        <v>0.61134999999999995</v>
      </c>
      <c r="F272" s="5">
        <v>60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42.424349999999997</v>
      </c>
      <c r="E273" s="5">
        <v>0.58948</v>
      </c>
      <c r="F273" s="5">
        <v>94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42.003050000000002</v>
      </c>
      <c r="E274" s="5">
        <v>0.58565</v>
      </c>
      <c r="F274" s="5">
        <v>91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41.318849999999998</v>
      </c>
      <c r="E275" s="5">
        <v>0.58940000000000003</v>
      </c>
      <c r="F275" s="5">
        <v>95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42.424349999999997</v>
      </c>
      <c r="E276" s="5">
        <v>0.58877999999999997</v>
      </c>
      <c r="F276" s="5">
        <v>92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42.424349999999997</v>
      </c>
      <c r="E277" s="5">
        <v>0.58643000000000001</v>
      </c>
      <c r="F277" s="5">
        <v>92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42.424349999999997</v>
      </c>
      <c r="E278" s="5">
        <v>0.58718000000000004</v>
      </c>
      <c r="F278" s="5">
        <v>92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42.003050000000002</v>
      </c>
      <c r="E279" s="5">
        <v>0.58953</v>
      </c>
      <c r="F279" s="5">
        <v>85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41.318849999999998</v>
      </c>
      <c r="E280" s="5">
        <v>0.58694999999999997</v>
      </c>
      <c r="F280" s="5">
        <v>95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28.65624</v>
      </c>
      <c r="E281" s="5">
        <v>0.87580000000000002</v>
      </c>
      <c r="F281" s="5">
        <v>147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0.87343000000000004</v>
      </c>
      <c r="F282" s="5">
        <v>142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28.65436</v>
      </c>
      <c r="E283" s="5">
        <v>0.87419999999999998</v>
      </c>
      <c r="F283" s="5">
        <v>157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0.87648000000000004</v>
      </c>
      <c r="F284" s="5">
        <v>159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28.65624</v>
      </c>
      <c r="E285" s="5">
        <v>0.87363000000000002</v>
      </c>
      <c r="F285" s="5">
        <v>143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28.65436</v>
      </c>
      <c r="E286" s="5">
        <v>0.87463999999999997</v>
      </c>
      <c r="F286" s="5">
        <v>161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28.65436</v>
      </c>
      <c r="E287" s="5">
        <v>0.87622</v>
      </c>
      <c r="F287" s="5">
        <v>160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0.87504999999999999</v>
      </c>
      <c r="F288" s="5">
        <v>160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28.65624</v>
      </c>
      <c r="E289" s="5">
        <v>0.87429000000000001</v>
      </c>
      <c r="F289" s="5">
        <v>152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0.87385999999999997</v>
      </c>
      <c r="F290" s="5">
        <v>146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28.602029999999999</v>
      </c>
      <c r="E291" s="5">
        <v>1.13158</v>
      </c>
      <c r="F291" s="5">
        <v>168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28.592030000000001</v>
      </c>
      <c r="E292" s="5">
        <v>1.1333599999999999</v>
      </c>
      <c r="F292" s="5">
        <v>196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28.587009999999999</v>
      </c>
      <c r="E293" s="5">
        <v>1.1311100000000001</v>
      </c>
      <c r="F293" s="5">
        <v>194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28.546240000000001</v>
      </c>
      <c r="E294" s="5">
        <v>1.1329199999999999</v>
      </c>
      <c r="F294" s="5">
        <v>190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28.592030000000001</v>
      </c>
      <c r="E295" s="5">
        <v>1.13324</v>
      </c>
      <c r="F295" s="5">
        <v>188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28.592030000000001</v>
      </c>
      <c r="E296" s="5">
        <v>1.1342000000000001</v>
      </c>
      <c r="F296" s="5">
        <v>203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28.602029999999999</v>
      </c>
      <c r="E297" s="5">
        <v>1.1349</v>
      </c>
      <c r="F297" s="5">
        <v>201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28.60624</v>
      </c>
      <c r="E298" s="5">
        <v>1.13205</v>
      </c>
      <c r="F298" s="5">
        <v>186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28.592030000000001</v>
      </c>
      <c r="E299" s="5">
        <v>1.13483</v>
      </c>
      <c r="F299" s="5">
        <v>200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28.504100000000001</v>
      </c>
      <c r="E300" s="5">
        <v>1.13141</v>
      </c>
      <c r="F300" s="5">
        <v>199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59.971150000000002</v>
      </c>
      <c r="E301" s="5">
        <v>1.93116</v>
      </c>
      <c r="F301" s="5">
        <v>114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59.069510000000001</v>
      </c>
      <c r="E302" s="5">
        <v>1.9264300000000001</v>
      </c>
      <c r="F302" s="5">
        <v>117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56.901339999999998</v>
      </c>
      <c r="E303" s="5">
        <v>1.9230100000000001</v>
      </c>
      <c r="F303" s="5">
        <v>120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56.901339999999998</v>
      </c>
      <c r="E304" s="5">
        <v>1.92459</v>
      </c>
      <c r="F304" s="5">
        <v>117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59.056179999999998</v>
      </c>
      <c r="E305" s="5">
        <v>1.9259299999999999</v>
      </c>
      <c r="F305" s="5">
        <v>120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59.069510000000001</v>
      </c>
      <c r="E306" s="5">
        <v>1.929</v>
      </c>
      <c r="F306" s="5">
        <v>116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56.96134</v>
      </c>
      <c r="E307" s="5">
        <v>1.9238999999999999</v>
      </c>
      <c r="F307" s="5">
        <v>120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59.279589999999999</v>
      </c>
      <c r="E308" s="5">
        <v>1.92272</v>
      </c>
      <c r="F308" s="5">
        <v>120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59.03134</v>
      </c>
      <c r="E309" s="5">
        <v>1.9244300000000001</v>
      </c>
      <c r="F309" s="5">
        <v>121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56.901339999999998</v>
      </c>
      <c r="E310" s="5">
        <v>1.9254100000000001</v>
      </c>
      <c r="F310" s="5">
        <v>123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53.242750000000001</v>
      </c>
      <c r="E311" s="5">
        <v>3.7508599999999999</v>
      </c>
      <c r="F311" s="5">
        <v>220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53.475070000000002</v>
      </c>
      <c r="E312" s="5">
        <v>3.7525900000000001</v>
      </c>
      <c r="F312" s="5">
        <v>228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53.592660000000002</v>
      </c>
      <c r="E313" s="5">
        <v>3.76152</v>
      </c>
      <c r="F313" s="5">
        <v>230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53.262659999999997</v>
      </c>
      <c r="E314" s="5">
        <v>3.7597100000000001</v>
      </c>
      <c r="F314" s="5">
        <v>234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53.575069999999997</v>
      </c>
      <c r="E315" s="5">
        <v>3.75658</v>
      </c>
      <c r="F315" s="5">
        <v>230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53.598730000000003</v>
      </c>
      <c r="E316" s="5">
        <v>3.76078</v>
      </c>
      <c r="F316" s="5">
        <v>226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53.466079999999998</v>
      </c>
      <c r="E317" s="5">
        <v>3.7529400000000002</v>
      </c>
      <c r="F317" s="5">
        <v>226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53.445070000000001</v>
      </c>
      <c r="E318" s="5">
        <v>3.7631399999999999</v>
      </c>
      <c r="F318" s="5">
        <v>230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53.616079999999997</v>
      </c>
      <c r="E319" s="5">
        <v>3.75298</v>
      </c>
      <c r="F319" s="5">
        <v>229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53.922750000000001</v>
      </c>
      <c r="E320" s="5">
        <v>3.7609599999999999</v>
      </c>
      <c r="F320" s="5">
        <v>226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53.553809999999999</v>
      </c>
      <c r="E321" s="5">
        <v>6.0786100000000003</v>
      </c>
      <c r="F321" s="5">
        <v>350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53.257489999999997</v>
      </c>
      <c r="E322" s="5">
        <v>6.08263</v>
      </c>
      <c r="F322" s="5">
        <v>350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53.430709999999998</v>
      </c>
      <c r="E323" s="5">
        <v>6.0816699999999999</v>
      </c>
      <c r="F323" s="5">
        <v>352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53.147570000000002</v>
      </c>
      <c r="E324" s="5">
        <v>6.0792900000000003</v>
      </c>
      <c r="F324" s="5">
        <v>352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53.257489999999997</v>
      </c>
      <c r="E325" s="5">
        <v>6.0842999999999998</v>
      </c>
      <c r="F325" s="5">
        <v>353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53.38749</v>
      </c>
      <c r="E326" s="5">
        <v>6.0781299999999998</v>
      </c>
      <c r="F326" s="5">
        <v>350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53.337490000000003</v>
      </c>
      <c r="E327" s="5">
        <v>6.08127</v>
      </c>
      <c r="F327" s="5">
        <v>353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53.115519999999997</v>
      </c>
      <c r="E328" s="5">
        <v>6.07761</v>
      </c>
      <c r="F328" s="5">
        <v>355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53.505600000000001</v>
      </c>
      <c r="E329" s="5">
        <v>6.0748199999999999</v>
      </c>
      <c r="F329" s="5">
        <v>349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53.143889999999999</v>
      </c>
      <c r="E330" s="5">
        <v>6.0843999999999996</v>
      </c>
      <c r="F330" s="5">
        <v>355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148.32163</v>
      </c>
      <c r="E331" s="5">
        <v>7.03817</v>
      </c>
      <c r="F331" s="5">
        <v>122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148.25163000000001</v>
      </c>
      <c r="E332" s="5">
        <v>7.05105</v>
      </c>
      <c r="F332" s="5">
        <v>123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148.22979000000001</v>
      </c>
      <c r="E333" s="5">
        <v>7.0521200000000004</v>
      </c>
      <c r="F333" s="5">
        <v>126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148.23987</v>
      </c>
      <c r="E334" s="5">
        <v>7.02691</v>
      </c>
      <c r="F334" s="5">
        <v>125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148.17402999999999</v>
      </c>
      <c r="E335" s="5">
        <v>7.06846</v>
      </c>
      <c r="F335" s="5">
        <v>124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148.23987</v>
      </c>
      <c r="E336" s="5">
        <v>7.0379500000000004</v>
      </c>
      <c r="F336" s="5">
        <v>126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148.19365999999999</v>
      </c>
      <c r="E337" s="5">
        <v>7.0291600000000001</v>
      </c>
      <c r="F337" s="5">
        <v>124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148.19901999999999</v>
      </c>
      <c r="E338" s="5">
        <v>7.04922</v>
      </c>
      <c r="F338" s="5">
        <v>122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148.19282999999999</v>
      </c>
      <c r="E339" s="5">
        <v>7.0470199999999998</v>
      </c>
      <c r="F339" s="5">
        <v>126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148.28617</v>
      </c>
      <c r="E340" s="5">
        <v>7.0598700000000001</v>
      </c>
      <c r="F340" s="5">
        <v>125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107.99261</v>
      </c>
      <c r="E341" s="5">
        <v>16.83051</v>
      </c>
      <c r="F341" s="5">
        <v>277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108.35063</v>
      </c>
      <c r="E342" s="5">
        <v>16.816099999999999</v>
      </c>
      <c r="F342" s="5">
        <v>283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108.36821</v>
      </c>
      <c r="E343" s="5">
        <v>16.817910000000001</v>
      </c>
      <c r="F343" s="5">
        <v>285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107.79337</v>
      </c>
      <c r="E344" s="5">
        <v>16.796009999999999</v>
      </c>
      <c r="F344" s="5">
        <v>281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108.50127999999999</v>
      </c>
      <c r="E345" s="5">
        <v>16.803930000000001</v>
      </c>
      <c r="F345" s="5">
        <v>283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107.99866</v>
      </c>
      <c r="E346" s="5">
        <v>16.819739999999999</v>
      </c>
      <c r="F346" s="5">
        <v>284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107.99169999999999</v>
      </c>
      <c r="E347" s="5">
        <v>16.799420000000001</v>
      </c>
      <c r="F347" s="5">
        <v>282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108.45428</v>
      </c>
      <c r="E348" s="5">
        <v>16.821079999999998</v>
      </c>
      <c r="F348" s="5">
        <v>281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108.53247</v>
      </c>
      <c r="E349" s="5">
        <v>16.818169999999999</v>
      </c>
      <c r="F349" s="5">
        <v>281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108.45698</v>
      </c>
      <c r="E350" s="5">
        <v>16.81456</v>
      </c>
      <c r="F350" s="5">
        <v>282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104.09366</v>
      </c>
      <c r="E351" s="5">
        <v>29.359190000000002</v>
      </c>
      <c r="F351" s="5">
        <v>464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104.16829</v>
      </c>
      <c r="E352" s="5">
        <v>29.346530000000001</v>
      </c>
      <c r="F352" s="5">
        <v>468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104.13912999999999</v>
      </c>
      <c r="E353" s="5">
        <v>29.37548</v>
      </c>
      <c r="F353" s="5">
        <v>469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103.88413</v>
      </c>
      <c r="E354" s="5">
        <v>29.36373</v>
      </c>
      <c r="F354" s="5">
        <v>470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104.12503</v>
      </c>
      <c r="E355" s="5">
        <v>29.33783</v>
      </c>
      <c r="F355" s="5">
        <v>467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104.01253</v>
      </c>
      <c r="E356" s="5">
        <v>29.373940000000001</v>
      </c>
      <c r="F356" s="5">
        <v>468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104.12329</v>
      </c>
      <c r="E357" s="5">
        <v>29.348559999999999</v>
      </c>
      <c r="F357" s="5">
        <v>469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103.9543</v>
      </c>
      <c r="E358" s="5">
        <v>29.348559999999999</v>
      </c>
      <c r="F358" s="5">
        <v>469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104.07337</v>
      </c>
      <c r="E359" s="5">
        <v>29.351089999999999</v>
      </c>
      <c r="F359" s="5">
        <v>472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104.1367</v>
      </c>
      <c r="E360" s="5">
        <v>29.348960000000002</v>
      </c>
      <c r="F360" s="5">
        <v>457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0.54125999999999996</v>
      </c>
      <c r="F361" s="5">
        <v>76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0.58714999999999995</v>
      </c>
      <c r="F362" s="5">
        <v>71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0.54457999999999995</v>
      </c>
      <c r="F363" s="5">
        <v>70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0.54237999999999997</v>
      </c>
      <c r="F364" s="5">
        <v>75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0.54596</v>
      </c>
      <c r="F365" s="5">
        <v>76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0.54318</v>
      </c>
      <c r="F366" s="5">
        <v>76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0.54269000000000001</v>
      </c>
      <c r="F367" s="5">
        <v>76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0.54157999999999995</v>
      </c>
      <c r="F368" s="5">
        <v>76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0.54339000000000004</v>
      </c>
      <c r="F369" s="5">
        <v>68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0.54254000000000002</v>
      </c>
      <c r="F370" s="5">
        <v>77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0.87526999999999999</v>
      </c>
      <c r="F371" s="5">
        <v>121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0.87468999999999997</v>
      </c>
      <c r="F372" s="5">
        <v>110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0.87326000000000004</v>
      </c>
      <c r="F373" s="5">
        <v>132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0.875</v>
      </c>
      <c r="F374" s="5">
        <v>132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0.87319999999999998</v>
      </c>
      <c r="F375" s="5">
        <v>131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0.87590999999999997</v>
      </c>
      <c r="F376" s="5">
        <v>129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0.87117999999999995</v>
      </c>
      <c r="F377" s="5">
        <v>126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0.87336999999999998</v>
      </c>
      <c r="F378" s="5">
        <v>130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0.87619000000000002</v>
      </c>
      <c r="F379" s="5">
        <v>130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0.87350000000000005</v>
      </c>
      <c r="F380" s="5">
        <v>132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1.14836</v>
      </c>
      <c r="F381" s="5">
        <v>152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1.15272</v>
      </c>
      <c r="F382" s="5">
        <v>162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1.1517900000000001</v>
      </c>
      <c r="F383" s="5">
        <v>170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1.1512899999999999</v>
      </c>
      <c r="F384" s="5">
        <v>165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1.15564</v>
      </c>
      <c r="F385" s="5">
        <v>169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1.15097</v>
      </c>
      <c r="F386" s="5">
        <v>165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1.14808</v>
      </c>
      <c r="F387" s="5">
        <v>171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1.1528</v>
      </c>
      <c r="F388" s="5">
        <v>173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1.15171</v>
      </c>
      <c r="F389" s="5">
        <v>159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1.15238</v>
      </c>
      <c r="F390" s="5">
        <v>169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1.11138</v>
      </c>
      <c r="F391" s="5">
        <v>49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1.1162399999999999</v>
      </c>
      <c r="F392" s="5">
        <v>55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1.11016</v>
      </c>
      <c r="F393" s="5">
        <v>53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1.1081700000000001</v>
      </c>
      <c r="F394" s="5">
        <v>55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1.11324</v>
      </c>
      <c r="F395" s="5">
        <v>56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1.11456</v>
      </c>
      <c r="F396" s="5">
        <v>53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1.12097</v>
      </c>
      <c r="F397" s="5">
        <v>55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1.1158999999999999</v>
      </c>
      <c r="F398" s="5">
        <v>55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1.11561</v>
      </c>
      <c r="F399" s="5">
        <v>54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1.1107800000000001</v>
      </c>
      <c r="F400" s="5">
        <v>50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2.4940500000000001</v>
      </c>
      <c r="F401" s="5">
        <v>119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2.4898799999999999</v>
      </c>
      <c r="F402" s="5">
        <v>117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2.4982700000000002</v>
      </c>
      <c r="F403" s="5">
        <v>116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2.4910299999999999</v>
      </c>
      <c r="F404" s="5">
        <v>120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2.48875</v>
      </c>
      <c r="F405" s="5">
        <v>119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2.49092</v>
      </c>
      <c r="F406" s="5">
        <v>122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2.4894699999999998</v>
      </c>
      <c r="F407" s="5">
        <v>121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2.4897100000000001</v>
      </c>
      <c r="F408" s="5">
        <v>123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2.49715</v>
      </c>
      <c r="F409" s="5">
        <v>121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2.4898699999999998</v>
      </c>
      <c r="F410" s="5">
        <v>118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2.7294100000000001</v>
      </c>
      <c r="F411" s="5">
        <v>124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2.7301000000000002</v>
      </c>
      <c r="F412" s="5">
        <v>130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2.7309899999999998</v>
      </c>
      <c r="F413" s="5">
        <v>128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2.73671</v>
      </c>
      <c r="F414" s="5">
        <v>127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2.7260499999999999</v>
      </c>
      <c r="F415" s="5">
        <v>125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2.7343700000000002</v>
      </c>
      <c r="F416" s="5">
        <v>128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2.7335500000000001</v>
      </c>
      <c r="F417" s="5">
        <v>128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2.72336</v>
      </c>
      <c r="F418" s="5">
        <v>131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2.7302300000000002</v>
      </c>
      <c r="F419" s="5">
        <v>128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2.7584900000000001</v>
      </c>
      <c r="F420" s="5">
        <v>129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2.98678</v>
      </c>
      <c r="F421" s="5">
        <v>54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2.9757600000000002</v>
      </c>
      <c r="F422" s="5">
        <v>55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3.0206599999999999</v>
      </c>
      <c r="F423" s="5">
        <v>57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2.9715500000000001</v>
      </c>
      <c r="F424" s="5">
        <v>56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3.0015100000000001</v>
      </c>
      <c r="F425" s="5">
        <v>55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2.9942799999999998</v>
      </c>
      <c r="F426" s="5">
        <v>54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2.9954200000000002</v>
      </c>
      <c r="F427" s="5">
        <v>56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2.9823400000000002</v>
      </c>
      <c r="F428" s="5">
        <v>56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3.0076399999999999</v>
      </c>
      <c r="F429" s="5">
        <v>56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3.00508</v>
      </c>
      <c r="F430" s="5">
        <v>55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3.8111999999999999</v>
      </c>
      <c r="F431" s="5">
        <v>67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3.79664</v>
      </c>
      <c r="F432" s="5">
        <v>69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3.8083499999999999</v>
      </c>
      <c r="F433" s="5">
        <v>69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3.7730899999999998</v>
      </c>
      <c r="F434" s="5">
        <v>68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3.79575</v>
      </c>
      <c r="F435" s="5">
        <v>69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3.8091699999999999</v>
      </c>
      <c r="F436" s="5">
        <v>69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3.8090999999999999</v>
      </c>
      <c r="F437" s="5">
        <v>69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3.77542</v>
      </c>
      <c r="F438" s="5">
        <v>69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3.8066800000000001</v>
      </c>
      <c r="F439" s="5">
        <v>69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3.8026900000000001</v>
      </c>
      <c r="F440" s="5">
        <v>69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5.49099</v>
      </c>
      <c r="F441" s="5">
        <v>94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5.4849699999999997</v>
      </c>
      <c r="F442" s="5">
        <v>95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5.4722299999999997</v>
      </c>
      <c r="F443" s="5">
        <v>95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5.5015900000000002</v>
      </c>
      <c r="F444" s="5">
        <v>95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5.4771400000000003</v>
      </c>
      <c r="F445" s="5">
        <v>96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5.4809900000000003</v>
      </c>
      <c r="F446" s="5">
        <v>95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5.4812200000000004</v>
      </c>
      <c r="F447" s="5">
        <v>95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5.47126</v>
      </c>
      <c r="F448" s="5">
        <v>95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5.4594399999999998</v>
      </c>
      <c r="F449" s="5">
        <v>95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5.46244</v>
      </c>
      <c r="F450" s="5">
        <v>95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S1"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0.54857</v>
      </c>
      <c r="F1" s="5">
        <v>53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0.54730000000000001</v>
      </c>
      <c r="F2" s="5">
        <v>47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0.54708000000000001</v>
      </c>
      <c r="F3" s="5">
        <v>57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170.35004000000001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0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0.54559000000000002</v>
      </c>
      <c r="F4" s="5">
        <v>62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0.54544999999999999</v>
      </c>
      <c r="F5" s="5">
        <v>62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0.54742999999999997</v>
      </c>
      <c r="F6" s="5">
        <v>47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0.54408000000000001</v>
      </c>
      <c r="F7" s="5">
        <v>60</v>
      </c>
      <c r="H7" s="5" t="s">
        <v>27</v>
      </c>
      <c r="I7" s="5">
        <v>50</v>
      </c>
      <c r="J7" s="5">
        <v>1</v>
      </c>
      <c r="L7" s="5">
        <f t="shared" ca="1" si="11"/>
        <v>180.05332999999999</v>
      </c>
      <c r="M7" s="5">
        <f t="shared" ca="1" si="0"/>
        <v>180.05332999999999</v>
      </c>
      <c r="N7" s="5">
        <f t="shared" ca="1" si="0"/>
        <v>179.95332999999999</v>
      </c>
      <c r="O7" s="5">
        <f t="shared" ca="1" si="0"/>
        <v>181.5967</v>
      </c>
      <c r="P7" s="5">
        <f t="shared" ca="1" si="0"/>
        <v>180.37180000000001</v>
      </c>
      <c r="Q7" s="5">
        <f t="shared" ca="1" si="0"/>
        <v>179.93769</v>
      </c>
      <c r="R7" s="5">
        <f t="shared" ca="1" si="0"/>
        <v>180.33667</v>
      </c>
      <c r="S7" s="5">
        <f t="shared" ca="1" si="0"/>
        <v>181.92667</v>
      </c>
      <c r="T7" s="5">
        <f t="shared" ca="1" si="0"/>
        <v>180.05332999999999</v>
      </c>
      <c r="U7" s="5">
        <f t="shared" ca="1" si="0"/>
        <v>179.67332999999999</v>
      </c>
      <c r="W7" s="5">
        <f t="shared" ca="1" si="12"/>
        <v>180.39561800000001</v>
      </c>
      <c r="Y7" s="5">
        <f ca="1">Total!E7</f>
        <v>179.67332999999999</v>
      </c>
      <c r="AB7" s="5">
        <f t="shared" ca="1" si="1"/>
        <v>2.1149493917655754E-3</v>
      </c>
      <c r="AC7" s="5">
        <f t="shared" ca="1" si="2"/>
        <v>2.1149493917655754E-3</v>
      </c>
      <c r="AD7" s="5">
        <f t="shared" ca="1" si="3"/>
        <v>1.5583837623536067E-3</v>
      </c>
      <c r="AE7" s="5">
        <f t="shared" ca="1" si="4"/>
        <v>1.0704816346421618E-2</v>
      </c>
      <c r="AF7" s="5">
        <f t="shared" ca="1" si="5"/>
        <v>3.8874439517540783E-3</v>
      </c>
      <c r="AG7" s="5">
        <f t="shared" ca="1" si="6"/>
        <v>1.4713368979136225E-3</v>
      </c>
      <c r="AH7" s="5">
        <f t="shared" ca="1" si="7"/>
        <v>3.6919224461415901E-3</v>
      </c>
      <c r="AI7" s="5">
        <f t="shared" ca="1" si="8"/>
        <v>1.254131595379241E-2</v>
      </c>
      <c r="AJ7" s="5">
        <f t="shared" ca="1" si="9"/>
        <v>2.1149493917655754E-3</v>
      </c>
      <c r="AK7" s="5">
        <f t="shared" ca="1" si="10"/>
        <v>0</v>
      </c>
      <c r="AM7" s="5">
        <f t="shared" ca="1" si="13"/>
        <v>4.0200067533673653E-2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0.55459999999999998</v>
      </c>
      <c r="F8" s="5">
        <v>47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0.54710999999999999</v>
      </c>
      <c r="F9" s="5">
        <v>63</v>
      </c>
      <c r="H9" s="5" t="s">
        <v>27</v>
      </c>
      <c r="I9" s="5">
        <v>100</v>
      </c>
      <c r="J9" s="5">
        <v>0.7</v>
      </c>
      <c r="L9" s="5">
        <f t="shared" ca="1" si="11"/>
        <v>259.68993999999998</v>
      </c>
      <c r="M9" s="5">
        <f t="shared" ca="1" si="0"/>
        <v>259.65879999999999</v>
      </c>
      <c r="N9" s="5">
        <f t="shared" ca="1" si="0"/>
        <v>258.40397999999999</v>
      </c>
      <c r="O9" s="5">
        <f t="shared" ca="1" si="0"/>
        <v>260.05462</v>
      </c>
      <c r="P9" s="5">
        <f t="shared" ca="1" si="0"/>
        <v>257.34735999999998</v>
      </c>
      <c r="Q9" s="5">
        <f t="shared" ca="1" si="0"/>
        <v>255.68459999999999</v>
      </c>
      <c r="R9" s="5">
        <f t="shared" ca="1" si="0"/>
        <v>256.59073999999998</v>
      </c>
      <c r="S9" s="5">
        <f t="shared" ca="1" si="0"/>
        <v>256.37261000000001</v>
      </c>
      <c r="T9" s="5">
        <f t="shared" ca="1" si="0"/>
        <v>259.17493999999999</v>
      </c>
      <c r="U9" s="5">
        <f t="shared" ca="1" si="0"/>
        <v>259.46742</v>
      </c>
      <c r="W9" s="5">
        <f t="shared" ca="1" si="12"/>
        <v>258.24450099999996</v>
      </c>
      <c r="Y9" s="5">
        <f ca="1">Total!E9</f>
        <v>255.18879999999999</v>
      </c>
      <c r="AB9" s="5">
        <f t="shared" ca="1" si="1"/>
        <v>1.7638470026897703E-2</v>
      </c>
      <c r="AC9" s="5">
        <f t="shared" ca="1" si="2"/>
        <v>1.7516442727894009E-2</v>
      </c>
      <c r="AD9" s="5">
        <f t="shared" ca="1" si="3"/>
        <v>1.2599220655451979E-2</v>
      </c>
      <c r="AE9" s="5">
        <f t="shared" ca="1" si="4"/>
        <v>1.9067529609449997E-2</v>
      </c>
      <c r="AF9" s="5">
        <f t="shared" ca="1" si="5"/>
        <v>8.4586784372981672E-3</v>
      </c>
      <c r="AG9" s="5">
        <f t="shared" ca="1" si="6"/>
        <v>1.9428752359037806E-3</v>
      </c>
      <c r="AH9" s="5">
        <f t="shared" ca="1" si="7"/>
        <v>5.493736402224534E-3</v>
      </c>
      <c r="AI9" s="5">
        <f t="shared" ca="1" si="8"/>
        <v>4.6389575091070707E-3</v>
      </c>
      <c r="AJ9" s="5">
        <f t="shared" ca="1" si="9"/>
        <v>1.5620356379276858E-2</v>
      </c>
      <c r="AK9" s="5">
        <f t="shared" ca="1" si="10"/>
        <v>1.6766488184434498E-2</v>
      </c>
      <c r="AM9" s="5">
        <f t="shared" ca="1" si="13"/>
        <v>0.11974275516793861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0.56098000000000003</v>
      </c>
      <c r="F10" s="5">
        <v>59</v>
      </c>
      <c r="H10" s="5" t="s">
        <v>27</v>
      </c>
      <c r="I10" s="5">
        <v>100</v>
      </c>
      <c r="J10" s="5">
        <v>1</v>
      </c>
      <c r="L10" s="5">
        <f t="shared" ca="1" si="11"/>
        <v>240.77494999999999</v>
      </c>
      <c r="M10" s="5">
        <f t="shared" ca="1" si="0"/>
        <v>240.30896999999999</v>
      </c>
      <c r="N10" s="5">
        <f t="shared" ca="1" si="0"/>
        <v>239.72337999999999</v>
      </c>
      <c r="O10" s="5">
        <f t="shared" ca="1" si="0"/>
        <v>239.84372999999999</v>
      </c>
      <c r="P10" s="5">
        <f t="shared" ca="1" si="0"/>
        <v>240.62872999999999</v>
      </c>
      <c r="Q10" s="5">
        <f t="shared" ca="1" si="0"/>
        <v>239.30332999999999</v>
      </c>
      <c r="R10" s="5">
        <f t="shared" ca="1" si="0"/>
        <v>240.32364000000001</v>
      </c>
      <c r="S10" s="5">
        <f t="shared" ca="1" si="0"/>
        <v>239.18</v>
      </c>
      <c r="T10" s="5">
        <f t="shared" ca="1" si="0"/>
        <v>241.26667</v>
      </c>
      <c r="U10" s="5">
        <f t="shared" ca="1" si="0"/>
        <v>240.29670999999999</v>
      </c>
      <c r="W10" s="5">
        <f t="shared" ca="1" si="12"/>
        <v>240.16501099999999</v>
      </c>
      <c r="Y10" s="5">
        <f ca="1">Total!E10</f>
        <v>238.77667</v>
      </c>
      <c r="AB10" s="5">
        <f t="shared" ca="1" si="1"/>
        <v>8.3688243076678898E-3</v>
      </c>
      <c r="AC10" s="5">
        <f t="shared" ca="1" si="2"/>
        <v>6.4172936158293529E-3</v>
      </c>
      <c r="AD10" s="5">
        <f t="shared" ca="1" si="3"/>
        <v>3.9648345879017242E-3</v>
      </c>
      <c r="AE10" s="5">
        <f t="shared" ca="1" si="4"/>
        <v>4.4688620542366973E-3</v>
      </c>
      <c r="AF10" s="5">
        <f t="shared" ca="1" si="5"/>
        <v>7.7564529231435994E-3</v>
      </c>
      <c r="AG10" s="5">
        <f t="shared" ca="1" si="6"/>
        <v>2.205659371998079E-3</v>
      </c>
      <c r="AH10" s="5">
        <f t="shared" ca="1" si="7"/>
        <v>6.4787317789464774E-3</v>
      </c>
      <c r="AI10" s="5">
        <f t="shared" ca="1" si="8"/>
        <v>1.6891516244028828E-3</v>
      </c>
      <c r="AJ10" s="5">
        <f t="shared" ca="1" si="9"/>
        <v>1.0428154475895861E-2</v>
      </c>
      <c r="AK10" s="5">
        <f t="shared" ca="1" si="10"/>
        <v>6.3659485660805745E-3</v>
      </c>
      <c r="AM10" s="5">
        <f t="shared" ca="1" si="13"/>
        <v>5.8143913306103134E-2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1.46976</v>
      </c>
      <c r="F11" s="5">
        <v>157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1.44316</v>
      </c>
      <c r="F12" s="5">
        <v>153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1.4222300000000001</v>
      </c>
      <c r="F13" s="5">
        <v>150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1.4220699999999999</v>
      </c>
      <c r="F14" s="5">
        <v>181</v>
      </c>
      <c r="H14" s="5" t="s">
        <v>2</v>
      </c>
      <c r="I14" s="5">
        <v>47</v>
      </c>
      <c r="J14" s="5">
        <v>0.4</v>
      </c>
      <c r="L14" s="5">
        <f t="shared" ca="1" si="11"/>
        <v>4348.0289499999999</v>
      </c>
      <c r="M14" s="5">
        <f t="shared" ca="1" si="0"/>
        <v>4350.8413700000001</v>
      </c>
      <c r="N14" s="5">
        <f t="shared" ca="1" si="0"/>
        <v>4348.0289499999999</v>
      </c>
      <c r="O14" s="5">
        <f t="shared" ca="1" si="0"/>
        <v>4348.0289499999999</v>
      </c>
      <c r="P14" s="5">
        <f t="shared" ca="1" si="0"/>
        <v>4350.8413700000001</v>
      </c>
      <c r="Q14" s="5">
        <f t="shared" ca="1" si="0"/>
        <v>4350.8413700000001</v>
      </c>
      <c r="R14" s="5">
        <f t="shared" ca="1" si="0"/>
        <v>4348.0289499999999</v>
      </c>
      <c r="S14" s="5">
        <f t="shared" ca="1" si="0"/>
        <v>4348.0289499999999</v>
      </c>
      <c r="T14" s="5">
        <f t="shared" ca="1" si="0"/>
        <v>4348.0289499999999</v>
      </c>
      <c r="U14" s="5">
        <f t="shared" ca="1" si="0"/>
        <v>4350.8413700000001</v>
      </c>
      <c r="W14" s="5">
        <f t="shared" ca="1" si="12"/>
        <v>4349.1539180000009</v>
      </c>
      <c r="Y14" s="5">
        <f ca="1">Total!E14</f>
        <v>4348.0289499999999</v>
      </c>
      <c r="AB14" s="5">
        <f t="shared" ca="1" si="1"/>
        <v>0</v>
      </c>
      <c r="AC14" s="5">
        <f t="shared" ca="1" si="2"/>
        <v>6.4682642004952661E-4</v>
      </c>
      <c r="AD14" s="5">
        <f t="shared" ca="1" si="3"/>
        <v>0</v>
      </c>
      <c r="AE14" s="5">
        <f t="shared" ca="1" si="4"/>
        <v>0</v>
      </c>
      <c r="AF14" s="5">
        <f t="shared" ca="1" si="5"/>
        <v>6.4682642004952661E-4</v>
      </c>
      <c r="AG14" s="5">
        <f t="shared" ca="1" si="6"/>
        <v>6.4682642004952661E-4</v>
      </c>
      <c r="AH14" s="5">
        <f t="shared" ca="1" si="7"/>
        <v>0</v>
      </c>
      <c r="AI14" s="5">
        <f t="shared" ca="1" si="8"/>
        <v>0</v>
      </c>
      <c r="AJ14" s="5">
        <f t="shared" ca="1" si="9"/>
        <v>0</v>
      </c>
      <c r="AK14" s="5">
        <f t="shared" ca="1" si="10"/>
        <v>6.4682642004952661E-4</v>
      </c>
      <c r="AM14" s="5">
        <f t="shared" ca="1" si="13"/>
        <v>2.5873056801981064E-3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1.4238200000000001</v>
      </c>
      <c r="F15" s="5">
        <v>184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1.44092</v>
      </c>
      <c r="F16" s="5">
        <v>151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1.4232800000000001</v>
      </c>
      <c r="F17" s="5">
        <v>170</v>
      </c>
      <c r="H17" s="5" t="s">
        <v>2</v>
      </c>
      <c r="I17" s="5">
        <v>100</v>
      </c>
      <c r="J17" s="5">
        <v>0.4</v>
      </c>
      <c r="L17" s="5">
        <f t="shared" ca="1" si="11"/>
        <v>42986.345820000002</v>
      </c>
      <c r="M17" s="5">
        <f t="shared" ca="1" si="0"/>
        <v>42986.45392</v>
      </c>
      <c r="N17" s="5">
        <f t="shared" ca="1" si="0"/>
        <v>42986.403050000001</v>
      </c>
      <c r="O17" s="5">
        <f t="shared" ca="1" si="0"/>
        <v>42986.673049999998</v>
      </c>
      <c r="P17" s="5">
        <f t="shared" ca="1" si="0"/>
        <v>42986.673049999998</v>
      </c>
      <c r="Q17" s="5">
        <f t="shared" ca="1" si="0"/>
        <v>42986.802479999998</v>
      </c>
      <c r="R17" s="5">
        <f t="shared" ca="1" si="0"/>
        <v>42986.403050000001</v>
      </c>
      <c r="S17" s="5">
        <f t="shared" ca="1" si="0"/>
        <v>42986.403050000001</v>
      </c>
      <c r="T17" s="5">
        <f t="shared" ca="1" si="0"/>
        <v>42986.403050000001</v>
      </c>
      <c r="U17" s="5">
        <f t="shared" ca="1" si="0"/>
        <v>42986.345820000002</v>
      </c>
      <c r="W17" s="5">
        <f t="shared" ca="1" si="12"/>
        <v>42986.490634000002</v>
      </c>
      <c r="Y17" s="5">
        <f ca="1">Total!E17</f>
        <v>42986.193919999998</v>
      </c>
      <c r="AB17" s="5">
        <f t="shared" ca="1" si="1"/>
        <v>3.5336927081072652E-6</v>
      </c>
      <c r="AC17" s="5">
        <f t="shared" ca="1" si="2"/>
        <v>6.04845361480278E-6</v>
      </c>
      <c r="AD17" s="5">
        <f t="shared" ca="1" si="3"/>
        <v>4.8650504018131747E-6</v>
      </c>
      <c r="AE17" s="5">
        <f t="shared" ca="1" si="4"/>
        <v>1.1146136847830832E-5</v>
      </c>
      <c r="AF17" s="5">
        <f t="shared" ca="1" si="5"/>
        <v>1.1146136847830832E-5</v>
      </c>
      <c r="AG17" s="5">
        <f t="shared" ca="1" si="6"/>
        <v>1.4157103583842479E-5</v>
      </c>
      <c r="AH17" s="5">
        <f t="shared" ca="1" si="7"/>
        <v>4.8650504018131747E-6</v>
      </c>
      <c r="AI17" s="5">
        <f t="shared" ca="1" si="8"/>
        <v>4.8650504018131747E-6</v>
      </c>
      <c r="AJ17" s="5">
        <f t="shared" ca="1" si="9"/>
        <v>4.8650504018131747E-6</v>
      </c>
      <c r="AK17" s="5">
        <f t="shared" ca="1" si="10"/>
        <v>3.5336927081072652E-6</v>
      </c>
      <c r="AM17" s="5">
        <f t="shared" ca="1" si="13"/>
        <v>6.9025417917774155E-5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1.43337</v>
      </c>
      <c r="F18" s="5">
        <v>153</v>
      </c>
      <c r="H18" s="5" t="s">
        <v>2</v>
      </c>
      <c r="I18" s="5">
        <v>100</v>
      </c>
      <c r="J18" s="5">
        <v>0.7</v>
      </c>
      <c r="L18" s="5">
        <f t="shared" ca="1" si="11"/>
        <v>35650.891559999996</v>
      </c>
      <c r="M18" s="5">
        <f t="shared" ca="1" si="11"/>
        <v>35645.257109999999</v>
      </c>
      <c r="N18" s="5">
        <f t="shared" ca="1" si="11"/>
        <v>35651.519460000003</v>
      </c>
      <c r="O18" s="5">
        <f t="shared" ca="1" si="11"/>
        <v>35689.659350000002</v>
      </c>
      <c r="P18" s="5">
        <f t="shared" ca="1" si="11"/>
        <v>35836.676460000002</v>
      </c>
      <c r="Q18" s="5">
        <f t="shared" ca="1" si="11"/>
        <v>35772.60252</v>
      </c>
      <c r="R18" s="5">
        <f t="shared" ca="1" si="11"/>
        <v>35656.043689999999</v>
      </c>
      <c r="S18" s="5">
        <f t="shared" ca="1" si="11"/>
        <v>35609.251490000002</v>
      </c>
      <c r="T18" s="5">
        <f t="shared" ca="1" si="11"/>
        <v>35774.875970000001</v>
      </c>
      <c r="U18" s="5">
        <f t="shared" ca="1" si="11"/>
        <v>35799.32473</v>
      </c>
      <c r="W18" s="5">
        <f t="shared" ca="1" si="12"/>
        <v>35708.610234000007</v>
      </c>
      <c r="Y18" s="5">
        <f ca="1">Total!E18</f>
        <v>35336.072039999999</v>
      </c>
      <c r="AB18" s="5">
        <f t="shared" ca="1" si="1"/>
        <v>8.9092958505298907E-3</v>
      </c>
      <c r="AC18" s="5">
        <f t="shared" ca="1" si="2"/>
        <v>8.7498426438005292E-3</v>
      </c>
      <c r="AD18" s="5">
        <f t="shared" ca="1" si="3"/>
        <v>8.9270652279325631E-3</v>
      </c>
      <c r="AE18" s="5">
        <f t="shared" ca="1" si="4"/>
        <v>1.0006412416177614E-2</v>
      </c>
      <c r="AF18" s="5">
        <f t="shared" ca="1" si="5"/>
        <v>1.4166951534209158E-2</v>
      </c>
      <c r="AG18" s="5">
        <f t="shared" ca="1" si="6"/>
        <v>1.2353678685787546E-2</v>
      </c>
      <c r="AH18" s="5">
        <f t="shared" ca="1" si="7"/>
        <v>9.0550995492027393E-3</v>
      </c>
      <c r="AI18" s="5">
        <f t="shared" ca="1" si="8"/>
        <v>7.7308946419049488E-3</v>
      </c>
      <c r="AJ18" s="5">
        <f t="shared" ca="1" si="9"/>
        <v>1.24180166234459E-2</v>
      </c>
      <c r="AK18" s="5">
        <f t="shared" ca="1" si="10"/>
        <v>1.3109909032209488E-2</v>
      </c>
      <c r="AM18" s="5">
        <f t="shared" ca="1" si="13"/>
        <v>0.10542716620520037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1.4241999999999999</v>
      </c>
      <c r="F19" s="5">
        <v>165</v>
      </c>
      <c r="H19" s="5" t="s">
        <v>2</v>
      </c>
      <c r="I19" s="5">
        <v>100</v>
      </c>
      <c r="J19" s="5">
        <v>1</v>
      </c>
      <c r="L19" s="5">
        <f t="shared" ca="1" si="11"/>
        <v>35221.175139999999</v>
      </c>
      <c r="M19" s="5">
        <f t="shared" ca="1" si="11"/>
        <v>35265.620000000003</v>
      </c>
      <c r="N19" s="5">
        <f t="shared" ca="1" si="11"/>
        <v>35267.54797</v>
      </c>
      <c r="O19" s="5">
        <f t="shared" ca="1" si="11"/>
        <v>35247.306329999999</v>
      </c>
      <c r="P19" s="5">
        <f t="shared" ca="1" si="11"/>
        <v>35249.166669999999</v>
      </c>
      <c r="Q19" s="5">
        <f t="shared" ca="1" si="11"/>
        <v>35317.137239999996</v>
      </c>
      <c r="R19" s="5">
        <f t="shared" ca="1" si="11"/>
        <v>35411.327530000002</v>
      </c>
      <c r="S19" s="5">
        <f t="shared" ca="1" si="11"/>
        <v>35238.946669999998</v>
      </c>
      <c r="T19" s="5">
        <f t="shared" ca="1" si="11"/>
        <v>35369.031430000003</v>
      </c>
      <c r="U19" s="5">
        <f t="shared" ca="1" si="11"/>
        <v>35408.79333</v>
      </c>
      <c r="W19" s="5">
        <f t="shared" ca="1" si="12"/>
        <v>35299.605231000009</v>
      </c>
      <c r="Y19" s="5">
        <f ca="1">Total!E19</f>
        <v>35203.853329999998</v>
      </c>
      <c r="AB19" s="5">
        <f t="shared" ca="1" si="1"/>
        <v>4.9204301124729406E-4</v>
      </c>
      <c r="AC19" s="5">
        <f t="shared" ca="1" si="2"/>
        <v>1.7545428740713517E-3</v>
      </c>
      <c r="AD19" s="5">
        <f t="shared" ca="1" si="3"/>
        <v>1.8093087538721868E-3</v>
      </c>
      <c r="AE19" s="5">
        <f t="shared" ca="1" si="4"/>
        <v>1.2343251061943149E-3</v>
      </c>
      <c r="AF19" s="5">
        <f t="shared" ca="1" si="5"/>
        <v>1.2871698894787041E-3</v>
      </c>
      <c r="AG19" s="5">
        <f t="shared" ca="1" si="6"/>
        <v>3.2179406310462065E-3</v>
      </c>
      <c r="AH19" s="5">
        <f t="shared" ca="1" si="7"/>
        <v>5.8935082490870101E-3</v>
      </c>
      <c r="AI19" s="5">
        <f t="shared" ca="1" si="8"/>
        <v>9.9686076041265691E-4</v>
      </c>
      <c r="AJ19" s="5">
        <f t="shared" ca="1" si="9"/>
        <v>4.692046022679093E-3</v>
      </c>
      <c r="AK19" s="5">
        <f t="shared" ca="1" si="10"/>
        <v>5.82152181123186E-3</v>
      </c>
      <c r="AM19" s="5">
        <f t="shared" ca="1" si="13"/>
        <v>2.719926710932068E-2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1.4259900000000001</v>
      </c>
      <c r="F20" s="5">
        <v>154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1.7706999999999999</v>
      </c>
      <c r="F21" s="5">
        <v>259</v>
      </c>
      <c r="H21" s="5" t="s">
        <v>1</v>
      </c>
      <c r="I21" s="5">
        <v>30</v>
      </c>
      <c r="J21" s="5">
        <v>0.7</v>
      </c>
      <c r="L21" s="5">
        <f t="shared" ca="1" si="11"/>
        <v>675.38247999999999</v>
      </c>
      <c r="M21" s="5">
        <f t="shared" ca="1" si="11"/>
        <v>677.39407000000006</v>
      </c>
      <c r="N21" s="5">
        <f t="shared" ca="1" si="11"/>
        <v>675.36989000000005</v>
      </c>
      <c r="O21" s="5">
        <f t="shared" ca="1" si="11"/>
        <v>675.36989000000005</v>
      </c>
      <c r="P21" s="5">
        <f t="shared" ca="1" si="11"/>
        <v>677.26074000000006</v>
      </c>
      <c r="Q21" s="5">
        <f t="shared" ca="1" si="11"/>
        <v>675.36581000000001</v>
      </c>
      <c r="R21" s="5">
        <f t="shared" ca="1" si="11"/>
        <v>675.36989000000005</v>
      </c>
      <c r="S21" s="5">
        <f t="shared" ca="1" si="11"/>
        <v>675.36989000000005</v>
      </c>
      <c r="T21" s="5">
        <f t="shared" ca="1" si="11"/>
        <v>675.38611000000003</v>
      </c>
      <c r="U21" s="5">
        <f t="shared" ca="1" si="11"/>
        <v>675.36989000000005</v>
      </c>
      <c r="W21" s="5">
        <f t="shared" ca="1" si="12"/>
        <v>675.76386600000001</v>
      </c>
      <c r="Y21" s="5">
        <f ca="1">Total!E21</f>
        <v>675.36581000000001</v>
      </c>
      <c r="AB21" s="5">
        <f t="shared" ca="1" si="1"/>
        <v>2.468291961652075E-5</v>
      </c>
      <c r="AC21" s="5">
        <f t="shared" ca="1" si="2"/>
        <v>3.0032020720741634E-3</v>
      </c>
      <c r="AD21" s="5">
        <f t="shared" ca="1" si="3"/>
        <v>6.0411704881010963E-6</v>
      </c>
      <c r="AE21" s="5">
        <f t="shared" ca="1" si="4"/>
        <v>6.0411704881010963E-6</v>
      </c>
      <c r="AF21" s="5">
        <f t="shared" ca="1" si="5"/>
        <v>2.8057831355129525E-3</v>
      </c>
      <c r="AG21" s="5">
        <f t="shared" ca="1" si="6"/>
        <v>0</v>
      </c>
      <c r="AH21" s="5">
        <f t="shared" ca="1" si="7"/>
        <v>6.0411704881010963E-6</v>
      </c>
      <c r="AI21" s="5">
        <f t="shared" ca="1" si="8"/>
        <v>6.0411704881010963E-6</v>
      </c>
      <c r="AJ21" s="5">
        <f t="shared" ca="1" si="9"/>
        <v>3.0057784536087472E-5</v>
      </c>
      <c r="AK21" s="5">
        <f t="shared" ca="1" si="10"/>
        <v>6.0411704881010963E-6</v>
      </c>
      <c r="AM21" s="5">
        <f t="shared" ca="1" si="13"/>
        <v>5.8939317641802293E-3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1.7723899999999999</v>
      </c>
      <c r="F22" s="5">
        <v>255</v>
      </c>
      <c r="H22" s="5" t="s">
        <v>1</v>
      </c>
      <c r="I22" s="5">
        <v>30</v>
      </c>
      <c r="J22" s="5">
        <v>1</v>
      </c>
      <c r="L22" s="5">
        <f t="shared" ca="1" si="11"/>
        <v>659.84542999999996</v>
      </c>
      <c r="M22" s="5">
        <f t="shared" ca="1" si="11"/>
        <v>658.47383000000002</v>
      </c>
      <c r="N22" s="5">
        <f t="shared" ca="1" si="11"/>
        <v>655.43295999999998</v>
      </c>
      <c r="O22" s="5">
        <f t="shared" ca="1" si="11"/>
        <v>656.34204</v>
      </c>
      <c r="P22" s="5">
        <f t="shared" ca="1" si="11"/>
        <v>657.32992999999999</v>
      </c>
      <c r="Q22" s="5">
        <f t="shared" ca="1" si="11"/>
        <v>656.34204</v>
      </c>
      <c r="R22" s="5">
        <f t="shared" ca="1" si="11"/>
        <v>657.45713999999998</v>
      </c>
      <c r="S22" s="5">
        <f t="shared" ca="1" si="11"/>
        <v>655.43295999999998</v>
      </c>
      <c r="T22" s="5">
        <f t="shared" ca="1" si="11"/>
        <v>656.34204</v>
      </c>
      <c r="U22" s="5">
        <f t="shared" ca="1" si="11"/>
        <v>657.35562000000004</v>
      </c>
      <c r="W22" s="5">
        <f t="shared" ca="1" si="12"/>
        <v>657.03539899999998</v>
      </c>
      <c r="Y22" s="5">
        <f ca="1">Total!E22</f>
        <v>655.43295999999998</v>
      </c>
      <c r="AB22" s="5">
        <f t="shared" ca="1" si="1"/>
        <v>6.7321454203340412E-3</v>
      </c>
      <c r="AC22" s="5">
        <f t="shared" ca="1" si="2"/>
        <v>4.6394828847179746E-3</v>
      </c>
      <c r="AD22" s="5">
        <f t="shared" ca="1" si="3"/>
        <v>0</v>
      </c>
      <c r="AE22" s="5">
        <f t="shared" ca="1" si="4"/>
        <v>1.3869915849212362E-3</v>
      </c>
      <c r="AF22" s="5">
        <f t="shared" ca="1" si="5"/>
        <v>2.8942243002244047E-3</v>
      </c>
      <c r="AG22" s="5">
        <f t="shared" ca="1" si="6"/>
        <v>1.3869915849212362E-3</v>
      </c>
      <c r="AH22" s="5">
        <f t="shared" ca="1" si="7"/>
        <v>3.088309748719383E-3</v>
      </c>
      <c r="AI22" s="5">
        <f t="shared" ca="1" si="8"/>
        <v>0</v>
      </c>
      <c r="AJ22" s="5">
        <f t="shared" ca="1" si="9"/>
        <v>1.3869915849212362E-3</v>
      </c>
      <c r="AK22" s="5">
        <f t="shared" ca="1" si="10"/>
        <v>2.9334197657683624E-3</v>
      </c>
      <c r="AM22" s="5">
        <f t="shared" ca="1" si="13"/>
        <v>2.4448556874527877E-2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1.76945</v>
      </c>
      <c r="F23" s="5">
        <v>270</v>
      </c>
      <c r="H23" s="5" t="s">
        <v>1</v>
      </c>
      <c r="I23" s="5">
        <v>50</v>
      </c>
      <c r="J23" s="5">
        <v>0.4</v>
      </c>
      <c r="L23" s="5">
        <f t="shared" ca="1" si="11"/>
        <v>1460.0209400000001</v>
      </c>
      <c r="M23" s="5">
        <f t="shared" ca="1" si="11"/>
        <v>1459.9687899999999</v>
      </c>
      <c r="N23" s="5">
        <f t="shared" ca="1" si="11"/>
        <v>1459.9687899999999</v>
      </c>
      <c r="O23" s="5">
        <f t="shared" ca="1" si="11"/>
        <v>1459.9687899999999</v>
      </c>
      <c r="P23" s="5">
        <f t="shared" ca="1" si="11"/>
        <v>1459.9687899999999</v>
      </c>
      <c r="Q23" s="5">
        <f t="shared" ca="1" si="11"/>
        <v>1483.36385</v>
      </c>
      <c r="R23" s="5">
        <f t="shared" ca="1" si="11"/>
        <v>1460.80863</v>
      </c>
      <c r="S23" s="5">
        <f t="shared" ca="1" si="11"/>
        <v>1459.9687899999999</v>
      </c>
      <c r="T23" s="5">
        <f t="shared" ca="1" si="11"/>
        <v>1459.9687899999999</v>
      </c>
      <c r="U23" s="5">
        <f t="shared" ca="1" si="11"/>
        <v>1460.0209400000001</v>
      </c>
      <c r="W23" s="5">
        <f t="shared" ca="1" si="12"/>
        <v>1462.4027099999998</v>
      </c>
      <c r="Y23" s="5">
        <f ca="1">Total!E23</f>
        <v>1459.9687899999999</v>
      </c>
      <c r="AB23" s="5">
        <f t="shared" ca="1" si="1"/>
        <v>3.5719941657253266E-5</v>
      </c>
      <c r="AC23" s="5">
        <f t="shared" ca="1" si="2"/>
        <v>0</v>
      </c>
      <c r="AD23" s="5">
        <f t="shared" ca="1" si="3"/>
        <v>0</v>
      </c>
      <c r="AE23" s="5">
        <f t="shared" ca="1" si="4"/>
        <v>0</v>
      </c>
      <c r="AF23" s="5">
        <f t="shared" ca="1" si="5"/>
        <v>0</v>
      </c>
      <c r="AG23" s="5">
        <f t="shared" ca="1" si="6"/>
        <v>1.6024356246683916E-2</v>
      </c>
      <c r="AH23" s="5">
        <f t="shared" ca="1" si="7"/>
        <v>5.7524517356298749E-4</v>
      </c>
      <c r="AI23" s="5">
        <f t="shared" ca="1" si="8"/>
        <v>0</v>
      </c>
      <c r="AJ23" s="5">
        <f t="shared" ca="1" si="9"/>
        <v>0</v>
      </c>
      <c r="AK23" s="5">
        <f t="shared" ca="1" si="10"/>
        <v>3.5719941657253266E-5</v>
      </c>
      <c r="AM23" s="5">
        <f t="shared" ca="1" si="13"/>
        <v>1.667104130356141E-2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1.7739100000000001</v>
      </c>
      <c r="F24" s="5">
        <v>267</v>
      </c>
      <c r="H24" s="5" t="s">
        <v>1</v>
      </c>
      <c r="I24" s="5">
        <v>50</v>
      </c>
      <c r="J24" s="5">
        <v>0.7</v>
      </c>
      <c r="L24" s="5">
        <f t="shared" ca="1" si="11"/>
        <v>1016.52883</v>
      </c>
      <c r="M24" s="5">
        <f t="shared" ca="1" si="11"/>
        <v>1021.51693</v>
      </c>
      <c r="N24" s="5">
        <f t="shared" ca="1" si="11"/>
        <v>1013.9746</v>
      </c>
      <c r="O24" s="5">
        <f t="shared" ca="1" si="11"/>
        <v>1014.23905</v>
      </c>
      <c r="P24" s="5">
        <f t="shared" ca="1" si="11"/>
        <v>1012.25946</v>
      </c>
      <c r="Q24" s="5">
        <f t="shared" ca="1" si="11"/>
        <v>1019.21</v>
      </c>
      <c r="R24" s="5">
        <f t="shared" ca="1" si="11"/>
        <v>1031.2172700000001</v>
      </c>
      <c r="S24" s="5">
        <f t="shared" ca="1" si="11"/>
        <v>1020.235</v>
      </c>
      <c r="T24" s="5">
        <f t="shared" ca="1" si="11"/>
        <v>1018.74667</v>
      </c>
      <c r="U24" s="5">
        <f t="shared" ca="1" si="11"/>
        <v>1011.42917</v>
      </c>
      <c r="W24" s="5">
        <f t="shared" ca="1" si="12"/>
        <v>1017.9356979999999</v>
      </c>
      <c r="Y24" s="5">
        <f ca="1">Total!E24</f>
        <v>1005.95063</v>
      </c>
      <c r="AB24" s="5">
        <f t="shared" ca="1" si="1"/>
        <v>1.0515625404002107E-2</v>
      </c>
      <c r="AC24" s="5">
        <f t="shared" ca="1" si="2"/>
        <v>1.547421865027308E-2</v>
      </c>
      <c r="AD24" s="5">
        <f t="shared" ca="1" si="3"/>
        <v>7.9765047714120546E-3</v>
      </c>
      <c r="AE24" s="5">
        <f t="shared" ca="1" si="4"/>
        <v>8.2393904360892681E-3</v>
      </c>
      <c r="AF24" s="5">
        <f t="shared" ca="1" si="5"/>
        <v>6.2715105611096875E-3</v>
      </c>
      <c r="AG24" s="5">
        <f t="shared" ca="1" si="6"/>
        <v>1.3180935131975602E-2</v>
      </c>
      <c r="AH24" s="5">
        <f t="shared" ca="1" si="7"/>
        <v>2.5117176973188087E-2</v>
      </c>
      <c r="AI24" s="5">
        <f t="shared" ca="1" si="8"/>
        <v>1.4199871816770935E-2</v>
      </c>
      <c r="AJ24" s="5">
        <f t="shared" ca="1" si="9"/>
        <v>1.2720345927910943E-2</v>
      </c>
      <c r="AK24" s="5">
        <f t="shared" ca="1" si="10"/>
        <v>5.4461320830426364E-3</v>
      </c>
      <c r="AM24" s="5">
        <f t="shared" ca="1" si="13"/>
        <v>0.11914171175577438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1.7740800000000001</v>
      </c>
      <c r="F25" s="5">
        <v>257</v>
      </c>
      <c r="H25" s="5" t="s">
        <v>1</v>
      </c>
      <c r="I25" s="5">
        <v>50</v>
      </c>
      <c r="J25" s="5">
        <v>1</v>
      </c>
      <c r="L25" s="5">
        <f t="shared" ca="1" si="11"/>
        <v>994.02547000000004</v>
      </c>
      <c r="M25" s="5">
        <f t="shared" ca="1" si="11"/>
        <v>1005.30656</v>
      </c>
      <c r="N25" s="5">
        <f t="shared" ca="1" si="11"/>
        <v>994.64796999999999</v>
      </c>
      <c r="O25" s="5">
        <f t="shared" ca="1" si="11"/>
        <v>997.69452000000001</v>
      </c>
      <c r="P25" s="5">
        <f t="shared" ca="1" si="11"/>
        <v>992.81464000000005</v>
      </c>
      <c r="Q25" s="5">
        <f t="shared" ca="1" si="11"/>
        <v>1001.32</v>
      </c>
      <c r="R25" s="5">
        <f t="shared" ca="1" si="11"/>
        <v>998.59677999999997</v>
      </c>
      <c r="S25" s="5">
        <f t="shared" ca="1" si="11"/>
        <v>1003.69074</v>
      </c>
      <c r="T25" s="5">
        <f t="shared" ca="1" si="11"/>
        <v>1001.5566700000001</v>
      </c>
      <c r="U25" s="5">
        <f t="shared" ca="1" si="11"/>
        <v>994.19332999999995</v>
      </c>
      <c r="W25" s="5">
        <f t="shared" ca="1" si="12"/>
        <v>998.38466800000003</v>
      </c>
      <c r="Y25" s="5">
        <f ca="1">Total!E25</f>
        <v>990.69820000000004</v>
      </c>
      <c r="AB25" s="5">
        <f t="shared" ca="1" si="1"/>
        <v>3.3585101900861416E-3</v>
      </c>
      <c r="AC25" s="5">
        <f t="shared" ca="1" si="2"/>
        <v>1.4745519876789872E-2</v>
      </c>
      <c r="AD25" s="5">
        <f t="shared" ca="1" si="3"/>
        <v>3.9868549271614142E-3</v>
      </c>
      <c r="AE25" s="5">
        <f t="shared" ca="1" si="4"/>
        <v>7.0620093990278457E-3</v>
      </c>
      <c r="AF25" s="5">
        <f t="shared" ca="1" si="5"/>
        <v>2.1363115427079724E-3</v>
      </c>
      <c r="AG25" s="5">
        <f t="shared" ca="1" si="6"/>
        <v>1.0721529523320025E-2</v>
      </c>
      <c r="AH25" s="5">
        <f t="shared" ca="1" si="7"/>
        <v>7.9727408407524354E-3</v>
      </c>
      <c r="AI25" s="5">
        <f t="shared" ca="1" si="8"/>
        <v>1.3114528723278151E-2</v>
      </c>
      <c r="AJ25" s="5">
        <f t="shared" ca="1" si="9"/>
        <v>1.0960421650104957E-2</v>
      </c>
      <c r="AK25" s="5">
        <f t="shared" ca="1" si="10"/>
        <v>3.5279462504321734E-3</v>
      </c>
      <c r="AM25" s="5">
        <f t="shared" ca="1" si="13"/>
        <v>7.7586372923660982E-2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1.77016</v>
      </c>
      <c r="F26" s="5">
        <v>267</v>
      </c>
      <c r="H26" s="5" t="s">
        <v>1</v>
      </c>
      <c r="I26" s="5">
        <v>100</v>
      </c>
      <c r="J26" s="5">
        <v>0.4</v>
      </c>
      <c r="L26" s="5">
        <f t="shared" ca="1" si="11"/>
        <v>1827.5441499999999</v>
      </c>
      <c r="M26" s="5">
        <f t="shared" ca="1" si="11"/>
        <v>1825.7644</v>
      </c>
      <c r="N26" s="5">
        <f t="shared" ca="1" si="11"/>
        <v>1829.18191</v>
      </c>
      <c r="O26" s="5">
        <f t="shared" ca="1" si="11"/>
        <v>1831.4509499999999</v>
      </c>
      <c r="P26" s="5">
        <f t="shared" ca="1" si="11"/>
        <v>1835.6490200000001</v>
      </c>
      <c r="Q26" s="5">
        <f t="shared" ca="1" si="11"/>
        <v>1848.5305699999999</v>
      </c>
      <c r="R26" s="5">
        <f t="shared" ca="1" si="11"/>
        <v>1834.63337</v>
      </c>
      <c r="S26" s="5">
        <f t="shared" ca="1" si="11"/>
        <v>1831.4729600000001</v>
      </c>
      <c r="T26" s="5">
        <f t="shared" ca="1" si="11"/>
        <v>1831.2288699999999</v>
      </c>
      <c r="U26" s="5">
        <f t="shared" ca="1" si="11"/>
        <v>1838.73946</v>
      </c>
      <c r="W26" s="5">
        <f t="shared" ca="1" si="12"/>
        <v>1833.4195659999998</v>
      </c>
      <c r="Y26" s="5">
        <f ca="1">Total!E26</f>
        <v>1786.3248599999999</v>
      </c>
      <c r="AB26" s="5">
        <f t="shared" ca="1" si="1"/>
        <v>2.3074912588967721E-2</v>
      </c>
      <c r="AC26" s="5">
        <f t="shared" ca="1" si="2"/>
        <v>2.207859325206955E-2</v>
      </c>
      <c r="AD26" s="5">
        <f t="shared" ca="1" si="3"/>
        <v>2.3991744704263969E-2</v>
      </c>
      <c r="AE26" s="5">
        <f t="shared" ca="1" si="4"/>
        <v>2.5261972785845896E-2</v>
      </c>
      <c r="AF26" s="5">
        <f t="shared" ca="1" si="5"/>
        <v>2.7612088430544555E-2</v>
      </c>
      <c r="AG26" s="5">
        <f t="shared" ca="1" si="6"/>
        <v>3.4823290764704445E-2</v>
      </c>
      <c r="AH26" s="5">
        <f t="shared" ca="1" si="7"/>
        <v>2.7043518836769743E-2</v>
      </c>
      <c r="AI26" s="5">
        <f t="shared" ca="1" si="8"/>
        <v>2.5274294172897595E-2</v>
      </c>
      <c r="AJ26" s="5">
        <f t="shared" ca="1" si="9"/>
        <v>2.5137650494322726E-2</v>
      </c>
      <c r="AK26" s="5">
        <f t="shared" ca="1" si="10"/>
        <v>2.9342143287419773E-2</v>
      </c>
      <c r="AM26" s="5">
        <f t="shared" ca="1" si="13"/>
        <v>0.26364020931780602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1.76986</v>
      </c>
      <c r="F27" s="5">
        <v>255</v>
      </c>
      <c r="H27" s="5" t="s">
        <v>1</v>
      </c>
      <c r="I27" s="5">
        <v>100</v>
      </c>
      <c r="J27" s="5">
        <v>0.7</v>
      </c>
      <c r="L27" s="5">
        <f t="shared" ca="1" si="11"/>
        <v>1772.5776499999999</v>
      </c>
      <c r="M27" s="5">
        <f t="shared" ca="1" si="11"/>
        <v>1786.8833400000001</v>
      </c>
      <c r="N27" s="5">
        <f t="shared" ca="1" si="11"/>
        <v>1766.22333</v>
      </c>
      <c r="O27" s="5">
        <f t="shared" ca="1" si="11"/>
        <v>1782.8531399999999</v>
      </c>
      <c r="P27" s="5">
        <f t="shared" ca="1" si="11"/>
        <v>1782.96235</v>
      </c>
      <c r="Q27" s="5">
        <f t="shared" ca="1" si="11"/>
        <v>1789.4681599999999</v>
      </c>
      <c r="R27" s="5">
        <f t="shared" ca="1" si="11"/>
        <v>1793.2814599999999</v>
      </c>
      <c r="S27" s="5">
        <f t="shared" ca="1" si="11"/>
        <v>1776.0002400000001</v>
      </c>
      <c r="T27" s="5">
        <f t="shared" ca="1" si="11"/>
        <v>1785.3738800000001</v>
      </c>
      <c r="U27" s="5">
        <f t="shared" ca="1" si="11"/>
        <v>1790.3692900000001</v>
      </c>
      <c r="W27" s="5">
        <f t="shared" ca="1" si="12"/>
        <v>1782.5992839999999</v>
      </c>
      <c r="Y27" s="5">
        <f ca="1">Total!E27</f>
        <v>1761.02206</v>
      </c>
      <c r="AB27" s="5">
        <f t="shared" ca="1" si="1"/>
        <v>6.5618655566415437E-3</v>
      </c>
      <c r="AC27" s="5">
        <f t="shared" ca="1" si="2"/>
        <v>1.4685381056498565E-2</v>
      </c>
      <c r="AD27" s="5">
        <f t="shared" ca="1" si="3"/>
        <v>2.9535518708948042E-3</v>
      </c>
      <c r="AE27" s="5">
        <f t="shared" ca="1" si="4"/>
        <v>1.2396823694531078E-2</v>
      </c>
      <c r="AF27" s="5">
        <f t="shared" ca="1" si="5"/>
        <v>1.2458838817726112E-2</v>
      </c>
      <c r="AG27" s="5">
        <f t="shared" ca="1" si="6"/>
        <v>1.6153176411657155E-2</v>
      </c>
      <c r="AH27" s="5">
        <f t="shared" ca="1" si="7"/>
        <v>1.831856666236192E-2</v>
      </c>
      <c r="AI27" s="5">
        <f t="shared" ca="1" si="8"/>
        <v>8.505390329976938E-3</v>
      </c>
      <c r="AJ27" s="5">
        <f t="shared" ca="1" si="9"/>
        <v>1.3828231089847954E-2</v>
      </c>
      <c r="AK27" s="5">
        <f t="shared" ca="1" si="10"/>
        <v>1.6664884936194429E-2</v>
      </c>
      <c r="AM27" s="5">
        <f t="shared" ca="1" si="13"/>
        <v>0.12252671042633051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1.7734799999999999</v>
      </c>
      <c r="F28" s="5">
        <v>266</v>
      </c>
      <c r="H28" s="5" t="s">
        <v>1</v>
      </c>
      <c r="I28" s="5">
        <v>100</v>
      </c>
      <c r="J28" s="5">
        <v>1</v>
      </c>
      <c r="L28" s="5">
        <f t="shared" ca="1" si="11"/>
        <v>1759.80333</v>
      </c>
      <c r="M28" s="5">
        <f t="shared" ca="1" si="11"/>
        <v>1758.3415199999999</v>
      </c>
      <c r="N28" s="5">
        <f t="shared" ca="1" si="11"/>
        <v>1758.5802000000001</v>
      </c>
      <c r="O28" s="5">
        <f t="shared" ca="1" si="11"/>
        <v>1755.1972800000001</v>
      </c>
      <c r="P28" s="5">
        <f t="shared" ca="1" si="11"/>
        <v>1758.5519099999999</v>
      </c>
      <c r="Q28" s="5">
        <f t="shared" ca="1" si="11"/>
        <v>1766.03325</v>
      </c>
      <c r="R28" s="5">
        <f t="shared" ca="1" si="11"/>
        <v>1758.28</v>
      </c>
      <c r="S28" s="5">
        <f t="shared" ca="1" si="11"/>
        <v>1759.26802</v>
      </c>
      <c r="T28" s="5">
        <f t="shared" ca="1" si="11"/>
        <v>1759.6319100000001</v>
      </c>
      <c r="U28" s="5">
        <f t="shared" ca="1" si="11"/>
        <v>1758.9133300000001</v>
      </c>
      <c r="W28" s="5">
        <f t="shared" ca="1" si="12"/>
        <v>1759.2600750000001</v>
      </c>
      <c r="Y28" s="5">
        <f ca="1">Total!E28</f>
        <v>1753.1198199999999</v>
      </c>
      <c r="AB28" s="5">
        <f t="shared" ca="1" si="1"/>
        <v>3.812352084411475E-3</v>
      </c>
      <c r="AC28" s="5">
        <f t="shared" ca="1" si="2"/>
        <v>2.9785186046211352E-3</v>
      </c>
      <c r="AD28" s="5">
        <f t="shared" ca="1" si="3"/>
        <v>3.1146644614400711E-3</v>
      </c>
      <c r="AE28" s="5">
        <f t="shared" ca="1" si="4"/>
        <v>1.1850074229382685E-3</v>
      </c>
      <c r="AF28" s="5">
        <f t="shared" ca="1" si="5"/>
        <v>3.0985275153640195E-3</v>
      </c>
      <c r="AG28" s="5">
        <f t="shared" ca="1" si="6"/>
        <v>7.3659711405236767E-3</v>
      </c>
      <c r="AH28" s="5">
        <f t="shared" ca="1" si="7"/>
        <v>2.9434268788314094E-3</v>
      </c>
      <c r="AI28" s="5">
        <f t="shared" ca="1" si="8"/>
        <v>3.507005014637327E-3</v>
      </c>
      <c r="AJ28" s="5">
        <f t="shared" ca="1" si="9"/>
        <v>3.7145721163543582E-3</v>
      </c>
      <c r="AK28" s="5">
        <f t="shared" ca="1" si="10"/>
        <v>3.3046857002621745E-3</v>
      </c>
      <c r="AM28" s="5">
        <f t="shared" ca="1" si="13"/>
        <v>3.5024730939383915E-2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1.7740899999999999</v>
      </c>
      <c r="F29" s="5">
        <v>254</v>
      </c>
      <c r="H29" s="5" t="s">
        <v>0</v>
      </c>
      <c r="I29" s="5">
        <v>25</v>
      </c>
      <c r="J29" s="5">
        <v>0.4</v>
      </c>
      <c r="L29" s="5">
        <f t="shared" ca="1" si="11"/>
        <v>41.318849999999998</v>
      </c>
      <c r="M29" s="5">
        <f t="shared" ca="1" si="11"/>
        <v>42.424349999999997</v>
      </c>
      <c r="N29" s="5">
        <f t="shared" ca="1" si="11"/>
        <v>42.424349999999997</v>
      </c>
      <c r="O29" s="5">
        <f t="shared" ca="1" si="11"/>
        <v>41.319229999999997</v>
      </c>
      <c r="P29" s="5">
        <f t="shared" ca="1" si="11"/>
        <v>41.318849999999998</v>
      </c>
      <c r="Q29" s="5">
        <f t="shared" ca="1" si="11"/>
        <v>42.424349999999997</v>
      </c>
      <c r="R29" s="5">
        <f t="shared" ca="1" si="11"/>
        <v>41.318849999999998</v>
      </c>
      <c r="S29" s="5">
        <f t="shared" ca="1" si="11"/>
        <v>42.003419999999998</v>
      </c>
      <c r="T29" s="5">
        <f t="shared" ca="1" si="11"/>
        <v>42.424349999999997</v>
      </c>
      <c r="U29" s="5">
        <f t="shared" ca="1" si="11"/>
        <v>42.003050000000002</v>
      </c>
      <c r="W29" s="5">
        <f t="shared" ca="1" si="12"/>
        <v>41.897964999999999</v>
      </c>
      <c r="Y29" s="5">
        <f ca="1">Total!E29</f>
        <v>40.897550000000003</v>
      </c>
      <c r="AB29" s="5">
        <f t="shared" ca="1" si="1"/>
        <v>1.0301350569899543E-2</v>
      </c>
      <c r="AC29" s="5">
        <f t="shared" ca="1" si="2"/>
        <v>3.7332309637129711E-2</v>
      </c>
      <c r="AD29" s="5">
        <f t="shared" ca="1" si="3"/>
        <v>3.7332309637129711E-2</v>
      </c>
      <c r="AE29" s="5">
        <f t="shared" ca="1" si="4"/>
        <v>1.0310642080026675E-2</v>
      </c>
      <c r="AF29" s="5">
        <f t="shared" ca="1" si="5"/>
        <v>1.0301350569899543E-2</v>
      </c>
      <c r="AG29" s="5">
        <f t="shared" ca="1" si="6"/>
        <v>3.7332309637129711E-2</v>
      </c>
      <c r="AH29" s="5">
        <f t="shared" ca="1" si="7"/>
        <v>1.0301350569899543E-2</v>
      </c>
      <c r="AI29" s="5">
        <f t="shared" ca="1" si="8"/>
        <v>2.7040006063932823E-2</v>
      </c>
      <c r="AJ29" s="5">
        <f t="shared" ca="1" si="9"/>
        <v>3.7332309637129711E-2</v>
      </c>
      <c r="AK29" s="5">
        <f t="shared" ca="1" si="10"/>
        <v>2.703095906723017E-2</v>
      </c>
      <c r="AM29" s="5">
        <f t="shared" ca="1" si="13"/>
        <v>0.24461489746940712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1.77413</v>
      </c>
      <c r="F30" s="5">
        <v>267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1"/>
        <v>28.65436</v>
      </c>
      <c r="N30" s="5">
        <f t="shared" ca="1" si="11"/>
        <v>28.65436</v>
      </c>
      <c r="O30" s="5">
        <f t="shared" ca="1" si="11"/>
        <v>28.65436</v>
      </c>
      <c r="P30" s="5">
        <f t="shared" ca="1" si="11"/>
        <v>28.65436</v>
      </c>
      <c r="Q30" s="5">
        <f t="shared" ca="1" si="11"/>
        <v>28.65436</v>
      </c>
      <c r="R30" s="5">
        <f t="shared" ca="1" si="11"/>
        <v>28.65624</v>
      </c>
      <c r="S30" s="5">
        <f t="shared" ca="1" si="11"/>
        <v>28.65436</v>
      </c>
      <c r="T30" s="5">
        <f t="shared" ca="1" si="11"/>
        <v>28.65436</v>
      </c>
      <c r="U30" s="5">
        <f t="shared" ca="1" si="11"/>
        <v>28.65436</v>
      </c>
      <c r="W30" s="5">
        <f t="shared" ca="1" si="12"/>
        <v>28.654547999999998</v>
      </c>
      <c r="Y30" s="5">
        <f ca="1">Total!E30</f>
        <v>28.65436</v>
      </c>
      <c r="AB30" s="5">
        <f t="shared" ca="1" si="1"/>
        <v>0</v>
      </c>
      <c r="AC30" s="5">
        <f t="shared" ca="1" si="2"/>
        <v>0</v>
      </c>
      <c r="AD30" s="5">
        <f t="shared" ca="1" si="3"/>
        <v>0</v>
      </c>
      <c r="AE30" s="5">
        <f t="shared" ca="1" si="4"/>
        <v>0</v>
      </c>
      <c r="AF30" s="5">
        <f t="shared" ca="1" si="5"/>
        <v>0</v>
      </c>
      <c r="AG30" s="5">
        <f t="shared" ca="1" si="6"/>
        <v>0</v>
      </c>
      <c r="AH30" s="5">
        <f t="shared" ca="1" si="7"/>
        <v>6.5609561686245368E-5</v>
      </c>
      <c r="AI30" s="5">
        <f t="shared" ca="1" si="8"/>
        <v>0</v>
      </c>
      <c r="AJ30" s="5">
        <f t="shared" ca="1" si="9"/>
        <v>0</v>
      </c>
      <c r="AK30" s="5">
        <f t="shared" ca="1" si="10"/>
        <v>0</v>
      </c>
      <c r="AM30" s="5">
        <f t="shared" ca="1" si="13"/>
        <v>6.5609561686245368E-5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1.2007300000000001</v>
      </c>
      <c r="F31" s="5">
        <v>48</v>
      </c>
      <c r="H31" s="5" t="s">
        <v>0</v>
      </c>
      <c r="I31" s="5">
        <v>25</v>
      </c>
      <c r="J31" s="5">
        <v>1</v>
      </c>
      <c r="L31" s="5">
        <f t="shared" ca="1" si="11"/>
        <v>28.504100000000001</v>
      </c>
      <c r="M31" s="5">
        <f t="shared" ca="1" si="11"/>
        <v>28.546240000000001</v>
      </c>
      <c r="N31" s="5">
        <f t="shared" ca="1" si="11"/>
        <v>28.546240000000001</v>
      </c>
      <c r="O31" s="5">
        <f t="shared" ca="1" si="11"/>
        <v>28.60624</v>
      </c>
      <c r="P31" s="5">
        <f t="shared" ca="1" si="11"/>
        <v>28.592030000000001</v>
      </c>
      <c r="Q31" s="5">
        <f t="shared" ca="1" si="11"/>
        <v>28.587009999999999</v>
      </c>
      <c r="R31" s="5">
        <f t="shared" ca="1" si="11"/>
        <v>28.587009999999999</v>
      </c>
      <c r="S31" s="5">
        <f t="shared" ca="1" si="11"/>
        <v>28.546240000000001</v>
      </c>
      <c r="T31" s="5">
        <f t="shared" ca="1" si="11"/>
        <v>28.592030000000001</v>
      </c>
      <c r="U31" s="5">
        <f t="shared" ca="1" si="11"/>
        <v>28.592030000000001</v>
      </c>
      <c r="W31" s="5">
        <f t="shared" ca="1" si="12"/>
        <v>28.569917000000004</v>
      </c>
      <c r="Y31" s="5">
        <f ca="1">Total!E31</f>
        <v>28.504100000000001</v>
      </c>
      <c r="AB31" s="5">
        <f t="shared" ca="1" si="1"/>
        <v>0</v>
      </c>
      <c r="AC31" s="5">
        <f t="shared" ca="1" si="2"/>
        <v>1.4783838114516804E-3</v>
      </c>
      <c r="AD31" s="5">
        <f t="shared" ca="1" si="3"/>
        <v>1.4783838114516804E-3</v>
      </c>
      <c r="AE31" s="5">
        <f t="shared" ca="1" si="4"/>
        <v>3.5833441504905805E-3</v>
      </c>
      <c r="AF31" s="5">
        <f t="shared" ca="1" si="5"/>
        <v>3.0848193768615766E-3</v>
      </c>
      <c r="AG31" s="5">
        <f t="shared" ca="1" si="6"/>
        <v>2.9087043618285882E-3</v>
      </c>
      <c r="AH31" s="5">
        <f t="shared" ca="1" si="7"/>
        <v>2.9087043618285882E-3</v>
      </c>
      <c r="AI31" s="5">
        <f t="shared" ca="1" si="8"/>
        <v>1.4783838114516804E-3</v>
      </c>
      <c r="AJ31" s="5">
        <f t="shared" ca="1" si="9"/>
        <v>3.0848193768615766E-3</v>
      </c>
      <c r="AK31" s="5">
        <f t="shared" ca="1" si="10"/>
        <v>3.0848193768615766E-3</v>
      </c>
      <c r="AM31" s="5">
        <f t="shared" ca="1" si="13"/>
        <v>2.3090362439087526E-2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1.2115800000000001</v>
      </c>
      <c r="F32" s="5">
        <v>53</v>
      </c>
      <c r="H32" s="5" t="s">
        <v>0</v>
      </c>
      <c r="I32" s="5">
        <v>50</v>
      </c>
      <c r="J32" s="5">
        <v>0.4</v>
      </c>
      <c r="L32" s="5">
        <f t="shared" ca="1" si="11"/>
        <v>59.28069</v>
      </c>
      <c r="M32" s="5">
        <f t="shared" ca="1" si="11"/>
        <v>59.912849999999999</v>
      </c>
      <c r="N32" s="5">
        <f t="shared" ca="1" si="11"/>
        <v>56.901339999999998</v>
      </c>
      <c r="O32" s="5">
        <f t="shared" ca="1" si="11"/>
        <v>59.004350000000002</v>
      </c>
      <c r="P32" s="5">
        <f t="shared" ca="1" si="11"/>
        <v>56.901339999999998</v>
      </c>
      <c r="Q32" s="5">
        <f t="shared" ca="1" si="11"/>
        <v>57.300960000000003</v>
      </c>
      <c r="R32" s="5">
        <f t="shared" ca="1" si="11"/>
        <v>58.76444</v>
      </c>
      <c r="S32" s="5">
        <f t="shared" ca="1" si="11"/>
        <v>59.09102</v>
      </c>
      <c r="T32" s="5">
        <f t="shared" ca="1" si="11"/>
        <v>59.101019999999998</v>
      </c>
      <c r="U32" s="5">
        <f t="shared" ca="1" si="11"/>
        <v>56.901339999999998</v>
      </c>
      <c r="W32" s="5">
        <f t="shared" ca="1" si="12"/>
        <v>58.315934999999989</v>
      </c>
      <c r="Y32" s="5">
        <f ca="1">Total!E32</f>
        <v>56.511339999999997</v>
      </c>
      <c r="AB32" s="5">
        <f t="shared" ca="1" si="1"/>
        <v>4.900520851213231E-2</v>
      </c>
      <c r="AC32" s="5">
        <f t="shared" ca="1" si="2"/>
        <v>6.0191635873437122E-2</v>
      </c>
      <c r="AD32" s="5">
        <f t="shared" ca="1" si="3"/>
        <v>6.901269727456482E-3</v>
      </c>
      <c r="AE32" s="5">
        <f t="shared" ca="1" si="4"/>
        <v>4.4115216521144349E-2</v>
      </c>
      <c r="AF32" s="5">
        <f t="shared" ca="1" si="5"/>
        <v>6.901269727456482E-3</v>
      </c>
      <c r="AG32" s="5">
        <f t="shared" ca="1" si="6"/>
        <v>1.3972770774856983E-2</v>
      </c>
      <c r="AH32" s="5">
        <f t="shared" ca="1" si="7"/>
        <v>3.9869873904954362E-2</v>
      </c>
      <c r="AI32" s="5">
        <f t="shared" ca="1" si="8"/>
        <v>4.5648891001345983E-2</v>
      </c>
      <c r="AJ32" s="5">
        <f t="shared" ca="1" si="9"/>
        <v>4.5825846635383298E-2</v>
      </c>
      <c r="AK32" s="5">
        <f t="shared" ca="1" si="10"/>
        <v>6.901269727456482E-3</v>
      </c>
      <c r="AM32" s="5">
        <f t="shared" ca="1" si="13"/>
        <v>0.31933325240562382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1.2004999999999999</v>
      </c>
      <c r="F33" s="5">
        <v>53</v>
      </c>
      <c r="H33" s="5" t="s">
        <v>0</v>
      </c>
      <c r="I33" s="5">
        <v>50</v>
      </c>
      <c r="J33" s="5">
        <v>0.7</v>
      </c>
      <c r="L33" s="5">
        <f t="shared" ca="1" si="11"/>
        <v>54.008650000000003</v>
      </c>
      <c r="M33" s="5">
        <f t="shared" ca="1" si="11"/>
        <v>53.596080000000001</v>
      </c>
      <c r="N33" s="5">
        <f t="shared" ca="1" si="11"/>
        <v>53.722749999999998</v>
      </c>
      <c r="O33" s="5">
        <f t="shared" ca="1" si="11"/>
        <v>53.825069999999997</v>
      </c>
      <c r="P33" s="5">
        <f t="shared" ca="1" si="11"/>
        <v>53.435600000000001</v>
      </c>
      <c r="Q33" s="5">
        <f t="shared" ca="1" si="11"/>
        <v>53.73498</v>
      </c>
      <c r="R33" s="5">
        <f t="shared" ca="1" si="11"/>
        <v>53.742750000000001</v>
      </c>
      <c r="S33" s="5">
        <f t="shared" ca="1" si="11"/>
        <v>53.425519999999999</v>
      </c>
      <c r="T33" s="5">
        <f t="shared" ca="1" si="11"/>
        <v>53.67266</v>
      </c>
      <c r="U33" s="5">
        <f t="shared" ca="1" si="11"/>
        <v>53.625070000000001</v>
      </c>
      <c r="W33" s="5">
        <f t="shared" ca="1" si="12"/>
        <v>53.678913000000009</v>
      </c>
      <c r="Y33" s="5">
        <f ca="1">Total!E33</f>
        <v>53.115070000000003</v>
      </c>
      <c r="AB33" s="5">
        <f t="shared" ca="1" si="1"/>
        <v>1.682347401594312E-2</v>
      </c>
      <c r="AC33" s="5">
        <f t="shared" ca="1" si="2"/>
        <v>9.0559986083045291E-3</v>
      </c>
      <c r="AD33" s="5">
        <f t="shared" ca="1" si="3"/>
        <v>1.1440820844253709E-2</v>
      </c>
      <c r="AE33" s="5">
        <f t="shared" ca="1" si="4"/>
        <v>1.3367204448756139E-2</v>
      </c>
      <c r="AF33" s="5">
        <f t="shared" ca="1" si="5"/>
        <v>6.0346338619152338E-3</v>
      </c>
      <c r="AG33" s="5">
        <f t="shared" ca="1" si="6"/>
        <v>1.1671075647645711E-2</v>
      </c>
      <c r="AH33" s="5">
        <f t="shared" ca="1" si="7"/>
        <v>1.1817361814641268E-2</v>
      </c>
      <c r="AI33" s="5">
        <f t="shared" ca="1" si="8"/>
        <v>5.8448572128398943E-3</v>
      </c>
      <c r="AJ33" s="5">
        <f t="shared" ca="1" si="9"/>
        <v>1.0497773983918266E-2</v>
      </c>
      <c r="AK33" s="5">
        <f t="shared" ca="1" si="10"/>
        <v>9.6017947448812178E-3</v>
      </c>
      <c r="AM33" s="5">
        <f t="shared" ca="1" si="13"/>
        <v>0.10615499518309908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1.2012</v>
      </c>
      <c r="F34" s="5">
        <v>50</v>
      </c>
      <c r="H34" s="5" t="s">
        <v>0</v>
      </c>
      <c r="I34" s="5">
        <v>50</v>
      </c>
      <c r="J34" s="5">
        <v>1</v>
      </c>
      <c r="L34" s="5">
        <f t="shared" ca="1" si="11"/>
        <v>53.252409999999998</v>
      </c>
      <c r="M34" s="5">
        <f t="shared" ca="1" si="11"/>
        <v>53.162410000000001</v>
      </c>
      <c r="N34" s="5">
        <f t="shared" ca="1" si="11"/>
        <v>53.157490000000003</v>
      </c>
      <c r="O34" s="5">
        <f t="shared" ca="1" si="11"/>
        <v>53.537489999999998</v>
      </c>
      <c r="P34" s="5">
        <f t="shared" ca="1" si="11"/>
        <v>53.305520000000001</v>
      </c>
      <c r="Q34" s="5">
        <f t="shared" ca="1" si="11"/>
        <v>53.617489999999997</v>
      </c>
      <c r="R34" s="5">
        <f t="shared" ca="1" si="11"/>
        <v>53.517490000000002</v>
      </c>
      <c r="S34" s="5">
        <f t="shared" ca="1" si="11"/>
        <v>53.258850000000002</v>
      </c>
      <c r="T34" s="5">
        <f t="shared" ca="1" si="11"/>
        <v>53.147590000000001</v>
      </c>
      <c r="U34" s="5">
        <f t="shared" ca="1" si="11"/>
        <v>53.167490000000001</v>
      </c>
      <c r="W34" s="5">
        <f t="shared" ca="1" si="12"/>
        <v>53.312422999999988</v>
      </c>
      <c r="Y34" s="5">
        <f ca="1">Total!E34</f>
        <v>53.003740000000001</v>
      </c>
      <c r="AB34" s="5">
        <f t="shared" ca="1" si="1"/>
        <v>4.691555727954236E-3</v>
      </c>
      <c r="AC34" s="5">
        <f t="shared" ca="1" si="2"/>
        <v>2.9935623410725499E-3</v>
      </c>
      <c r="AD34" s="5">
        <f t="shared" ca="1" si="3"/>
        <v>2.900738702589709E-3</v>
      </c>
      <c r="AE34" s="5">
        <f t="shared" ca="1" si="4"/>
        <v>1.0070044113868148E-2</v>
      </c>
      <c r="AF34" s="5">
        <f t="shared" ca="1" si="5"/>
        <v>5.6935604921464185E-3</v>
      </c>
      <c r="AG34" s="5">
        <f t="shared" ca="1" si="6"/>
        <v>1.1579371568874121E-2</v>
      </c>
      <c r="AH34" s="5">
        <f t="shared" ca="1" si="7"/>
        <v>9.6927122501167216E-3</v>
      </c>
      <c r="AI34" s="5">
        <f t="shared" ca="1" si="8"/>
        <v>4.8130565880823116E-3</v>
      </c>
      <c r="AJ34" s="5">
        <f t="shared" ca="1" si="9"/>
        <v>2.7139594300326819E-3</v>
      </c>
      <c r="AK34" s="5">
        <f t="shared" ca="1" si="10"/>
        <v>3.0894046344654225E-3</v>
      </c>
      <c r="AM34" s="5">
        <f t="shared" ca="1" si="13"/>
        <v>5.8237965849202322E-2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1.2105300000000001</v>
      </c>
      <c r="F35" s="5">
        <v>54</v>
      </c>
      <c r="H35" s="5" t="s">
        <v>0</v>
      </c>
      <c r="I35" s="5">
        <v>100</v>
      </c>
      <c r="J35" s="5">
        <v>0.4</v>
      </c>
      <c r="L35" s="5">
        <f t="shared" ca="1" si="11"/>
        <v>148.16414</v>
      </c>
      <c r="M35" s="5">
        <f t="shared" ca="1" si="11"/>
        <v>148.18818999999999</v>
      </c>
      <c r="N35" s="5">
        <f t="shared" ca="1" si="11"/>
        <v>148.16652999999999</v>
      </c>
      <c r="O35" s="5">
        <f t="shared" ca="1" si="11"/>
        <v>148.97398000000001</v>
      </c>
      <c r="P35" s="5">
        <f t="shared" ca="1" si="11"/>
        <v>148.18228999999999</v>
      </c>
      <c r="Q35" s="5">
        <f t="shared" ca="1" si="11"/>
        <v>148.11283</v>
      </c>
      <c r="R35" s="5">
        <f t="shared" ca="1" si="11"/>
        <v>148.20735999999999</v>
      </c>
      <c r="S35" s="5">
        <f t="shared" ca="1" si="11"/>
        <v>148.18283</v>
      </c>
      <c r="T35" s="5">
        <f t="shared" ca="1" si="11"/>
        <v>148.16235</v>
      </c>
      <c r="U35" s="5">
        <f t="shared" ca="1" si="11"/>
        <v>148.10214999999999</v>
      </c>
      <c r="W35" s="5">
        <f t="shared" ca="1" si="12"/>
        <v>148.24426499999998</v>
      </c>
      <c r="Y35" s="5">
        <f ca="1">Total!E35</f>
        <v>147.96312</v>
      </c>
      <c r="AB35" s="5">
        <f t="shared" ca="1" si="1"/>
        <v>1.3585817871372254E-3</v>
      </c>
      <c r="AC35" s="5">
        <f t="shared" ca="1" si="2"/>
        <v>1.5211222904733836E-3</v>
      </c>
      <c r="AD35" s="5">
        <f t="shared" ca="1" si="3"/>
        <v>1.3747344608574825E-3</v>
      </c>
      <c r="AE35" s="5">
        <f t="shared" ca="1" si="4"/>
        <v>6.8318375551962409E-3</v>
      </c>
      <c r="AF35" s="5">
        <f t="shared" ca="1" si="5"/>
        <v>1.4812474892391509E-3</v>
      </c>
      <c r="AG35" s="5">
        <f t="shared" ca="1" si="6"/>
        <v>1.0118061852169575E-3</v>
      </c>
      <c r="AH35" s="5">
        <f t="shared" ca="1" si="7"/>
        <v>1.650681602280289E-3</v>
      </c>
      <c r="AI35" s="5">
        <f t="shared" ca="1" si="8"/>
        <v>1.4848970473182242E-3</v>
      </c>
      <c r="AJ35" s="5">
        <f t="shared" ca="1" si="9"/>
        <v>1.3464841779492079E-3</v>
      </c>
      <c r="AK35" s="5">
        <f t="shared" ca="1" si="10"/>
        <v>9.396260365420187E-4</v>
      </c>
      <c r="AM35" s="5">
        <f t="shared" ca="1" si="13"/>
        <v>1.9001018632210182E-2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1.20458</v>
      </c>
      <c r="F36" s="5">
        <v>54</v>
      </c>
      <c r="H36" s="5" t="s">
        <v>0</v>
      </c>
      <c r="I36" s="5">
        <v>100</v>
      </c>
      <c r="J36" s="5">
        <v>0.7</v>
      </c>
      <c r="L36" s="5">
        <f t="shared" ca="1" si="11"/>
        <v>117.16959</v>
      </c>
      <c r="M36" s="5">
        <f t="shared" ca="1" si="11"/>
        <v>109.28663</v>
      </c>
      <c r="N36" s="5">
        <f t="shared" ca="1" si="11"/>
        <v>108.61753</v>
      </c>
      <c r="O36" s="5">
        <f t="shared" ca="1" si="11"/>
        <v>107.89747</v>
      </c>
      <c r="P36" s="5">
        <f t="shared" ca="1" si="11"/>
        <v>108.76697</v>
      </c>
      <c r="Q36" s="5">
        <f t="shared" ca="1" si="11"/>
        <v>108.52275</v>
      </c>
      <c r="R36" s="5">
        <f t="shared" ca="1" si="11"/>
        <v>107.88585999999999</v>
      </c>
      <c r="S36" s="5">
        <f t="shared" ca="1" si="11"/>
        <v>107.78247</v>
      </c>
      <c r="T36" s="5">
        <f t="shared" ca="1" si="11"/>
        <v>108.19413</v>
      </c>
      <c r="U36" s="5">
        <f t="shared" ca="1" si="11"/>
        <v>117.29895</v>
      </c>
      <c r="W36" s="5">
        <f t="shared" ca="1" si="12"/>
        <v>110.142235</v>
      </c>
      <c r="Y36" s="5">
        <f ca="1">Total!E36</f>
        <v>107.28163000000001</v>
      </c>
      <c r="AB36" s="5">
        <f t="shared" ca="1" si="1"/>
        <v>9.2168249121494447E-2</v>
      </c>
      <c r="AC36" s="5">
        <f t="shared" ca="1" si="2"/>
        <v>1.8689126926949146E-2</v>
      </c>
      <c r="AD36" s="5">
        <f t="shared" ca="1" si="3"/>
        <v>1.2452271651726349E-2</v>
      </c>
      <c r="AE36" s="5">
        <f t="shared" ca="1" si="4"/>
        <v>5.7404049509686928E-3</v>
      </c>
      <c r="AF36" s="5">
        <f t="shared" ca="1" si="5"/>
        <v>1.3845240792855157E-2</v>
      </c>
      <c r="AG36" s="5">
        <f t="shared" ca="1" si="6"/>
        <v>1.1568802599289319E-2</v>
      </c>
      <c r="AH36" s="5">
        <f t="shared" ca="1" si="7"/>
        <v>5.6321851187382862E-3</v>
      </c>
      <c r="AI36" s="5">
        <f t="shared" ca="1" si="8"/>
        <v>4.6684600150090618E-3</v>
      </c>
      <c r="AJ36" s="5">
        <f t="shared" ca="1" si="9"/>
        <v>8.5056500353321834E-3</v>
      </c>
      <c r="AK36" s="5">
        <f t="shared" ca="1" si="10"/>
        <v>9.3374047355544443E-2</v>
      </c>
      <c r="AM36" s="5">
        <f t="shared" ca="1" si="13"/>
        <v>0.26664443856790709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1.22062</v>
      </c>
      <c r="F37" s="5">
        <v>52</v>
      </c>
      <c r="H37" s="5" t="s">
        <v>0</v>
      </c>
      <c r="I37" s="5">
        <v>100</v>
      </c>
      <c r="J37" s="5">
        <v>1</v>
      </c>
      <c r="L37" s="5">
        <f t="shared" ca="1" si="11"/>
        <v>103.95663</v>
      </c>
      <c r="M37" s="5">
        <f t="shared" ca="1" si="11"/>
        <v>103.64637</v>
      </c>
      <c r="N37" s="5">
        <f t="shared" ca="1" si="11"/>
        <v>103.77163</v>
      </c>
      <c r="O37" s="5">
        <f t="shared" ca="1" si="11"/>
        <v>104.08329000000001</v>
      </c>
      <c r="P37" s="5">
        <f t="shared" ca="1" si="11"/>
        <v>104.06837</v>
      </c>
      <c r="Q37" s="5">
        <f t="shared" ca="1" si="11"/>
        <v>103.89663</v>
      </c>
      <c r="R37" s="5">
        <f t="shared" ca="1" si="11"/>
        <v>103.80829</v>
      </c>
      <c r="S37" s="5">
        <f t="shared" ca="1" si="11"/>
        <v>103.36673999999999</v>
      </c>
      <c r="T37" s="5">
        <f t="shared" ca="1" si="11"/>
        <v>104.12419</v>
      </c>
      <c r="U37" s="5">
        <f t="shared" ca="1" si="11"/>
        <v>104.1658</v>
      </c>
      <c r="W37" s="5">
        <f t="shared" ca="1" si="12"/>
        <v>103.88879399999999</v>
      </c>
      <c r="Y37" s="5">
        <f ca="1">Total!E37</f>
        <v>103.21266</v>
      </c>
      <c r="AB37" s="5">
        <f t="shared" ca="1" si="1"/>
        <v>7.2081273750720549E-3</v>
      </c>
      <c r="AC37" s="5">
        <f t="shared" ca="1" si="2"/>
        <v>4.2021007887986309E-3</v>
      </c>
      <c r="AD37" s="5">
        <f t="shared" ca="1" si="3"/>
        <v>5.4157115997204427E-3</v>
      </c>
      <c r="AE37" s="5">
        <f t="shared" ca="1" si="4"/>
        <v>8.4353024134830503E-3</v>
      </c>
      <c r="AF37" s="5">
        <f t="shared" ca="1" si="5"/>
        <v>8.2907465033843913E-3</v>
      </c>
      <c r="AG37" s="5">
        <f t="shared" ca="1" si="6"/>
        <v>6.6268033398228683E-3</v>
      </c>
      <c r="AH37" s="5">
        <f t="shared" ca="1" si="7"/>
        <v>5.7709005852576599E-3</v>
      </c>
      <c r="AI37" s="5">
        <f t="shared" ca="1" si="8"/>
        <v>1.4928401225197891E-3</v>
      </c>
      <c r="AJ37" s="5">
        <f t="shared" ca="1" si="9"/>
        <v>8.8315716308445015E-3</v>
      </c>
      <c r="AK37" s="5">
        <f t="shared" ca="1" si="10"/>
        <v>9.2347198492898526E-3</v>
      </c>
      <c r="AM37" s="5">
        <f t="shared" ca="1" si="13"/>
        <v>6.5508824208193234E-2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1.2019</v>
      </c>
      <c r="F38" s="5">
        <v>52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1.2045699999999999</v>
      </c>
      <c r="F39" s="5">
        <v>53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1.2085900000000001</v>
      </c>
      <c r="F40" s="5">
        <v>51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2.8911500000000001</v>
      </c>
      <c r="F41" s="5">
        <v>174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2.8891300000000002</v>
      </c>
      <c r="F42" s="5">
        <v>172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2.89839</v>
      </c>
      <c r="F43" s="5">
        <v>172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2.8990100000000001</v>
      </c>
      <c r="F44" s="5">
        <v>176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2.8936899999999999</v>
      </c>
      <c r="F45" s="5">
        <v>174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2.89473</v>
      </c>
      <c r="F46" s="5">
        <v>169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2.8896000000000002</v>
      </c>
      <c r="F47" s="5">
        <v>177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2.8976500000000001</v>
      </c>
      <c r="F48" s="5">
        <v>173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2.8942000000000001</v>
      </c>
      <c r="F49" s="5">
        <v>171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2.8894899999999999</v>
      </c>
      <c r="F50" s="5">
        <v>174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180.05332999999999</v>
      </c>
      <c r="E51" s="5">
        <v>4.5945</v>
      </c>
      <c r="F51" s="5">
        <v>271</v>
      </c>
    </row>
    <row r="52" spans="1:6" x14ac:dyDescent="0.25">
      <c r="A52" s="5" t="s">
        <v>27</v>
      </c>
      <c r="B52" s="5">
        <v>50</v>
      </c>
      <c r="C52" s="5">
        <v>1</v>
      </c>
      <c r="D52" s="5">
        <v>180.05332999999999</v>
      </c>
      <c r="E52" s="5">
        <v>4.5958500000000004</v>
      </c>
      <c r="F52" s="5">
        <v>272</v>
      </c>
    </row>
    <row r="53" spans="1:6" x14ac:dyDescent="0.25">
      <c r="A53" s="5" t="s">
        <v>27</v>
      </c>
      <c r="B53" s="5">
        <v>50</v>
      </c>
      <c r="C53" s="5">
        <v>1</v>
      </c>
      <c r="D53" s="5">
        <v>179.95332999999999</v>
      </c>
      <c r="E53" s="5">
        <v>4.5940599999999998</v>
      </c>
      <c r="F53" s="5">
        <v>275</v>
      </c>
    </row>
    <row r="54" spans="1:6" x14ac:dyDescent="0.25">
      <c r="A54" s="5" t="s">
        <v>27</v>
      </c>
      <c r="B54" s="5">
        <v>50</v>
      </c>
      <c r="C54" s="5">
        <v>1</v>
      </c>
      <c r="D54" s="5">
        <v>181.5967</v>
      </c>
      <c r="E54" s="5">
        <v>4.5953200000000001</v>
      </c>
      <c r="F54" s="5">
        <v>275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180.37180000000001</v>
      </c>
      <c r="E55" s="5">
        <v>4.5913300000000001</v>
      </c>
      <c r="F55" s="5">
        <v>276</v>
      </c>
    </row>
    <row r="56" spans="1:6" x14ac:dyDescent="0.25">
      <c r="A56" s="5" t="s">
        <v>27</v>
      </c>
      <c r="B56" s="5">
        <v>50</v>
      </c>
      <c r="C56" s="5">
        <v>1</v>
      </c>
      <c r="D56" s="5">
        <v>179.93769</v>
      </c>
      <c r="E56" s="5">
        <v>4.6027199999999997</v>
      </c>
      <c r="F56" s="5">
        <v>276</v>
      </c>
    </row>
    <row r="57" spans="1:6" x14ac:dyDescent="0.25">
      <c r="A57" s="5" t="s">
        <v>27</v>
      </c>
      <c r="B57" s="5">
        <v>50</v>
      </c>
      <c r="C57" s="5">
        <v>1</v>
      </c>
      <c r="D57" s="5">
        <v>180.33667</v>
      </c>
      <c r="E57" s="5">
        <v>4.6020599999999998</v>
      </c>
      <c r="F57" s="5">
        <v>278</v>
      </c>
    </row>
    <row r="58" spans="1:6" x14ac:dyDescent="0.25">
      <c r="A58" s="5" t="s">
        <v>27</v>
      </c>
      <c r="B58" s="5">
        <v>50</v>
      </c>
      <c r="C58" s="5">
        <v>1</v>
      </c>
      <c r="D58" s="5">
        <v>181.92667</v>
      </c>
      <c r="E58" s="5">
        <v>4.5917399999999997</v>
      </c>
      <c r="F58" s="5">
        <v>271</v>
      </c>
    </row>
    <row r="59" spans="1:6" x14ac:dyDescent="0.25">
      <c r="A59" s="5" t="s">
        <v>27</v>
      </c>
      <c r="B59" s="5">
        <v>50</v>
      </c>
      <c r="C59" s="5">
        <v>1</v>
      </c>
      <c r="D59" s="5">
        <v>180.05332999999999</v>
      </c>
      <c r="E59" s="5">
        <v>4.60006</v>
      </c>
      <c r="F59" s="5">
        <v>276</v>
      </c>
    </row>
    <row r="60" spans="1:6" x14ac:dyDescent="0.25">
      <c r="A60" s="5" t="s">
        <v>27</v>
      </c>
      <c r="B60" s="5">
        <v>50</v>
      </c>
      <c r="C60" s="5">
        <v>1</v>
      </c>
      <c r="D60" s="5">
        <v>179.67332999999999</v>
      </c>
      <c r="E60" s="5">
        <v>4.60229</v>
      </c>
      <c r="F60" s="5">
        <v>275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5.6190300000000004</v>
      </c>
      <c r="F61" s="5">
        <v>90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5.6211399999999996</v>
      </c>
      <c r="F62" s="5">
        <v>92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5.6315999999999997</v>
      </c>
      <c r="F63" s="5">
        <v>91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5.6245099999999999</v>
      </c>
      <c r="F64" s="5">
        <v>91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5.6274100000000002</v>
      </c>
      <c r="F65" s="5">
        <v>92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5.5981699999999996</v>
      </c>
      <c r="F66" s="5">
        <v>91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5.5979700000000001</v>
      </c>
      <c r="F67" s="5">
        <v>91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5.62697</v>
      </c>
      <c r="F68" s="5">
        <v>92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5.6047099999999999</v>
      </c>
      <c r="F69" s="5">
        <v>91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5.6205299999999996</v>
      </c>
      <c r="F70" s="5">
        <v>89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259.68993999999998</v>
      </c>
      <c r="E71" s="5">
        <v>11.6608</v>
      </c>
      <c r="F71" s="5">
        <v>178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259.65879999999999</v>
      </c>
      <c r="E72" s="5">
        <v>11.657489999999999</v>
      </c>
      <c r="F72" s="5">
        <v>175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258.40397999999999</v>
      </c>
      <c r="E73" s="5">
        <v>11.68309</v>
      </c>
      <c r="F73" s="5">
        <v>176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260.05462</v>
      </c>
      <c r="E74" s="5">
        <v>11.64737</v>
      </c>
      <c r="F74" s="5">
        <v>174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257.34735999999998</v>
      </c>
      <c r="E75" s="5">
        <v>11.67736</v>
      </c>
      <c r="F75" s="5">
        <v>177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255.68459999999999</v>
      </c>
      <c r="E76" s="5">
        <v>11.66968</v>
      </c>
      <c r="F76" s="5">
        <v>175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256.59073999999998</v>
      </c>
      <c r="E77" s="5">
        <v>11.692679999999999</v>
      </c>
      <c r="F77" s="5">
        <v>173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256.37261000000001</v>
      </c>
      <c r="E78" s="5">
        <v>11.69158</v>
      </c>
      <c r="F78" s="5">
        <v>174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259.17493999999999</v>
      </c>
      <c r="E79" s="5">
        <v>11.65666</v>
      </c>
      <c r="F79" s="5">
        <v>178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259.46742</v>
      </c>
      <c r="E80" s="5">
        <v>11.68263</v>
      </c>
      <c r="F80" s="5">
        <v>181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240.77494999999999</v>
      </c>
      <c r="E81" s="5">
        <v>30.127410000000001</v>
      </c>
      <c r="F81" s="5">
        <v>443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240.30896999999999</v>
      </c>
      <c r="E82" s="5">
        <v>30.157430000000002</v>
      </c>
      <c r="F82" s="5">
        <v>434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239.72337999999999</v>
      </c>
      <c r="E83" s="5">
        <v>30.167339999999999</v>
      </c>
      <c r="F83" s="5">
        <v>442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239.84372999999999</v>
      </c>
      <c r="E84" s="5">
        <v>30.168810000000001</v>
      </c>
      <c r="F84" s="5">
        <v>439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240.62872999999999</v>
      </c>
      <c r="E85" s="5">
        <v>30.129860000000001</v>
      </c>
      <c r="F85" s="5">
        <v>445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239.30332999999999</v>
      </c>
      <c r="E86" s="5">
        <v>30.127179999999999</v>
      </c>
      <c r="F86" s="5">
        <v>444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240.32364000000001</v>
      </c>
      <c r="E87" s="5">
        <v>30.15596</v>
      </c>
      <c r="F87" s="5">
        <v>438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239.18</v>
      </c>
      <c r="E88" s="5">
        <v>30.16525</v>
      </c>
      <c r="F88" s="5">
        <v>443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241.26667</v>
      </c>
      <c r="E89" s="5">
        <v>30.167369999999998</v>
      </c>
      <c r="F89" s="5">
        <v>443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240.29670999999999</v>
      </c>
      <c r="E90" s="5">
        <v>30.135439999999999</v>
      </c>
      <c r="F90" s="5">
        <v>440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0.58220000000000005</v>
      </c>
      <c r="F91" s="5">
        <v>133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0.58326</v>
      </c>
      <c r="F92" s="5">
        <v>113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0.58206000000000002</v>
      </c>
      <c r="F93" s="5">
        <v>134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0.58321999999999996</v>
      </c>
      <c r="F94" s="5">
        <v>133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0.58486000000000005</v>
      </c>
      <c r="F95" s="5">
        <v>136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0.58167999999999997</v>
      </c>
      <c r="F96" s="5">
        <v>133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0.58152999999999999</v>
      </c>
      <c r="F97" s="5">
        <v>135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0.58177999999999996</v>
      </c>
      <c r="F98" s="5">
        <v>134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0.58289000000000002</v>
      </c>
      <c r="F99" s="5">
        <v>116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0.58169000000000004</v>
      </c>
      <c r="F100" s="5">
        <v>136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0.73534999999999995</v>
      </c>
      <c r="F101" s="5">
        <v>156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0.73611000000000004</v>
      </c>
      <c r="F102" s="5">
        <v>145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0.73760999999999999</v>
      </c>
      <c r="F103" s="5">
        <v>163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0.73455000000000004</v>
      </c>
      <c r="F104" s="5">
        <v>163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0.73684000000000005</v>
      </c>
      <c r="F105" s="5">
        <v>162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0.73497000000000001</v>
      </c>
      <c r="F106" s="5">
        <v>169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0.73472000000000004</v>
      </c>
      <c r="F107" s="5">
        <v>169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0.73682000000000003</v>
      </c>
      <c r="F108" s="5">
        <v>150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0.73728000000000005</v>
      </c>
      <c r="F109" s="5">
        <v>167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0.73726000000000003</v>
      </c>
      <c r="F110" s="5">
        <v>167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1.2740400000000001</v>
      </c>
      <c r="F111" s="5">
        <v>274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1.28241</v>
      </c>
      <c r="F112" s="5">
        <v>270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1.27613</v>
      </c>
      <c r="F113" s="5">
        <v>266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1.27762</v>
      </c>
      <c r="F114" s="5">
        <v>274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1.2744500000000001</v>
      </c>
      <c r="F115" s="5">
        <v>277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1.27685</v>
      </c>
      <c r="F116" s="5">
        <v>262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1.2753399999999999</v>
      </c>
      <c r="F117" s="5">
        <v>272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1.2743100000000001</v>
      </c>
      <c r="F118" s="5">
        <v>266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1.2768600000000001</v>
      </c>
      <c r="F119" s="5">
        <v>249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1.2769299999999999</v>
      </c>
      <c r="F120" s="5">
        <v>274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4348.0289499999999</v>
      </c>
      <c r="E121" s="5">
        <v>1.9960199999999999</v>
      </c>
      <c r="F121" s="5">
        <v>142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4350.8413700000001</v>
      </c>
      <c r="E122" s="5">
        <v>1.99786</v>
      </c>
      <c r="F122" s="5">
        <v>154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4348.0289499999999</v>
      </c>
      <c r="E123" s="5">
        <v>1.99794</v>
      </c>
      <c r="F123" s="5">
        <v>148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4348.0289499999999</v>
      </c>
      <c r="E124" s="5">
        <v>2.0025200000000001</v>
      </c>
      <c r="F124" s="5">
        <v>151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4350.8413700000001</v>
      </c>
      <c r="E125" s="5">
        <v>1.9941500000000001</v>
      </c>
      <c r="F125" s="5">
        <v>149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4350.8413700000001</v>
      </c>
      <c r="E126" s="5">
        <v>1.9917899999999999</v>
      </c>
      <c r="F126" s="5">
        <v>152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1.9932099999999999</v>
      </c>
      <c r="F127" s="5">
        <v>152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1.99848</v>
      </c>
      <c r="F128" s="5">
        <v>145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2.0016799999999999</v>
      </c>
      <c r="F129" s="5">
        <v>151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4350.8413700000001</v>
      </c>
      <c r="E130" s="5">
        <v>1.99699</v>
      </c>
      <c r="F130" s="5">
        <v>150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2.86998</v>
      </c>
      <c r="F131" s="5">
        <v>200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2.8622700000000001</v>
      </c>
      <c r="F132" s="5">
        <v>208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2.8689499999999999</v>
      </c>
      <c r="F133" s="5">
        <v>198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2.8714400000000002</v>
      </c>
      <c r="F134" s="5">
        <v>199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2.86911</v>
      </c>
      <c r="F135" s="5">
        <v>209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2.8720599999999998</v>
      </c>
      <c r="F136" s="5">
        <v>201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2.8679800000000002</v>
      </c>
      <c r="F137" s="5">
        <v>202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2.8702100000000002</v>
      </c>
      <c r="F138" s="5">
        <v>208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2.8658600000000001</v>
      </c>
      <c r="F139" s="5">
        <v>202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2.8613599999999999</v>
      </c>
      <c r="F140" s="5">
        <v>201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3.5209199999999998</v>
      </c>
      <c r="F141" s="5">
        <v>251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3.5158700000000001</v>
      </c>
      <c r="F142" s="5">
        <v>248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3.5158900000000002</v>
      </c>
      <c r="F143" s="5">
        <v>245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3.5226000000000002</v>
      </c>
      <c r="F144" s="5">
        <v>246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3.5114299999999998</v>
      </c>
      <c r="F145" s="5">
        <v>248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3.5141100000000001</v>
      </c>
      <c r="F146" s="5">
        <v>247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3.51742</v>
      </c>
      <c r="F147" s="5">
        <v>256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3.5112899999999998</v>
      </c>
      <c r="F148" s="5">
        <v>246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3.51877</v>
      </c>
      <c r="F149" s="5">
        <v>247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3.5209700000000002</v>
      </c>
      <c r="F150" s="5">
        <v>244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42986.345820000002</v>
      </c>
      <c r="E151" s="5">
        <v>4.9124100000000004</v>
      </c>
      <c r="F151" s="5">
        <v>84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42986.45392</v>
      </c>
      <c r="E152" s="5">
        <v>4.90754</v>
      </c>
      <c r="F152" s="5">
        <v>85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42986.403050000001</v>
      </c>
      <c r="E153" s="5">
        <v>4.9032900000000001</v>
      </c>
      <c r="F153" s="5">
        <v>84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42986.673049999998</v>
      </c>
      <c r="E154" s="5">
        <v>4.8913200000000003</v>
      </c>
      <c r="F154" s="5">
        <v>85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42986.673049999998</v>
      </c>
      <c r="E155" s="5">
        <v>4.9168599999999998</v>
      </c>
      <c r="F155" s="5">
        <v>84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42986.802479999998</v>
      </c>
      <c r="E156" s="5">
        <v>4.91493</v>
      </c>
      <c r="F156" s="5">
        <v>84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42986.403050000001</v>
      </c>
      <c r="E157" s="5">
        <v>4.90252</v>
      </c>
      <c r="F157" s="5">
        <v>85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42986.403050000001</v>
      </c>
      <c r="E158" s="5">
        <v>4.9343000000000004</v>
      </c>
      <c r="F158" s="5">
        <v>85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42986.403050000001</v>
      </c>
      <c r="E159" s="5">
        <v>4.8933200000000001</v>
      </c>
      <c r="F159" s="5">
        <v>84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42986.345820000002</v>
      </c>
      <c r="E160" s="5">
        <v>4.9131</v>
      </c>
      <c r="F160" s="5">
        <v>85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35650.891559999996</v>
      </c>
      <c r="E161" s="5">
        <v>12.70853</v>
      </c>
      <c r="F161" s="5">
        <v>203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35645.257109999999</v>
      </c>
      <c r="E162" s="5">
        <v>12.72733</v>
      </c>
      <c r="F162" s="5">
        <v>202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35651.519460000003</v>
      </c>
      <c r="E163" s="5">
        <v>12.703250000000001</v>
      </c>
      <c r="F163" s="5">
        <v>202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35689.659350000002</v>
      </c>
      <c r="E164" s="5">
        <v>12.728429999999999</v>
      </c>
      <c r="F164" s="5">
        <v>201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35836.676460000002</v>
      </c>
      <c r="E165" s="5">
        <v>12.71102</v>
      </c>
      <c r="F165" s="5">
        <v>202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35772.60252</v>
      </c>
      <c r="E166" s="5">
        <v>12.70335</v>
      </c>
      <c r="F166" s="5">
        <v>202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35656.043689999999</v>
      </c>
      <c r="E167" s="5">
        <v>12.70121</v>
      </c>
      <c r="F167" s="5">
        <v>203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35609.251490000002</v>
      </c>
      <c r="E168" s="5">
        <v>12.7441</v>
      </c>
      <c r="F168" s="5">
        <v>201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35774.875970000001</v>
      </c>
      <c r="E169" s="5">
        <v>12.696949999999999</v>
      </c>
      <c r="F169" s="5">
        <v>202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35799.32473</v>
      </c>
      <c r="E170" s="5">
        <v>12.71551</v>
      </c>
      <c r="F170" s="5">
        <v>203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35221.175139999999</v>
      </c>
      <c r="E171" s="5">
        <v>28.522279999999999</v>
      </c>
      <c r="F171" s="5">
        <v>476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35265.620000000003</v>
      </c>
      <c r="E172" s="5">
        <v>28.52328</v>
      </c>
      <c r="F172" s="5">
        <v>477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35267.54797</v>
      </c>
      <c r="E173" s="5">
        <v>28.48677</v>
      </c>
      <c r="F173" s="5">
        <v>472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35247.306329999999</v>
      </c>
      <c r="E174" s="5">
        <v>28.506630000000001</v>
      </c>
      <c r="F174" s="5">
        <v>466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35249.166669999999</v>
      </c>
      <c r="E175" s="5">
        <v>28.51511</v>
      </c>
      <c r="F175" s="5">
        <v>476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35317.137239999996</v>
      </c>
      <c r="E176" s="5">
        <v>28.502590000000001</v>
      </c>
      <c r="F176" s="5">
        <v>453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35411.327530000002</v>
      </c>
      <c r="E177" s="5">
        <v>28.539960000000001</v>
      </c>
      <c r="F177" s="5">
        <v>454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35238.946669999998</v>
      </c>
      <c r="E178" s="5">
        <v>28.524180000000001</v>
      </c>
      <c r="F178" s="5">
        <v>449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35369.031430000003</v>
      </c>
      <c r="E179" s="5">
        <v>28.510850000000001</v>
      </c>
      <c r="F179" s="5">
        <v>475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35408.79333</v>
      </c>
      <c r="E180" s="5">
        <v>28.496680000000001</v>
      </c>
      <c r="F180" s="5">
        <v>452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0.73270999999999997</v>
      </c>
      <c r="F181" s="5">
        <v>103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0.73219999999999996</v>
      </c>
      <c r="F182" s="5">
        <v>117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0.73133000000000004</v>
      </c>
      <c r="F183" s="5">
        <v>117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0.73302</v>
      </c>
      <c r="F184" s="5">
        <v>118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0.73311999999999999</v>
      </c>
      <c r="F185" s="5">
        <v>118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0.73133000000000004</v>
      </c>
      <c r="F186" s="5">
        <v>110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0.73389000000000004</v>
      </c>
      <c r="F187" s="5">
        <v>118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0.73031000000000001</v>
      </c>
      <c r="F188" s="5">
        <v>119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0.73480999999999996</v>
      </c>
      <c r="F189" s="5">
        <v>118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0.73234999999999995</v>
      </c>
      <c r="F190" s="5">
        <v>116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675.38247999999999</v>
      </c>
      <c r="E191" s="5">
        <v>1.13541</v>
      </c>
      <c r="F191" s="5">
        <v>160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677.39407000000006</v>
      </c>
      <c r="E192" s="5">
        <v>1.1382699999999999</v>
      </c>
      <c r="F192" s="5">
        <v>186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675.36989000000005</v>
      </c>
      <c r="E193" s="5">
        <v>1.13859</v>
      </c>
      <c r="F193" s="5">
        <v>189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675.36989000000005</v>
      </c>
      <c r="E194" s="5">
        <v>1.1372800000000001</v>
      </c>
      <c r="F194" s="5">
        <v>184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677.26074000000006</v>
      </c>
      <c r="E195" s="5">
        <v>1.13791</v>
      </c>
      <c r="F195" s="5">
        <v>173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675.36581000000001</v>
      </c>
      <c r="E196" s="5">
        <v>1.1368499999999999</v>
      </c>
      <c r="F196" s="5">
        <v>184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675.36989000000005</v>
      </c>
      <c r="E197" s="5">
        <v>1.13785</v>
      </c>
      <c r="F197" s="5">
        <v>185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675.36989000000005</v>
      </c>
      <c r="E198" s="5">
        <v>1.1434200000000001</v>
      </c>
      <c r="F198" s="5">
        <v>180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675.38611000000003</v>
      </c>
      <c r="E199" s="5">
        <v>1.13767</v>
      </c>
      <c r="F199" s="5">
        <v>183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675.36989000000005</v>
      </c>
      <c r="E200" s="5">
        <v>1.1374899999999999</v>
      </c>
      <c r="F200" s="5">
        <v>179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659.84542999999996</v>
      </c>
      <c r="E201" s="5">
        <v>2.0676899999999998</v>
      </c>
      <c r="F201" s="5">
        <v>317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658.47383000000002</v>
      </c>
      <c r="E202" s="5">
        <v>2.0688900000000001</v>
      </c>
      <c r="F202" s="5">
        <v>305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655.43295999999998</v>
      </c>
      <c r="E203" s="5">
        <v>2.0710600000000001</v>
      </c>
      <c r="F203" s="5">
        <v>320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656.34204</v>
      </c>
      <c r="E204" s="5">
        <v>2.0727899999999999</v>
      </c>
      <c r="F204" s="5">
        <v>307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657.32992999999999</v>
      </c>
      <c r="E205" s="5">
        <v>2.06602</v>
      </c>
      <c r="F205" s="5">
        <v>322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656.34204</v>
      </c>
      <c r="E206" s="5">
        <v>2.0665800000000001</v>
      </c>
      <c r="F206" s="5">
        <v>289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657.45713999999998</v>
      </c>
      <c r="E207" s="5">
        <v>2.0688200000000001</v>
      </c>
      <c r="F207" s="5">
        <v>324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655.43295999999998</v>
      </c>
      <c r="E208" s="5">
        <v>2.0730599999999999</v>
      </c>
      <c r="F208" s="5">
        <v>320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656.34204</v>
      </c>
      <c r="E209" s="5">
        <v>2.0665499999999999</v>
      </c>
      <c r="F209" s="5">
        <v>323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657.35562000000004</v>
      </c>
      <c r="E210" s="5">
        <v>2.0661100000000001</v>
      </c>
      <c r="F210" s="5">
        <v>321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1460.0209400000001</v>
      </c>
      <c r="E211" s="5">
        <v>1.58673</v>
      </c>
      <c r="F211" s="5">
        <v>114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1459.9687899999999</v>
      </c>
      <c r="E212" s="5">
        <v>1.5924499999999999</v>
      </c>
      <c r="F212" s="5">
        <v>111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1459.9687899999999</v>
      </c>
      <c r="E213" s="5">
        <v>1.58619</v>
      </c>
      <c r="F213" s="5">
        <v>114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1459.9687899999999</v>
      </c>
      <c r="E214" s="5">
        <v>1.58917</v>
      </c>
      <c r="F214" s="5">
        <v>114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1459.9687899999999</v>
      </c>
      <c r="E215" s="5">
        <v>1.5959000000000001</v>
      </c>
      <c r="F215" s="5">
        <v>113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1483.36385</v>
      </c>
      <c r="E216" s="5">
        <v>1.5879099999999999</v>
      </c>
      <c r="F216" s="5">
        <v>118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1460.80863</v>
      </c>
      <c r="E217" s="5">
        <v>1.5894999999999999</v>
      </c>
      <c r="F217" s="5">
        <v>118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1459.9687899999999</v>
      </c>
      <c r="E218" s="5">
        <v>1.58887</v>
      </c>
      <c r="F218" s="5">
        <v>110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1459.9687899999999</v>
      </c>
      <c r="E219" s="5">
        <v>1.58874</v>
      </c>
      <c r="F219" s="5">
        <v>116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1460.0209400000001</v>
      </c>
      <c r="E220" s="5">
        <v>1.5908500000000001</v>
      </c>
      <c r="F220" s="5">
        <v>111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1016.52883</v>
      </c>
      <c r="E221" s="5">
        <v>4.5419700000000001</v>
      </c>
      <c r="F221" s="5">
        <v>322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1021.51693</v>
      </c>
      <c r="E222" s="5">
        <v>4.54129</v>
      </c>
      <c r="F222" s="5">
        <v>320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1013.9746</v>
      </c>
      <c r="E223" s="5">
        <v>4.5521500000000001</v>
      </c>
      <c r="F223" s="5">
        <v>326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1014.23905</v>
      </c>
      <c r="E224" s="5">
        <v>4.5427999999999997</v>
      </c>
      <c r="F224" s="5">
        <v>323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1012.25946</v>
      </c>
      <c r="E225" s="5">
        <v>4.5411099999999998</v>
      </c>
      <c r="F225" s="5">
        <v>322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1019.21</v>
      </c>
      <c r="E226" s="5">
        <v>4.5426399999999996</v>
      </c>
      <c r="F226" s="5">
        <v>323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1031.2172700000001</v>
      </c>
      <c r="E227" s="5">
        <v>4.5421399999999998</v>
      </c>
      <c r="F227" s="5">
        <v>324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1020.235</v>
      </c>
      <c r="E228" s="5">
        <v>4.5423299999999998</v>
      </c>
      <c r="F228" s="5">
        <v>323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1018.74667</v>
      </c>
      <c r="E229" s="5">
        <v>4.5490199999999996</v>
      </c>
      <c r="F229" s="5">
        <v>328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1011.42917</v>
      </c>
      <c r="E230" s="5">
        <v>4.5521799999999999</v>
      </c>
      <c r="F230" s="5">
        <v>329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994.02547000000004</v>
      </c>
      <c r="E231" s="5">
        <v>8.3900699999999997</v>
      </c>
      <c r="F231" s="5">
        <v>566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1005.30656</v>
      </c>
      <c r="E232" s="5">
        <v>8.4420900000000003</v>
      </c>
      <c r="F232" s="5">
        <v>575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994.64796999999999</v>
      </c>
      <c r="E233" s="5">
        <v>8.3912600000000008</v>
      </c>
      <c r="F233" s="5">
        <v>574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997.69452000000001</v>
      </c>
      <c r="E234" s="5">
        <v>8.3945600000000002</v>
      </c>
      <c r="F234" s="5">
        <v>576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992.81464000000005</v>
      </c>
      <c r="E235" s="5">
        <v>8.3933</v>
      </c>
      <c r="F235" s="5">
        <v>574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1001.32</v>
      </c>
      <c r="E236" s="5">
        <v>8.3921700000000001</v>
      </c>
      <c r="F236" s="5">
        <v>577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998.59677999999997</v>
      </c>
      <c r="E237" s="5">
        <v>8.3915600000000001</v>
      </c>
      <c r="F237" s="5">
        <v>564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1003.69074</v>
      </c>
      <c r="E238" s="5">
        <v>8.3857499999999998</v>
      </c>
      <c r="F238" s="5">
        <v>561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1001.5566700000001</v>
      </c>
      <c r="E239" s="5">
        <v>8.3857700000000008</v>
      </c>
      <c r="F239" s="5">
        <v>572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994.19332999999995</v>
      </c>
      <c r="E240" s="5">
        <v>8.3852499999999992</v>
      </c>
      <c r="F240" s="5">
        <v>569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1827.5441499999999</v>
      </c>
      <c r="E241" s="5">
        <v>5.0521900000000004</v>
      </c>
      <c r="F241" s="5">
        <v>99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1825.7644</v>
      </c>
      <c r="E242" s="5">
        <v>5.0544799999999999</v>
      </c>
      <c r="F242" s="5">
        <v>98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1829.18191</v>
      </c>
      <c r="E243" s="5">
        <v>5.0706899999999999</v>
      </c>
      <c r="F243" s="5">
        <v>98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1831.4509499999999</v>
      </c>
      <c r="E244" s="5">
        <v>5.0697900000000002</v>
      </c>
      <c r="F244" s="5">
        <v>99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1835.6490200000001</v>
      </c>
      <c r="E245" s="5">
        <v>5.0708700000000002</v>
      </c>
      <c r="F245" s="5">
        <v>99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1848.5305699999999</v>
      </c>
      <c r="E246" s="5">
        <v>5.0501899999999997</v>
      </c>
      <c r="F246" s="5">
        <v>97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1834.63337</v>
      </c>
      <c r="E247" s="5">
        <v>5.0528899999999997</v>
      </c>
      <c r="F247" s="5">
        <v>97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1831.4729600000001</v>
      </c>
      <c r="E248" s="5">
        <v>5.0483399999999996</v>
      </c>
      <c r="F248" s="5">
        <v>98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1831.2288699999999</v>
      </c>
      <c r="E249" s="5">
        <v>5.08453</v>
      </c>
      <c r="F249" s="5">
        <v>97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1838.73946</v>
      </c>
      <c r="E250" s="5">
        <v>5.04488</v>
      </c>
      <c r="F250" s="5">
        <v>98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1772.5776499999999</v>
      </c>
      <c r="E251" s="5">
        <v>9.3707799999999999</v>
      </c>
      <c r="F251" s="5">
        <v>175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1786.8833400000001</v>
      </c>
      <c r="E252" s="5">
        <v>9.4129400000000008</v>
      </c>
      <c r="F252" s="5">
        <v>172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1766.22333</v>
      </c>
      <c r="E253" s="5">
        <v>9.3843700000000005</v>
      </c>
      <c r="F253" s="5">
        <v>173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1782.8531399999999</v>
      </c>
      <c r="E254" s="5">
        <v>9.3958999999999993</v>
      </c>
      <c r="F254" s="5">
        <v>171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1782.96235</v>
      </c>
      <c r="E255" s="5">
        <v>9.3937399999999993</v>
      </c>
      <c r="F255" s="5">
        <v>172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1789.4681599999999</v>
      </c>
      <c r="E256" s="5">
        <v>9.4023099999999999</v>
      </c>
      <c r="F256" s="5">
        <v>172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1793.2814599999999</v>
      </c>
      <c r="E257" s="5">
        <v>9.4133200000000006</v>
      </c>
      <c r="F257" s="5">
        <v>171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1776.0002400000001</v>
      </c>
      <c r="E258" s="5">
        <v>9.3766599999999993</v>
      </c>
      <c r="F258" s="5">
        <v>173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1785.3738800000001</v>
      </c>
      <c r="E259" s="5">
        <v>9.3785900000000009</v>
      </c>
      <c r="F259" s="5">
        <v>173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1790.3692900000001</v>
      </c>
      <c r="E260" s="5">
        <v>9.3853600000000004</v>
      </c>
      <c r="F260" s="5">
        <v>173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1759.80333</v>
      </c>
      <c r="E261" s="5">
        <v>15.338939999999999</v>
      </c>
      <c r="F261" s="5">
        <v>271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1758.3415199999999</v>
      </c>
      <c r="E262" s="5">
        <v>15.378740000000001</v>
      </c>
      <c r="F262" s="5">
        <v>274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1758.5802000000001</v>
      </c>
      <c r="E263" s="5">
        <v>15.358449999999999</v>
      </c>
      <c r="F263" s="5">
        <v>280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1755.1972800000001</v>
      </c>
      <c r="E264" s="5">
        <v>15.34103</v>
      </c>
      <c r="F264" s="5">
        <v>279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1758.5519099999999</v>
      </c>
      <c r="E265" s="5">
        <v>15.39099</v>
      </c>
      <c r="F265" s="5">
        <v>277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1766.03325</v>
      </c>
      <c r="E266" s="5">
        <v>15.37166</v>
      </c>
      <c r="F266" s="5">
        <v>268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1758.28</v>
      </c>
      <c r="E267" s="5">
        <v>15.345330000000001</v>
      </c>
      <c r="F267" s="5">
        <v>276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1759.26802</v>
      </c>
      <c r="E268" s="5">
        <v>15.36594</v>
      </c>
      <c r="F268" s="5">
        <v>277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1759.6319100000001</v>
      </c>
      <c r="E269" s="5">
        <v>15.369149999999999</v>
      </c>
      <c r="F269" s="5">
        <v>274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1758.9133300000001</v>
      </c>
      <c r="E270" s="5">
        <v>15.35764</v>
      </c>
      <c r="F270" s="5">
        <v>275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41.318849999999998</v>
      </c>
      <c r="E271" s="5">
        <v>0.58682000000000001</v>
      </c>
      <c r="F271" s="5">
        <v>92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42.424349999999997</v>
      </c>
      <c r="E272" s="5">
        <v>0.58533000000000002</v>
      </c>
      <c r="F272" s="5">
        <v>82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42.424349999999997</v>
      </c>
      <c r="E273" s="5">
        <v>0.58826000000000001</v>
      </c>
      <c r="F273" s="5">
        <v>90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41.319229999999997</v>
      </c>
      <c r="E274" s="5">
        <v>0.58818000000000004</v>
      </c>
      <c r="F274" s="5">
        <v>90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41.318849999999998</v>
      </c>
      <c r="E275" s="5">
        <v>0.58833000000000002</v>
      </c>
      <c r="F275" s="5">
        <v>89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42.424349999999997</v>
      </c>
      <c r="E276" s="5">
        <v>0.58760999999999997</v>
      </c>
      <c r="F276" s="5">
        <v>80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41.318849999999998</v>
      </c>
      <c r="E277" s="5">
        <v>0.58626</v>
      </c>
      <c r="F277" s="5">
        <v>93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42.003419999999998</v>
      </c>
      <c r="E278" s="5">
        <v>0.58799999999999997</v>
      </c>
      <c r="F278" s="5">
        <v>92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42.424349999999997</v>
      </c>
      <c r="E279" s="5">
        <v>0.58633999999999997</v>
      </c>
      <c r="F279" s="5">
        <v>93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42.003050000000002</v>
      </c>
      <c r="E280" s="5">
        <v>0.58506999999999998</v>
      </c>
      <c r="F280" s="5">
        <v>91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0.87317</v>
      </c>
      <c r="F281" s="5">
        <v>159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0.87651999999999997</v>
      </c>
      <c r="F282" s="5">
        <v>162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28.65436</v>
      </c>
      <c r="E283" s="5">
        <v>0.87577000000000005</v>
      </c>
      <c r="F283" s="5">
        <v>164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0.87339999999999995</v>
      </c>
      <c r="F284" s="5">
        <v>158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0.87560000000000004</v>
      </c>
      <c r="F285" s="5">
        <v>160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28.65436</v>
      </c>
      <c r="E286" s="5">
        <v>0.87351000000000001</v>
      </c>
      <c r="F286" s="5">
        <v>169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28.65624</v>
      </c>
      <c r="E287" s="5">
        <v>0.87729000000000001</v>
      </c>
      <c r="F287" s="5">
        <v>168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0.87487000000000004</v>
      </c>
      <c r="F288" s="5">
        <v>165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28.65436</v>
      </c>
      <c r="E289" s="5">
        <v>0.87661999999999995</v>
      </c>
      <c r="F289" s="5">
        <v>152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0.87734999999999996</v>
      </c>
      <c r="F290" s="5">
        <v>165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28.504100000000001</v>
      </c>
      <c r="E291" s="5">
        <v>1.13303</v>
      </c>
      <c r="F291" s="5">
        <v>203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28.546240000000001</v>
      </c>
      <c r="E292" s="5">
        <v>1.1334299999999999</v>
      </c>
      <c r="F292" s="5">
        <v>190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28.546240000000001</v>
      </c>
      <c r="E293" s="5">
        <v>1.13381</v>
      </c>
      <c r="F293" s="5">
        <v>208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28.60624</v>
      </c>
      <c r="E294" s="5">
        <v>1.1333800000000001</v>
      </c>
      <c r="F294" s="5">
        <v>202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28.592030000000001</v>
      </c>
      <c r="E295" s="5">
        <v>1.13157</v>
      </c>
      <c r="F295" s="5">
        <v>202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28.587009999999999</v>
      </c>
      <c r="E296" s="5">
        <v>1.13314</v>
      </c>
      <c r="F296" s="5">
        <v>194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28.587009999999999</v>
      </c>
      <c r="E297" s="5">
        <v>1.1344000000000001</v>
      </c>
      <c r="F297" s="5">
        <v>209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28.546240000000001</v>
      </c>
      <c r="E298" s="5">
        <v>1.1346799999999999</v>
      </c>
      <c r="F298" s="5">
        <v>209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28.592030000000001</v>
      </c>
      <c r="E299" s="5">
        <v>1.1331500000000001</v>
      </c>
      <c r="F299" s="5">
        <v>187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28.592030000000001</v>
      </c>
      <c r="E300" s="5">
        <v>1.13134</v>
      </c>
      <c r="F300" s="5">
        <v>202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59.28069</v>
      </c>
      <c r="E301" s="5">
        <v>1.9320900000000001</v>
      </c>
      <c r="F301" s="5">
        <v>130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59.912849999999999</v>
      </c>
      <c r="E302" s="5">
        <v>1.92089</v>
      </c>
      <c r="F302" s="5">
        <v>135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56.901339999999998</v>
      </c>
      <c r="E303" s="5">
        <v>1.9256800000000001</v>
      </c>
      <c r="F303" s="5">
        <v>130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59.004350000000002</v>
      </c>
      <c r="E304" s="5">
        <v>1.9212499999999999</v>
      </c>
      <c r="F304" s="5">
        <v>134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56.901339999999998</v>
      </c>
      <c r="E305" s="5">
        <v>1.92587</v>
      </c>
      <c r="F305" s="5">
        <v>126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57.300960000000003</v>
      </c>
      <c r="E306" s="5">
        <v>1.92065</v>
      </c>
      <c r="F306" s="5">
        <v>133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58.76444</v>
      </c>
      <c r="E307" s="5">
        <v>1.9239599999999999</v>
      </c>
      <c r="F307" s="5">
        <v>127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59.09102</v>
      </c>
      <c r="E308" s="5">
        <v>1.93198</v>
      </c>
      <c r="F308" s="5">
        <v>132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59.101019999999998</v>
      </c>
      <c r="E309" s="5">
        <v>1.92222</v>
      </c>
      <c r="F309" s="5">
        <v>131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56.901339999999998</v>
      </c>
      <c r="E310" s="5">
        <v>1.92808</v>
      </c>
      <c r="F310" s="5">
        <v>134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54.008650000000003</v>
      </c>
      <c r="E311" s="5">
        <v>3.7502800000000001</v>
      </c>
      <c r="F311" s="5">
        <v>243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53.596080000000001</v>
      </c>
      <c r="E312" s="5">
        <v>3.7537699999999998</v>
      </c>
      <c r="F312" s="5">
        <v>248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53.722749999999998</v>
      </c>
      <c r="E313" s="5">
        <v>3.76179</v>
      </c>
      <c r="F313" s="5">
        <v>253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53.825069999999997</v>
      </c>
      <c r="E314" s="5">
        <v>3.75041</v>
      </c>
      <c r="F314" s="5">
        <v>253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53.435600000000001</v>
      </c>
      <c r="E315" s="5">
        <v>3.7526999999999999</v>
      </c>
      <c r="F315" s="5">
        <v>254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53.73498</v>
      </c>
      <c r="E316" s="5">
        <v>3.7611699999999999</v>
      </c>
      <c r="F316" s="5">
        <v>252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53.742750000000001</v>
      </c>
      <c r="E317" s="5">
        <v>3.7526000000000002</v>
      </c>
      <c r="F317" s="5">
        <v>248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53.425519999999999</v>
      </c>
      <c r="E318" s="5">
        <v>3.7509299999999999</v>
      </c>
      <c r="F318" s="5">
        <v>250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53.67266</v>
      </c>
      <c r="E319" s="5">
        <v>3.7503500000000001</v>
      </c>
      <c r="F319" s="5">
        <v>248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53.625070000000001</v>
      </c>
      <c r="E320" s="5">
        <v>3.7523900000000001</v>
      </c>
      <c r="F320" s="5">
        <v>251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53.252409999999998</v>
      </c>
      <c r="E321" s="5">
        <v>6.0847300000000004</v>
      </c>
      <c r="F321" s="5">
        <v>374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53.162410000000001</v>
      </c>
      <c r="E322" s="5">
        <v>6.0794699999999997</v>
      </c>
      <c r="F322" s="5">
        <v>382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53.157490000000003</v>
      </c>
      <c r="E323" s="5">
        <v>6.0807500000000001</v>
      </c>
      <c r="F323" s="5">
        <v>377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53.537489999999998</v>
      </c>
      <c r="E324" s="5">
        <v>6.0805999999999996</v>
      </c>
      <c r="F324" s="5">
        <v>380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53.305520000000001</v>
      </c>
      <c r="E325" s="5">
        <v>6.0816800000000004</v>
      </c>
      <c r="F325" s="5">
        <v>380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53.617489999999997</v>
      </c>
      <c r="E326" s="5">
        <v>6.07402</v>
      </c>
      <c r="F326" s="5">
        <v>378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53.517490000000002</v>
      </c>
      <c r="E327" s="5">
        <v>6.0856500000000002</v>
      </c>
      <c r="F327" s="5">
        <v>378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53.258850000000002</v>
      </c>
      <c r="E328" s="5">
        <v>6.08582</v>
      </c>
      <c r="F328" s="5">
        <v>379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53.147590000000001</v>
      </c>
      <c r="E329" s="5">
        <v>6.0821100000000001</v>
      </c>
      <c r="F329" s="5">
        <v>380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53.167490000000001</v>
      </c>
      <c r="E330" s="5">
        <v>6.0827799999999996</v>
      </c>
      <c r="F330" s="5">
        <v>380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148.16414</v>
      </c>
      <c r="E331" s="5">
        <v>7.0359100000000003</v>
      </c>
      <c r="F331" s="5">
        <v>130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148.18818999999999</v>
      </c>
      <c r="E332" s="5">
        <v>7.0417800000000002</v>
      </c>
      <c r="F332" s="5">
        <v>131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148.16652999999999</v>
      </c>
      <c r="E333" s="5">
        <v>7.0656600000000003</v>
      </c>
      <c r="F333" s="5">
        <v>128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148.97398000000001</v>
      </c>
      <c r="E334" s="5">
        <v>7.0682400000000003</v>
      </c>
      <c r="F334" s="5">
        <v>131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148.18228999999999</v>
      </c>
      <c r="E335" s="5">
        <v>7.0678900000000002</v>
      </c>
      <c r="F335" s="5">
        <v>133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148.11283</v>
      </c>
      <c r="E336" s="5">
        <v>7.0363600000000002</v>
      </c>
      <c r="F336" s="5">
        <v>129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148.20735999999999</v>
      </c>
      <c r="E337" s="5">
        <v>7.04122</v>
      </c>
      <c r="F337" s="5">
        <v>130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148.18283</v>
      </c>
      <c r="E338" s="5">
        <v>7.05823</v>
      </c>
      <c r="F338" s="5">
        <v>132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148.16235</v>
      </c>
      <c r="E339" s="5">
        <v>7.03165</v>
      </c>
      <c r="F339" s="5">
        <v>131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148.10214999999999</v>
      </c>
      <c r="E340" s="5">
        <v>7.0486599999999999</v>
      </c>
      <c r="F340" s="5">
        <v>131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117.16959</v>
      </c>
      <c r="E341" s="5">
        <v>16.79579</v>
      </c>
      <c r="F341" s="5">
        <v>290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109.28663</v>
      </c>
      <c r="E342" s="5">
        <v>16.82546</v>
      </c>
      <c r="F342" s="5">
        <v>289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108.61753</v>
      </c>
      <c r="E343" s="5">
        <v>16.802700000000002</v>
      </c>
      <c r="F343" s="5">
        <v>291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107.89747</v>
      </c>
      <c r="E344" s="5">
        <v>16.798089999999998</v>
      </c>
      <c r="F344" s="5">
        <v>291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108.76697</v>
      </c>
      <c r="E345" s="5">
        <v>16.8278</v>
      </c>
      <c r="F345" s="5">
        <v>290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108.52275</v>
      </c>
      <c r="E346" s="5">
        <v>16.790209999999998</v>
      </c>
      <c r="F346" s="5">
        <v>290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107.88585999999999</v>
      </c>
      <c r="E347" s="5">
        <v>16.82891</v>
      </c>
      <c r="F347" s="5">
        <v>291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107.78247</v>
      </c>
      <c r="E348" s="5">
        <v>16.832979999999999</v>
      </c>
      <c r="F348" s="5">
        <v>290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108.19413</v>
      </c>
      <c r="E349" s="5">
        <v>16.805599999999998</v>
      </c>
      <c r="F349" s="5">
        <v>288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117.29895</v>
      </c>
      <c r="E350" s="5">
        <v>16.82197</v>
      </c>
      <c r="F350" s="5">
        <v>292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103.95663</v>
      </c>
      <c r="E351" s="5">
        <v>29.347999999999999</v>
      </c>
      <c r="F351" s="5">
        <v>479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103.64637</v>
      </c>
      <c r="E352" s="5">
        <v>29.362639999999999</v>
      </c>
      <c r="F352" s="5">
        <v>469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103.77163</v>
      </c>
      <c r="E353" s="5">
        <v>29.358409999999999</v>
      </c>
      <c r="F353" s="5">
        <v>479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104.08329000000001</v>
      </c>
      <c r="E354" s="5">
        <v>29.367909999999998</v>
      </c>
      <c r="F354" s="5">
        <v>476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104.06837</v>
      </c>
      <c r="E355" s="5">
        <v>29.376390000000001</v>
      </c>
      <c r="F355" s="5">
        <v>476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103.89663</v>
      </c>
      <c r="E356" s="5">
        <v>29.345269999999999</v>
      </c>
      <c r="F356" s="5">
        <v>477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103.80829</v>
      </c>
      <c r="E357" s="5">
        <v>29.352460000000001</v>
      </c>
      <c r="F357" s="5">
        <v>473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103.36673999999999</v>
      </c>
      <c r="E358" s="5">
        <v>29.340109999999999</v>
      </c>
      <c r="F358" s="5">
        <v>477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104.12419</v>
      </c>
      <c r="E359" s="5">
        <v>29.380579999999998</v>
      </c>
      <c r="F359" s="5">
        <v>479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104.1658</v>
      </c>
      <c r="E360" s="5">
        <v>29.337240000000001</v>
      </c>
      <c r="F360" s="5">
        <v>476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0.54147999999999996</v>
      </c>
      <c r="F361" s="5">
        <v>82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0.54205999999999999</v>
      </c>
      <c r="F362" s="5">
        <v>81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0.54505000000000003</v>
      </c>
      <c r="F363" s="5">
        <v>84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0.54525000000000001</v>
      </c>
      <c r="F364" s="5">
        <v>84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0.54374999999999996</v>
      </c>
      <c r="F365" s="5">
        <v>85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0.54259000000000002</v>
      </c>
      <c r="F366" s="5">
        <v>77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0.54303999999999997</v>
      </c>
      <c r="F367" s="5">
        <v>81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0.54301999999999995</v>
      </c>
      <c r="F368" s="5">
        <v>85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0.54469000000000001</v>
      </c>
      <c r="F369" s="5">
        <v>85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0.54137999999999997</v>
      </c>
      <c r="F370" s="5">
        <v>85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0.87619999999999998</v>
      </c>
      <c r="F371" s="5">
        <v>132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0.87280999999999997</v>
      </c>
      <c r="F372" s="5">
        <v>141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0.87161</v>
      </c>
      <c r="F373" s="5">
        <v>142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0.87487000000000004</v>
      </c>
      <c r="F374" s="5">
        <v>142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0.87419000000000002</v>
      </c>
      <c r="F375" s="5">
        <v>142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0.87472000000000005</v>
      </c>
      <c r="F376" s="5">
        <v>129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0.87322999999999995</v>
      </c>
      <c r="F377" s="5">
        <v>143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0.87355000000000005</v>
      </c>
      <c r="F378" s="5">
        <v>141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0.87261</v>
      </c>
      <c r="F379" s="5">
        <v>140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0.87304999999999999</v>
      </c>
      <c r="F380" s="5">
        <v>143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1.1491899999999999</v>
      </c>
      <c r="F381" s="5">
        <v>175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1.1519699999999999</v>
      </c>
      <c r="F382" s="5">
        <v>186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1.1485300000000001</v>
      </c>
      <c r="F383" s="5">
        <v>176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1.1492500000000001</v>
      </c>
      <c r="F384" s="5">
        <v>187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1.15286</v>
      </c>
      <c r="F385" s="5">
        <v>187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1.151</v>
      </c>
      <c r="F386" s="5">
        <v>173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1.1516900000000001</v>
      </c>
      <c r="F387" s="5">
        <v>185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1.1506799999999999</v>
      </c>
      <c r="F388" s="5">
        <v>185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1.14869</v>
      </c>
      <c r="F389" s="5">
        <v>183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1.1479999999999999</v>
      </c>
      <c r="F390" s="5">
        <v>169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1.1167400000000001</v>
      </c>
      <c r="F391" s="5">
        <v>59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1.11425</v>
      </c>
      <c r="F392" s="5">
        <v>61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1.1198999999999999</v>
      </c>
      <c r="F393" s="5">
        <v>60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1.1225000000000001</v>
      </c>
      <c r="F394" s="5">
        <v>55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1.1152599999999999</v>
      </c>
      <c r="F395" s="5">
        <v>61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1.10843</v>
      </c>
      <c r="F396" s="5">
        <v>59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1.11704</v>
      </c>
      <c r="F397" s="5">
        <v>55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1.1218900000000001</v>
      </c>
      <c r="F398" s="5">
        <v>60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1.1103799999999999</v>
      </c>
      <c r="F399" s="5">
        <v>59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1.1088199999999999</v>
      </c>
      <c r="F400" s="5">
        <v>58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2.4892799999999999</v>
      </c>
      <c r="F401" s="5">
        <v>130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2.4953699999999999</v>
      </c>
      <c r="F402" s="5">
        <v>130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2.4883999999999999</v>
      </c>
      <c r="F403" s="5">
        <v>133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2.4893000000000001</v>
      </c>
      <c r="F404" s="5">
        <v>130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2.4972699999999999</v>
      </c>
      <c r="F405" s="5">
        <v>127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2.5024600000000001</v>
      </c>
      <c r="F406" s="5">
        <v>134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2.5013800000000002</v>
      </c>
      <c r="F407" s="5">
        <v>132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2.4920200000000001</v>
      </c>
      <c r="F408" s="5">
        <v>132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2.4955799999999999</v>
      </c>
      <c r="F409" s="5">
        <v>127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2.49675</v>
      </c>
      <c r="F410" s="5">
        <v>127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2.7333599999999998</v>
      </c>
      <c r="F411" s="5">
        <v>142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2.7317</v>
      </c>
      <c r="F412" s="5">
        <v>138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2.73698</v>
      </c>
      <c r="F413" s="5">
        <v>142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2.7279399999999998</v>
      </c>
      <c r="F414" s="5">
        <v>139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2.7313299999999998</v>
      </c>
      <c r="F415" s="5">
        <v>136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2.7353299999999998</v>
      </c>
      <c r="F416" s="5">
        <v>141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2.73733</v>
      </c>
      <c r="F417" s="5">
        <v>138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2.7249699999999999</v>
      </c>
      <c r="F418" s="5">
        <v>137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2.7328800000000002</v>
      </c>
      <c r="F419" s="5">
        <v>138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2.7341199999999999</v>
      </c>
      <c r="F420" s="5">
        <v>139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2.9702999999999999</v>
      </c>
      <c r="F421" s="5">
        <v>58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2.9719199999999999</v>
      </c>
      <c r="F422" s="5">
        <v>57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2.9665599999999999</v>
      </c>
      <c r="F423" s="5">
        <v>56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3.0278</v>
      </c>
      <c r="F424" s="5">
        <v>59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2.9718599999999999</v>
      </c>
      <c r="F425" s="5">
        <v>59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2.9662799999999998</v>
      </c>
      <c r="F426" s="5">
        <v>58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2.9982799999999998</v>
      </c>
      <c r="F427" s="5">
        <v>59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2.9897999999999998</v>
      </c>
      <c r="F428" s="5">
        <v>59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2.9773200000000002</v>
      </c>
      <c r="F429" s="5">
        <v>59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2.9928699999999999</v>
      </c>
      <c r="F430" s="5">
        <v>58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3.7922799999999999</v>
      </c>
      <c r="F431" s="5">
        <v>72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3.8027000000000002</v>
      </c>
      <c r="F432" s="5">
        <v>72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3.8089</v>
      </c>
      <c r="F433" s="5">
        <v>73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3.7944100000000001</v>
      </c>
      <c r="F434" s="5">
        <v>73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3.8019799999999999</v>
      </c>
      <c r="F435" s="5">
        <v>73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3.8093599999999999</v>
      </c>
      <c r="F436" s="5">
        <v>72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3.7877999999999998</v>
      </c>
      <c r="F437" s="5">
        <v>72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3.7743500000000001</v>
      </c>
      <c r="F438" s="5">
        <v>72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3.7804199999999999</v>
      </c>
      <c r="F439" s="5">
        <v>73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3.8023500000000001</v>
      </c>
      <c r="F440" s="5">
        <v>73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5.4741200000000001</v>
      </c>
      <c r="F441" s="5">
        <v>97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5.4978400000000001</v>
      </c>
      <c r="F442" s="5">
        <v>98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5.4877700000000003</v>
      </c>
      <c r="F443" s="5">
        <v>98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5.4849500000000004</v>
      </c>
      <c r="F444" s="5">
        <v>97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5.4905600000000003</v>
      </c>
      <c r="F445" s="5">
        <v>100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5.4861700000000004</v>
      </c>
      <c r="F446" s="5">
        <v>100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5.46373</v>
      </c>
      <c r="F447" s="5">
        <v>96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5.46272</v>
      </c>
      <c r="F448" s="5">
        <v>97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5.46007</v>
      </c>
      <c r="F449" s="5">
        <v>97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5.50481</v>
      </c>
      <c r="F450" s="5">
        <v>98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T1"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0.54459999999999997</v>
      </c>
      <c r="F1" s="5">
        <v>59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0.56347999999999998</v>
      </c>
      <c r="F2" s="5">
        <v>64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0.54412000000000005</v>
      </c>
      <c r="F3" s="5">
        <v>60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170.35004000000001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0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0.57976000000000005</v>
      </c>
      <c r="F4" s="5">
        <v>64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0.54810999999999999</v>
      </c>
      <c r="F5" s="5">
        <v>43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0.54808000000000001</v>
      </c>
      <c r="F6" s="5">
        <v>62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0.54432999999999998</v>
      </c>
      <c r="F7" s="5">
        <v>60</v>
      </c>
      <c r="H7" s="5" t="s">
        <v>27</v>
      </c>
      <c r="I7" s="5">
        <v>50</v>
      </c>
      <c r="J7" s="5">
        <v>1</v>
      </c>
      <c r="L7" s="5">
        <f t="shared" ca="1" si="11"/>
        <v>181.91333</v>
      </c>
      <c r="M7" s="5">
        <f t="shared" ca="1" si="0"/>
        <v>180.33667</v>
      </c>
      <c r="N7" s="5">
        <f t="shared" ca="1" si="0"/>
        <v>183.51333</v>
      </c>
      <c r="O7" s="5">
        <f t="shared" ca="1" si="0"/>
        <v>182.34583000000001</v>
      </c>
      <c r="P7" s="5">
        <f t="shared" ca="1" si="0"/>
        <v>180.05332999999999</v>
      </c>
      <c r="Q7" s="5">
        <f t="shared" ca="1" si="0"/>
        <v>182.40089</v>
      </c>
      <c r="R7" s="5">
        <f t="shared" ca="1" si="0"/>
        <v>182.40089</v>
      </c>
      <c r="S7" s="5">
        <f t="shared" ca="1" si="0"/>
        <v>181.92667</v>
      </c>
      <c r="T7" s="5">
        <f t="shared" ca="1" si="0"/>
        <v>179.93769</v>
      </c>
      <c r="U7" s="5">
        <f t="shared" ca="1" si="0"/>
        <v>182.34269</v>
      </c>
      <c r="W7" s="5">
        <f t="shared" ca="1" si="12"/>
        <v>181.71713199999999</v>
      </c>
      <c r="Y7" s="5">
        <f ca="1">Total!E7</f>
        <v>179.67332999999999</v>
      </c>
      <c r="AB7" s="5">
        <f t="shared" ca="1" si="1"/>
        <v>1.2467070098828853E-2</v>
      </c>
      <c r="AC7" s="5">
        <f t="shared" ca="1" si="2"/>
        <v>3.6919224461415901E-3</v>
      </c>
      <c r="AD7" s="5">
        <f t="shared" ca="1" si="3"/>
        <v>2.1372120169420823E-2</v>
      </c>
      <c r="AE7" s="5">
        <f t="shared" ca="1" si="4"/>
        <v>1.4874216446035779E-2</v>
      </c>
      <c r="AF7" s="5">
        <f t="shared" ca="1" si="5"/>
        <v>2.1149493917655754E-3</v>
      </c>
      <c r="AG7" s="5">
        <f t="shared" ca="1" si="6"/>
        <v>1.5180661481590012E-2</v>
      </c>
      <c r="AH7" s="5">
        <f t="shared" ca="1" si="7"/>
        <v>1.5180661481590012E-2</v>
      </c>
      <c r="AI7" s="5">
        <f t="shared" ca="1" si="8"/>
        <v>1.254131595379241E-2</v>
      </c>
      <c r="AJ7" s="5">
        <f t="shared" ca="1" si="9"/>
        <v>1.4713368979136225E-3</v>
      </c>
      <c r="AK7" s="5">
        <f t="shared" ca="1" si="10"/>
        <v>1.4856740285272231E-2</v>
      </c>
      <c r="AM7" s="5">
        <f t="shared" ca="1" si="13"/>
        <v>0.11375099465235092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0.54508999999999996</v>
      </c>
      <c r="F8" s="5">
        <v>57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0.54413999999999996</v>
      </c>
      <c r="F9" s="5">
        <v>65</v>
      </c>
      <c r="H9" s="5" t="s">
        <v>27</v>
      </c>
      <c r="I9" s="5">
        <v>100</v>
      </c>
      <c r="J9" s="5">
        <v>0.7</v>
      </c>
      <c r="L9" s="5">
        <f t="shared" ca="1" si="11"/>
        <v>259.39004999999997</v>
      </c>
      <c r="M9" s="5">
        <f t="shared" ca="1" si="0"/>
        <v>257.57175000000001</v>
      </c>
      <c r="N9" s="5">
        <f t="shared" ca="1" si="0"/>
        <v>256.89882</v>
      </c>
      <c r="O9" s="5">
        <f t="shared" ca="1" si="0"/>
        <v>259.44529999999997</v>
      </c>
      <c r="P9" s="5">
        <f t="shared" ca="1" si="0"/>
        <v>258.19493999999997</v>
      </c>
      <c r="Q9" s="5">
        <f t="shared" ca="1" si="0"/>
        <v>259.01670999999999</v>
      </c>
      <c r="R9" s="5">
        <f t="shared" ca="1" si="0"/>
        <v>259.24196999999998</v>
      </c>
      <c r="S9" s="5">
        <f t="shared" ca="1" si="0"/>
        <v>257.95776999999998</v>
      </c>
      <c r="T9" s="5">
        <f t="shared" ca="1" si="0"/>
        <v>255.89185000000001</v>
      </c>
      <c r="U9" s="5">
        <f t="shared" ca="1" si="0"/>
        <v>259.55732999999998</v>
      </c>
      <c r="W9" s="5">
        <f t="shared" ca="1" si="12"/>
        <v>258.31664899999998</v>
      </c>
      <c r="Y9" s="5">
        <f ca="1">Total!E9</f>
        <v>255.18879999999999</v>
      </c>
      <c r="AB9" s="5">
        <f t="shared" ca="1" si="1"/>
        <v>1.6463300897218012E-2</v>
      </c>
      <c r="AC9" s="5">
        <f t="shared" ca="1" si="2"/>
        <v>9.337988187569448E-3</v>
      </c>
      <c r="AD9" s="5">
        <f t="shared" ca="1" si="3"/>
        <v>6.7009994169023659E-3</v>
      </c>
      <c r="AE9" s="5">
        <f t="shared" ca="1" si="4"/>
        <v>1.6679807264268608E-2</v>
      </c>
      <c r="AF9" s="5">
        <f t="shared" ca="1" si="5"/>
        <v>1.1780062447881679E-2</v>
      </c>
      <c r="AG9" s="5">
        <f t="shared" ca="1" si="6"/>
        <v>1.5000305656047612E-2</v>
      </c>
      <c r="AH9" s="5">
        <f t="shared" ca="1" si="7"/>
        <v>1.5883024646849684E-2</v>
      </c>
      <c r="AI9" s="5">
        <f t="shared" ca="1" si="8"/>
        <v>1.0850672129811324E-2</v>
      </c>
      <c r="AJ9" s="5">
        <f t="shared" ca="1" si="9"/>
        <v>2.7550190290483705E-3</v>
      </c>
      <c r="AK9" s="5">
        <f t="shared" ca="1" si="10"/>
        <v>1.7118815559303516E-2</v>
      </c>
      <c r="AM9" s="5">
        <f t="shared" ca="1" si="13"/>
        <v>0.12256999523490061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0.55576000000000003</v>
      </c>
      <c r="F10" s="5">
        <v>56</v>
      </c>
      <c r="H10" s="5" t="s">
        <v>27</v>
      </c>
      <c r="I10" s="5">
        <v>100</v>
      </c>
      <c r="J10" s="5">
        <v>1</v>
      </c>
      <c r="L10" s="5">
        <f t="shared" ca="1" si="11"/>
        <v>240.32667000000001</v>
      </c>
      <c r="M10" s="5">
        <f t="shared" ca="1" si="0"/>
        <v>239.73822999999999</v>
      </c>
      <c r="N10" s="5">
        <f t="shared" ca="1" si="0"/>
        <v>239.27673999999999</v>
      </c>
      <c r="O10" s="5">
        <f t="shared" ca="1" si="0"/>
        <v>239.31872999999999</v>
      </c>
      <c r="P10" s="5">
        <f t="shared" ca="1" si="0"/>
        <v>241.28666999999999</v>
      </c>
      <c r="Q10" s="5">
        <f t="shared" ca="1" si="0"/>
        <v>239.85822999999999</v>
      </c>
      <c r="R10" s="5">
        <f t="shared" ca="1" si="0"/>
        <v>240.42667</v>
      </c>
      <c r="S10" s="5">
        <f t="shared" ca="1" si="0"/>
        <v>239.29</v>
      </c>
      <c r="T10" s="5">
        <f t="shared" ca="1" si="0"/>
        <v>240.97</v>
      </c>
      <c r="U10" s="5">
        <f t="shared" ca="1" si="0"/>
        <v>240.09053</v>
      </c>
      <c r="W10" s="5">
        <f t="shared" ca="1" si="12"/>
        <v>240.05824699999999</v>
      </c>
      <c r="Y10" s="5">
        <f ca="1">Total!E10</f>
        <v>238.77667</v>
      </c>
      <c r="AB10" s="5">
        <f t="shared" ca="1" si="1"/>
        <v>6.491421460899054E-3</v>
      </c>
      <c r="AC10" s="5">
        <f t="shared" ca="1" si="2"/>
        <v>4.0270265935109639E-3</v>
      </c>
      <c r="AD10" s="5">
        <f t="shared" ca="1" si="3"/>
        <v>2.0943000838398234E-3</v>
      </c>
      <c r="AE10" s="5">
        <f t="shared" ca="1" si="4"/>
        <v>2.2701547852224937E-3</v>
      </c>
      <c r="AF10" s="5">
        <f t="shared" ca="1" si="5"/>
        <v>1.0511914752810611E-2</v>
      </c>
      <c r="AG10" s="5">
        <f t="shared" ca="1" si="6"/>
        <v>4.529588254999938E-3</v>
      </c>
      <c r="AH10" s="5">
        <f t="shared" ca="1" si="7"/>
        <v>6.91022284547316E-3</v>
      </c>
      <c r="AI10" s="5">
        <f t="shared" ca="1" si="8"/>
        <v>2.1498331474343632E-3</v>
      </c>
      <c r="AJ10" s="5">
        <f t="shared" ca="1" si="9"/>
        <v>9.185696408279766E-3</v>
      </c>
      <c r="AK10" s="5">
        <f t="shared" ca="1" si="10"/>
        <v>5.5024638713656801E-3</v>
      </c>
      <c r="AM10" s="5">
        <f t="shared" ca="1" si="13"/>
        <v>5.3672622203835847E-2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1.4237</v>
      </c>
      <c r="F11" s="5">
        <v>157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1.42445</v>
      </c>
      <c r="F12" s="5">
        <v>183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1.42239</v>
      </c>
      <c r="F13" s="5">
        <v>173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1.4221200000000001</v>
      </c>
      <c r="F14" s="5">
        <v>166</v>
      </c>
      <c r="H14" s="5" t="s">
        <v>2</v>
      </c>
      <c r="I14" s="5">
        <v>47</v>
      </c>
      <c r="J14" s="5">
        <v>0.4</v>
      </c>
      <c r="L14" s="5">
        <f t="shared" ca="1" si="11"/>
        <v>4350.8413700000001</v>
      </c>
      <c r="M14" s="5">
        <f t="shared" ca="1" si="0"/>
        <v>4348.0289499999999</v>
      </c>
      <c r="N14" s="5">
        <f t="shared" ca="1" si="0"/>
        <v>4348.0289499999999</v>
      </c>
      <c r="O14" s="5">
        <f t="shared" ca="1" si="0"/>
        <v>4348.0289499999999</v>
      </c>
      <c r="P14" s="5">
        <f t="shared" ca="1" si="0"/>
        <v>4348.0289499999999</v>
      </c>
      <c r="Q14" s="5">
        <f t="shared" ca="1" si="0"/>
        <v>4348.0289499999999</v>
      </c>
      <c r="R14" s="5">
        <f t="shared" ca="1" si="0"/>
        <v>4348.0289499999999</v>
      </c>
      <c r="S14" s="5">
        <f t="shared" ca="1" si="0"/>
        <v>4348.0289499999999</v>
      </c>
      <c r="T14" s="5">
        <f t="shared" ca="1" si="0"/>
        <v>4348.0289499999999</v>
      </c>
      <c r="U14" s="5">
        <f t="shared" ca="1" si="0"/>
        <v>4348.0289499999999</v>
      </c>
      <c r="W14" s="5">
        <f t="shared" ca="1" si="12"/>
        <v>4348.3101919999999</v>
      </c>
      <c r="Y14" s="5">
        <f ca="1">Total!E14</f>
        <v>4348.0289499999999</v>
      </c>
      <c r="AB14" s="5">
        <f t="shared" ca="1" si="1"/>
        <v>6.4682642004952661E-4</v>
      </c>
      <c r="AC14" s="5">
        <f t="shared" ca="1" si="2"/>
        <v>0</v>
      </c>
      <c r="AD14" s="5">
        <f t="shared" ca="1" si="3"/>
        <v>0</v>
      </c>
      <c r="AE14" s="5">
        <f t="shared" ca="1" si="4"/>
        <v>0</v>
      </c>
      <c r="AF14" s="5">
        <f t="shared" ca="1" si="5"/>
        <v>0</v>
      </c>
      <c r="AG14" s="5">
        <f t="shared" ca="1" si="6"/>
        <v>0</v>
      </c>
      <c r="AH14" s="5">
        <f t="shared" ca="1" si="7"/>
        <v>0</v>
      </c>
      <c r="AI14" s="5">
        <f t="shared" ca="1" si="8"/>
        <v>0</v>
      </c>
      <c r="AJ14" s="5">
        <f t="shared" ca="1" si="9"/>
        <v>0</v>
      </c>
      <c r="AK14" s="5">
        <f t="shared" ca="1" si="10"/>
        <v>0</v>
      </c>
      <c r="AM14" s="5">
        <f t="shared" ca="1" si="13"/>
        <v>6.4682642004952661E-4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1.4226399999999999</v>
      </c>
      <c r="F15" s="5">
        <v>180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1.42425</v>
      </c>
      <c r="F16" s="5">
        <v>167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1.4247700000000001</v>
      </c>
      <c r="F17" s="5">
        <v>181</v>
      </c>
      <c r="H17" s="5" t="s">
        <v>2</v>
      </c>
      <c r="I17" s="5">
        <v>100</v>
      </c>
      <c r="J17" s="5">
        <v>0.4</v>
      </c>
      <c r="L17" s="5">
        <f t="shared" ca="1" si="11"/>
        <v>42986.403050000001</v>
      </c>
      <c r="M17" s="5">
        <f t="shared" ca="1" si="0"/>
        <v>42986.403050000001</v>
      </c>
      <c r="N17" s="5">
        <f t="shared" ca="1" si="0"/>
        <v>42986.673049999998</v>
      </c>
      <c r="O17" s="5">
        <f t="shared" ca="1" si="0"/>
        <v>42986.403050000001</v>
      </c>
      <c r="P17" s="5">
        <f t="shared" ca="1" si="0"/>
        <v>42986.802479999998</v>
      </c>
      <c r="Q17" s="5">
        <f t="shared" ca="1" si="0"/>
        <v>42986.193919999998</v>
      </c>
      <c r="R17" s="5">
        <f t="shared" ca="1" si="0"/>
        <v>42986.403050000001</v>
      </c>
      <c r="S17" s="5">
        <f t="shared" ca="1" si="0"/>
        <v>42986.836920000002</v>
      </c>
      <c r="T17" s="5">
        <f t="shared" ca="1" si="0"/>
        <v>42986.802479999998</v>
      </c>
      <c r="U17" s="5">
        <f t="shared" ca="1" si="0"/>
        <v>42986.802479999998</v>
      </c>
      <c r="W17" s="5">
        <f t="shared" ca="1" si="12"/>
        <v>42986.57235300001</v>
      </c>
      <c r="Y17" s="5">
        <f ca="1">Total!E17</f>
        <v>42986.193919999998</v>
      </c>
      <c r="AB17" s="5">
        <f t="shared" ca="1" si="1"/>
        <v>4.8650504018131747E-6</v>
      </c>
      <c r="AC17" s="5">
        <f t="shared" ca="1" si="2"/>
        <v>4.8650504018131747E-6</v>
      </c>
      <c r="AD17" s="5">
        <f t="shared" ca="1" si="3"/>
        <v>1.1146136847830832E-5</v>
      </c>
      <c r="AE17" s="5">
        <f t="shared" ca="1" si="4"/>
        <v>4.8650504018131747E-6</v>
      </c>
      <c r="AF17" s="5">
        <f t="shared" ca="1" si="5"/>
        <v>1.4157103583842479E-5</v>
      </c>
      <c r="AG17" s="5">
        <f t="shared" ca="1" si="6"/>
        <v>0</v>
      </c>
      <c r="AH17" s="5">
        <f t="shared" ca="1" si="7"/>
        <v>4.8650504018131747E-6</v>
      </c>
      <c r="AI17" s="5">
        <f t="shared" ca="1" si="8"/>
        <v>1.4958291055038052E-5</v>
      </c>
      <c r="AJ17" s="5">
        <f t="shared" ca="1" si="9"/>
        <v>1.4157103583842479E-5</v>
      </c>
      <c r="AK17" s="5">
        <f t="shared" ca="1" si="10"/>
        <v>1.4157103583842479E-5</v>
      </c>
      <c r="AM17" s="5">
        <f t="shared" ca="1" si="13"/>
        <v>8.8035940261649024E-5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1.4617899999999999</v>
      </c>
      <c r="F18" s="5">
        <v>184</v>
      </c>
      <c r="H18" s="5" t="s">
        <v>2</v>
      </c>
      <c r="I18" s="5">
        <v>100</v>
      </c>
      <c r="J18" s="5">
        <v>0.7</v>
      </c>
      <c r="L18" s="5">
        <f t="shared" ca="1" si="11"/>
        <v>35569.606699999997</v>
      </c>
      <c r="M18" s="5">
        <f t="shared" ca="1" si="11"/>
        <v>35592.941930000001</v>
      </c>
      <c r="N18" s="5">
        <f t="shared" ca="1" si="11"/>
        <v>35412.162270000001</v>
      </c>
      <c r="O18" s="5">
        <f t="shared" ca="1" si="11"/>
        <v>35869.116880000001</v>
      </c>
      <c r="P18" s="5">
        <f t="shared" ca="1" si="11"/>
        <v>35594.506150000001</v>
      </c>
      <c r="Q18" s="5">
        <f t="shared" ca="1" si="11"/>
        <v>35641.616880000001</v>
      </c>
      <c r="R18" s="5">
        <f t="shared" ca="1" si="11"/>
        <v>35642.007870000001</v>
      </c>
      <c r="S18" s="5">
        <f t="shared" ca="1" si="11"/>
        <v>35611.901290000002</v>
      </c>
      <c r="T18" s="5">
        <f t="shared" ca="1" si="11"/>
        <v>35597.748670000001</v>
      </c>
      <c r="U18" s="5">
        <f t="shared" ca="1" si="11"/>
        <v>35548.736199999999</v>
      </c>
      <c r="W18" s="5">
        <f t="shared" ca="1" si="12"/>
        <v>35608.034483999996</v>
      </c>
      <c r="Y18" s="5">
        <f ca="1">Total!E18</f>
        <v>35336.072039999999</v>
      </c>
      <c r="AB18" s="5">
        <f t="shared" ca="1" si="1"/>
        <v>6.6089592452618718E-3</v>
      </c>
      <c r="AC18" s="5">
        <f t="shared" ca="1" si="2"/>
        <v>7.2693390965817648E-3</v>
      </c>
      <c r="AD18" s="5">
        <f t="shared" ca="1" si="3"/>
        <v>2.1533301696314293E-3</v>
      </c>
      <c r="AE18" s="5">
        <f t="shared" ca="1" si="4"/>
        <v>1.5085005469668561E-2</v>
      </c>
      <c r="AF18" s="5">
        <f t="shared" ca="1" si="5"/>
        <v>7.3136060427842044E-3</v>
      </c>
      <c r="AG18" s="5">
        <f t="shared" ca="1" si="6"/>
        <v>8.6468252513785138E-3</v>
      </c>
      <c r="AH18" s="5">
        <f t="shared" ca="1" si="7"/>
        <v>8.6578901484490565E-3</v>
      </c>
      <c r="AI18" s="5">
        <f t="shared" ca="1" si="8"/>
        <v>7.8058831691243773E-3</v>
      </c>
      <c r="AJ18" s="5">
        <f t="shared" ca="1" si="9"/>
        <v>7.4053683641969893E-3</v>
      </c>
      <c r="AK18" s="5">
        <f t="shared" ca="1" si="10"/>
        <v>6.0183304969286637E-3</v>
      </c>
      <c r="AM18" s="5">
        <f t="shared" ca="1" si="13"/>
        <v>7.6964537454005444E-2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1.4238599999999999</v>
      </c>
      <c r="F19" s="5">
        <v>142</v>
      </c>
      <c r="H19" s="5" t="s">
        <v>2</v>
      </c>
      <c r="I19" s="5">
        <v>100</v>
      </c>
      <c r="J19" s="5">
        <v>1</v>
      </c>
      <c r="L19" s="5">
        <f t="shared" ca="1" si="11"/>
        <v>35252.195269999997</v>
      </c>
      <c r="M19" s="5">
        <f t="shared" ca="1" si="11"/>
        <v>35267.11967</v>
      </c>
      <c r="N19" s="5">
        <f t="shared" ca="1" si="11"/>
        <v>35259.551930000001</v>
      </c>
      <c r="O19" s="5">
        <f t="shared" ca="1" si="11"/>
        <v>35276.116670000003</v>
      </c>
      <c r="P19" s="5">
        <f t="shared" ca="1" si="11"/>
        <v>35272.534059999998</v>
      </c>
      <c r="Q19" s="5">
        <f t="shared" ca="1" si="11"/>
        <v>35316.35583</v>
      </c>
      <c r="R19" s="5">
        <f t="shared" ca="1" si="11"/>
        <v>35228.735489999999</v>
      </c>
      <c r="S19" s="5">
        <f t="shared" ca="1" si="11"/>
        <v>35449.127999999997</v>
      </c>
      <c r="T19" s="5">
        <f t="shared" ca="1" si="11"/>
        <v>35243.491629999997</v>
      </c>
      <c r="U19" s="5">
        <f t="shared" ca="1" si="11"/>
        <v>35270.14213</v>
      </c>
      <c r="W19" s="5">
        <f t="shared" ca="1" si="12"/>
        <v>35283.537067999991</v>
      </c>
      <c r="Y19" s="5">
        <f ca="1">Total!E19</f>
        <v>35203.853329999998</v>
      </c>
      <c r="AB19" s="5">
        <f t="shared" ca="1" si="1"/>
        <v>1.3732002444971677E-3</v>
      </c>
      <c r="AC19" s="5">
        <f t="shared" ca="1" si="2"/>
        <v>1.7971424720738646E-3</v>
      </c>
      <c r="AD19" s="5">
        <f t="shared" ca="1" si="3"/>
        <v>1.5821733910173451E-3</v>
      </c>
      <c r="AE19" s="5">
        <f t="shared" ca="1" si="4"/>
        <v>2.0527110859885228E-3</v>
      </c>
      <c r="AF19" s="5">
        <f t="shared" ca="1" si="5"/>
        <v>1.9509435332600859E-3</v>
      </c>
      <c r="AG19" s="5">
        <f t="shared" ca="1" si="6"/>
        <v>3.1957439131849244E-3</v>
      </c>
      <c r="AH19" s="5">
        <f t="shared" ca="1" si="7"/>
        <v>7.0680217210190909E-4</v>
      </c>
      <c r="AI19" s="5">
        <f t="shared" ca="1" si="8"/>
        <v>6.9672676937038835E-3</v>
      </c>
      <c r="AJ19" s="5">
        <f t="shared" ca="1" si="9"/>
        <v>1.1259648092619386E-3</v>
      </c>
      <c r="AK19" s="5">
        <f t="shared" ca="1" si="10"/>
        <v>1.8829984143671039E-3</v>
      </c>
      <c r="AM19" s="5">
        <f t="shared" ca="1" si="13"/>
        <v>2.2634947729456744E-2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1.4211800000000001</v>
      </c>
      <c r="F20" s="5">
        <v>179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1.7737400000000001</v>
      </c>
      <c r="F21" s="5">
        <v>263</v>
      </c>
      <c r="H21" s="5" t="s">
        <v>1</v>
      </c>
      <c r="I21" s="5">
        <v>30</v>
      </c>
      <c r="J21" s="5">
        <v>0.7</v>
      </c>
      <c r="L21" s="5">
        <f t="shared" ca="1" si="11"/>
        <v>675.36989000000005</v>
      </c>
      <c r="M21" s="5">
        <f t="shared" ca="1" si="11"/>
        <v>675.47965999999997</v>
      </c>
      <c r="N21" s="5">
        <f t="shared" ca="1" si="11"/>
        <v>675.36581000000001</v>
      </c>
      <c r="O21" s="5">
        <f t="shared" ca="1" si="11"/>
        <v>675.36989000000005</v>
      </c>
      <c r="P21" s="5">
        <f t="shared" ca="1" si="11"/>
        <v>675.36581000000001</v>
      </c>
      <c r="Q21" s="5">
        <f t="shared" ca="1" si="11"/>
        <v>675.36581000000001</v>
      </c>
      <c r="R21" s="5">
        <f t="shared" ca="1" si="11"/>
        <v>675.36581000000001</v>
      </c>
      <c r="S21" s="5">
        <f t="shared" ca="1" si="11"/>
        <v>675.47581000000002</v>
      </c>
      <c r="T21" s="5">
        <f t="shared" ca="1" si="11"/>
        <v>675.38247999999999</v>
      </c>
      <c r="U21" s="5">
        <f t="shared" ca="1" si="11"/>
        <v>675.36989000000005</v>
      </c>
      <c r="W21" s="5">
        <f t="shared" ca="1" si="12"/>
        <v>675.39108600000009</v>
      </c>
      <c r="Y21" s="5">
        <f ca="1">Total!E21</f>
        <v>675.36581000000001</v>
      </c>
      <c r="AB21" s="5">
        <f t="shared" ca="1" si="1"/>
        <v>6.0411704881010963E-6</v>
      </c>
      <c r="AC21" s="5">
        <f t="shared" ca="1" si="2"/>
        <v>1.685753088388598E-4</v>
      </c>
      <c r="AD21" s="5">
        <f t="shared" ca="1" si="3"/>
        <v>0</v>
      </c>
      <c r="AE21" s="5">
        <f t="shared" ca="1" si="4"/>
        <v>6.0411704881010963E-6</v>
      </c>
      <c r="AF21" s="5">
        <f t="shared" ca="1" si="5"/>
        <v>0</v>
      </c>
      <c r="AG21" s="5">
        <f t="shared" ca="1" si="6"/>
        <v>0</v>
      </c>
      <c r="AH21" s="5">
        <f t="shared" ca="1" si="7"/>
        <v>0</v>
      </c>
      <c r="AI21" s="5">
        <f t="shared" ca="1" si="8"/>
        <v>1.6287469453038145E-4</v>
      </c>
      <c r="AJ21" s="5">
        <f t="shared" ca="1" si="9"/>
        <v>2.468291961652075E-5</v>
      </c>
      <c r="AK21" s="5">
        <f t="shared" ca="1" si="10"/>
        <v>6.0411704881010963E-6</v>
      </c>
      <c r="AM21" s="5">
        <f t="shared" ca="1" si="13"/>
        <v>3.7425643445006528E-4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1.7723100000000001</v>
      </c>
      <c r="F22" s="5">
        <v>257</v>
      </c>
      <c r="H22" s="5" t="s">
        <v>1</v>
      </c>
      <c r="I22" s="5">
        <v>30</v>
      </c>
      <c r="J22" s="5">
        <v>1</v>
      </c>
      <c r="L22" s="5">
        <f t="shared" ca="1" si="11"/>
        <v>655.46475999999996</v>
      </c>
      <c r="M22" s="5">
        <f t="shared" ca="1" si="11"/>
        <v>655.43295999999998</v>
      </c>
      <c r="N22" s="5">
        <f t="shared" ca="1" si="11"/>
        <v>657.32380999999998</v>
      </c>
      <c r="O22" s="5">
        <f t="shared" ca="1" si="11"/>
        <v>657.32380999999998</v>
      </c>
      <c r="P22" s="5">
        <f t="shared" ca="1" si="11"/>
        <v>655.43295999999998</v>
      </c>
      <c r="Q22" s="5">
        <f t="shared" ca="1" si="11"/>
        <v>657.32992999999999</v>
      </c>
      <c r="R22" s="5">
        <f t="shared" ca="1" si="11"/>
        <v>657.32380999999998</v>
      </c>
      <c r="S22" s="5">
        <f t="shared" ca="1" si="11"/>
        <v>658.23289</v>
      </c>
      <c r="T22" s="5">
        <f t="shared" ca="1" si="11"/>
        <v>655.43295999999998</v>
      </c>
      <c r="U22" s="5">
        <f t="shared" ca="1" si="11"/>
        <v>657.32380999999998</v>
      </c>
      <c r="W22" s="5">
        <f t="shared" ca="1" si="12"/>
        <v>656.66216999999995</v>
      </c>
      <c r="Y22" s="5">
        <f ca="1">Total!E22</f>
        <v>655.43295999999998</v>
      </c>
      <c r="AB22" s="5">
        <f t="shared" ca="1" si="1"/>
        <v>4.8517547851080951E-5</v>
      </c>
      <c r="AC22" s="5">
        <f t="shared" ca="1" si="2"/>
        <v>0</v>
      </c>
      <c r="AD22" s="5">
        <f t="shared" ca="1" si="3"/>
        <v>2.8848869608266272E-3</v>
      </c>
      <c r="AE22" s="5">
        <f t="shared" ca="1" si="4"/>
        <v>2.8848869608266272E-3</v>
      </c>
      <c r="AF22" s="5">
        <f t="shared" ca="1" si="5"/>
        <v>0</v>
      </c>
      <c r="AG22" s="5">
        <f t="shared" ca="1" si="6"/>
        <v>2.8942243002244047E-3</v>
      </c>
      <c r="AH22" s="5">
        <f t="shared" ca="1" si="7"/>
        <v>2.8848869608266272E-3</v>
      </c>
      <c r="AI22" s="5">
        <f t="shared" ca="1" si="8"/>
        <v>4.2718785457478634E-3</v>
      </c>
      <c r="AJ22" s="5">
        <f t="shared" ca="1" si="9"/>
        <v>0</v>
      </c>
      <c r="AK22" s="5">
        <f t="shared" ca="1" si="10"/>
        <v>2.8848869608266272E-3</v>
      </c>
      <c r="AM22" s="5">
        <f t="shared" ca="1" si="13"/>
        <v>1.8754168237129856E-2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1.7705599999999999</v>
      </c>
      <c r="F23" s="5">
        <v>271</v>
      </c>
      <c r="H23" s="5" t="s">
        <v>1</v>
      </c>
      <c r="I23" s="5">
        <v>50</v>
      </c>
      <c r="J23" s="5">
        <v>0.4</v>
      </c>
      <c r="L23" s="5">
        <f t="shared" ca="1" si="11"/>
        <v>1459.9687899999999</v>
      </c>
      <c r="M23" s="5">
        <f t="shared" ca="1" si="11"/>
        <v>1459.9687899999999</v>
      </c>
      <c r="N23" s="5">
        <f t="shared" ca="1" si="11"/>
        <v>1459.9687899999999</v>
      </c>
      <c r="O23" s="5">
        <f t="shared" ca="1" si="11"/>
        <v>1459.9687899999999</v>
      </c>
      <c r="P23" s="5">
        <f t="shared" ca="1" si="11"/>
        <v>1483.36385</v>
      </c>
      <c r="Q23" s="5">
        <f t="shared" ca="1" si="11"/>
        <v>1483.36385</v>
      </c>
      <c r="R23" s="5">
        <f t="shared" ca="1" si="11"/>
        <v>1459.9687899999999</v>
      </c>
      <c r="S23" s="5">
        <f t="shared" ca="1" si="11"/>
        <v>1483.36385</v>
      </c>
      <c r="T23" s="5">
        <f t="shared" ca="1" si="11"/>
        <v>1483.36385</v>
      </c>
      <c r="U23" s="5">
        <f t="shared" ca="1" si="11"/>
        <v>1483.36385</v>
      </c>
      <c r="W23" s="5">
        <f t="shared" ca="1" si="12"/>
        <v>1471.6663199999998</v>
      </c>
      <c r="Y23" s="5">
        <f ca="1">Total!E23</f>
        <v>1459.9687899999999</v>
      </c>
      <c r="AB23" s="5">
        <f t="shared" ca="1" si="1"/>
        <v>0</v>
      </c>
      <c r="AC23" s="5">
        <f t="shared" ca="1" si="2"/>
        <v>0</v>
      </c>
      <c r="AD23" s="5">
        <f t="shared" ca="1" si="3"/>
        <v>0</v>
      </c>
      <c r="AE23" s="5">
        <f t="shared" ca="1" si="4"/>
        <v>0</v>
      </c>
      <c r="AF23" s="5">
        <f t="shared" ca="1" si="5"/>
        <v>1.6024356246683916E-2</v>
      </c>
      <c r="AG23" s="5">
        <f t="shared" ca="1" si="6"/>
        <v>1.6024356246683916E-2</v>
      </c>
      <c r="AH23" s="5">
        <f t="shared" ca="1" si="7"/>
        <v>0</v>
      </c>
      <c r="AI23" s="5">
        <f t="shared" ca="1" si="8"/>
        <v>1.6024356246683916E-2</v>
      </c>
      <c r="AJ23" s="5">
        <f t="shared" ca="1" si="9"/>
        <v>1.6024356246683916E-2</v>
      </c>
      <c r="AK23" s="5">
        <f t="shared" ca="1" si="10"/>
        <v>1.6024356246683916E-2</v>
      </c>
      <c r="AM23" s="5">
        <f t="shared" ca="1" si="13"/>
        <v>8.0121781233419578E-2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1.7706900000000001</v>
      </c>
      <c r="F24" s="5">
        <v>258</v>
      </c>
      <c r="H24" s="5" t="s">
        <v>1</v>
      </c>
      <c r="I24" s="5">
        <v>50</v>
      </c>
      <c r="J24" s="5">
        <v>0.7</v>
      </c>
      <c r="L24" s="5">
        <f t="shared" ca="1" si="11"/>
        <v>1024.2033300000001</v>
      </c>
      <c r="M24" s="5">
        <f t="shared" ca="1" si="11"/>
        <v>1016.20559</v>
      </c>
      <c r="N24" s="5">
        <f t="shared" ca="1" si="11"/>
        <v>1028.6007500000001</v>
      </c>
      <c r="O24" s="5">
        <f t="shared" ca="1" si="11"/>
        <v>1016.71348</v>
      </c>
      <c r="P24" s="5">
        <f t="shared" ca="1" si="11"/>
        <v>1016.72279</v>
      </c>
      <c r="Q24" s="5">
        <f t="shared" ca="1" si="11"/>
        <v>1013.6829300000001</v>
      </c>
      <c r="R24" s="5">
        <f t="shared" ca="1" si="11"/>
        <v>1016.81981</v>
      </c>
      <c r="S24" s="5">
        <f t="shared" ca="1" si="11"/>
        <v>1014.17725</v>
      </c>
      <c r="T24" s="5">
        <f t="shared" ca="1" si="11"/>
        <v>1013.71888</v>
      </c>
      <c r="U24" s="5">
        <f t="shared" ca="1" si="11"/>
        <v>1023.24941</v>
      </c>
      <c r="W24" s="5">
        <f t="shared" ca="1" si="12"/>
        <v>1018.4094220000001</v>
      </c>
      <c r="Y24" s="5">
        <f ca="1">Total!E24</f>
        <v>1005.95063</v>
      </c>
      <c r="AB24" s="5">
        <f t="shared" ca="1" si="1"/>
        <v>1.8144727440550439E-2</v>
      </c>
      <c r="AC24" s="5">
        <f t="shared" ca="1" si="2"/>
        <v>1.0194297507423384E-2</v>
      </c>
      <c r="AD24" s="5">
        <f t="shared" ca="1" si="3"/>
        <v>2.2516134812699519E-2</v>
      </c>
      <c r="AE24" s="5">
        <f t="shared" ca="1" si="4"/>
        <v>1.0699183119950884E-2</v>
      </c>
      <c r="AF24" s="5">
        <f t="shared" ca="1" si="5"/>
        <v>1.0708438047302565E-2</v>
      </c>
      <c r="AG24" s="5">
        <f t="shared" ca="1" si="6"/>
        <v>7.6865601247250162E-3</v>
      </c>
      <c r="AH24" s="5">
        <f t="shared" ca="1" si="7"/>
        <v>1.0804884132335515E-2</v>
      </c>
      <c r="AI24" s="5">
        <f t="shared" ca="1" si="8"/>
        <v>8.1779560096303244E-3</v>
      </c>
      <c r="AJ24" s="5">
        <f t="shared" ca="1" si="9"/>
        <v>7.7222974650356015E-3</v>
      </c>
      <c r="AK24" s="5">
        <f t="shared" ca="1" si="10"/>
        <v>1.7196450287028466E-2</v>
      </c>
      <c r="AM24" s="5">
        <f t="shared" ca="1" si="13"/>
        <v>0.1238509289466817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1.77095</v>
      </c>
      <c r="F25" s="5">
        <v>270</v>
      </c>
      <c r="H25" s="5" t="s">
        <v>1</v>
      </c>
      <c r="I25" s="5">
        <v>50</v>
      </c>
      <c r="J25" s="5">
        <v>1</v>
      </c>
      <c r="L25" s="5">
        <f t="shared" ca="1" si="11"/>
        <v>994.43645000000004</v>
      </c>
      <c r="M25" s="5">
        <f t="shared" ca="1" si="11"/>
        <v>995.80875000000003</v>
      </c>
      <c r="N25" s="5">
        <f t="shared" ca="1" si="11"/>
        <v>993.64535000000001</v>
      </c>
      <c r="O25" s="5">
        <f t="shared" ca="1" si="11"/>
        <v>991.72</v>
      </c>
      <c r="P25" s="5">
        <f t="shared" ca="1" si="11"/>
        <v>994.63355999999999</v>
      </c>
      <c r="Q25" s="5">
        <f t="shared" ca="1" si="11"/>
        <v>994.10247000000004</v>
      </c>
      <c r="R25" s="5">
        <f t="shared" ca="1" si="11"/>
        <v>995.49964999999997</v>
      </c>
      <c r="S25" s="5">
        <f t="shared" ca="1" si="11"/>
        <v>994.54630999999995</v>
      </c>
      <c r="T25" s="5">
        <f t="shared" ca="1" si="11"/>
        <v>996.53659000000005</v>
      </c>
      <c r="U25" s="5">
        <f t="shared" ca="1" si="11"/>
        <v>999.22186999999997</v>
      </c>
      <c r="W25" s="5">
        <f t="shared" ca="1" si="12"/>
        <v>995.01509999999996</v>
      </c>
      <c r="Y25" s="5">
        <f ca="1">Total!E25</f>
        <v>990.69820000000004</v>
      </c>
      <c r="AB25" s="5">
        <f t="shared" ca="1" si="1"/>
        <v>3.7733489371435149E-3</v>
      </c>
      <c r="AC25" s="5">
        <f t="shared" ca="1" si="2"/>
        <v>5.1585336482896501E-3</v>
      </c>
      <c r="AD25" s="5">
        <f t="shared" ca="1" si="3"/>
        <v>2.974821191761492E-3</v>
      </c>
      <c r="AE25" s="5">
        <f t="shared" ca="1" si="4"/>
        <v>1.0313938190257988E-3</v>
      </c>
      <c r="AF25" s="5">
        <f t="shared" ca="1" si="5"/>
        <v>3.9723096297136157E-3</v>
      </c>
      <c r="AG25" s="5">
        <f t="shared" ca="1" si="6"/>
        <v>3.4362331535476662E-3</v>
      </c>
      <c r="AH25" s="5">
        <f t="shared" ca="1" si="7"/>
        <v>4.8465314663940356E-3</v>
      </c>
      <c r="AI25" s="5">
        <f t="shared" ca="1" si="8"/>
        <v>3.8842404276094433E-3</v>
      </c>
      <c r="AJ25" s="5">
        <f t="shared" ca="1" si="9"/>
        <v>5.8932074369369035E-3</v>
      </c>
      <c r="AK25" s="5">
        <f t="shared" ca="1" si="10"/>
        <v>8.6036998956896503E-3</v>
      </c>
      <c r="AM25" s="5">
        <f t="shared" ca="1" si="13"/>
        <v>4.3574319606111772E-2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1.78227</v>
      </c>
      <c r="F26" s="5">
        <v>257</v>
      </c>
      <c r="H26" s="5" t="s">
        <v>1</v>
      </c>
      <c r="I26" s="5">
        <v>100</v>
      </c>
      <c r="J26" s="5">
        <v>0.4</v>
      </c>
      <c r="L26" s="5">
        <f t="shared" ca="1" si="11"/>
        <v>1799.16426</v>
      </c>
      <c r="M26" s="5">
        <f t="shared" ca="1" si="11"/>
        <v>1846.64247</v>
      </c>
      <c r="N26" s="5">
        <f t="shared" ca="1" si="11"/>
        <v>1796.6236899999999</v>
      </c>
      <c r="O26" s="5">
        <f t="shared" ca="1" si="11"/>
        <v>1797.8836200000001</v>
      </c>
      <c r="P26" s="5">
        <f t="shared" ca="1" si="11"/>
        <v>1801.2498599999999</v>
      </c>
      <c r="Q26" s="5">
        <f t="shared" ca="1" si="11"/>
        <v>1834.16644</v>
      </c>
      <c r="R26" s="5">
        <f t="shared" ca="1" si="11"/>
        <v>1815.29378</v>
      </c>
      <c r="S26" s="5">
        <f t="shared" ca="1" si="11"/>
        <v>1796.3629800000001</v>
      </c>
      <c r="T26" s="5">
        <f t="shared" ca="1" si="11"/>
        <v>1840.5992900000001</v>
      </c>
      <c r="U26" s="5">
        <f t="shared" ca="1" si="11"/>
        <v>1852.1663599999999</v>
      </c>
      <c r="W26" s="5">
        <f t="shared" ca="1" si="12"/>
        <v>1818.0152750000002</v>
      </c>
      <c r="Y26" s="5">
        <f ca="1">Total!E26</f>
        <v>1786.3248599999999</v>
      </c>
      <c r="AB26" s="5">
        <f t="shared" ca="1" si="1"/>
        <v>7.1876064021188556E-3</v>
      </c>
      <c r="AC26" s="5">
        <f t="shared" ca="1" si="2"/>
        <v>3.3766316167150055E-2</v>
      </c>
      <c r="AD26" s="5">
        <f t="shared" ca="1" si="3"/>
        <v>5.7653734942702149E-3</v>
      </c>
      <c r="AE26" s="5">
        <f t="shared" ca="1" si="4"/>
        <v>6.4706931302518627E-3</v>
      </c>
      <c r="AF26" s="5">
        <f t="shared" ca="1" si="5"/>
        <v>8.3551431960701451E-3</v>
      </c>
      <c r="AG26" s="5">
        <f t="shared" ca="1" si="6"/>
        <v>2.678212741214385E-2</v>
      </c>
      <c r="AH26" s="5">
        <f t="shared" ca="1" si="7"/>
        <v>1.6217050240234593E-2</v>
      </c>
      <c r="AI26" s="5">
        <f t="shared" ca="1" si="8"/>
        <v>5.6194257969405205E-3</v>
      </c>
      <c r="AJ26" s="5">
        <f t="shared" ca="1" si="9"/>
        <v>3.038329209615331E-2</v>
      </c>
      <c r="AK26" s="5">
        <f t="shared" ca="1" si="10"/>
        <v>3.6858637235782518E-2</v>
      </c>
      <c r="AM26" s="5">
        <f t="shared" ca="1" si="13"/>
        <v>0.17740566517111594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1.7716700000000001</v>
      </c>
      <c r="F27" s="5">
        <v>271</v>
      </c>
      <c r="H27" s="5" t="s">
        <v>1</v>
      </c>
      <c r="I27" s="5">
        <v>100</v>
      </c>
      <c r="J27" s="5">
        <v>0.7</v>
      </c>
      <c r="L27" s="5">
        <f t="shared" ca="1" si="11"/>
        <v>1782.0766699999999</v>
      </c>
      <c r="M27" s="5">
        <f t="shared" ca="1" si="11"/>
        <v>1774.7302299999999</v>
      </c>
      <c r="N27" s="5">
        <f t="shared" ca="1" si="11"/>
        <v>1761.9822300000001</v>
      </c>
      <c r="O27" s="5">
        <f t="shared" ca="1" si="11"/>
        <v>1768.4652000000001</v>
      </c>
      <c r="P27" s="5">
        <f t="shared" ca="1" si="11"/>
        <v>1761.02206</v>
      </c>
      <c r="Q27" s="5">
        <f t="shared" ca="1" si="11"/>
        <v>1775.8983800000001</v>
      </c>
      <c r="R27" s="5">
        <f t="shared" ca="1" si="11"/>
        <v>1770.11</v>
      </c>
      <c r="S27" s="5">
        <f t="shared" ca="1" si="11"/>
        <v>1769.46333</v>
      </c>
      <c r="T27" s="5">
        <f t="shared" ca="1" si="11"/>
        <v>1769.93932</v>
      </c>
      <c r="U27" s="5">
        <f t="shared" ca="1" si="11"/>
        <v>1772.4066700000001</v>
      </c>
      <c r="W27" s="5">
        <f t="shared" ca="1" si="12"/>
        <v>1770.6094089999999</v>
      </c>
      <c r="Y27" s="5">
        <f ca="1">Total!E27</f>
        <v>1761.02206</v>
      </c>
      <c r="AB27" s="5">
        <f t="shared" ca="1" si="1"/>
        <v>1.1955903607476621E-2</v>
      </c>
      <c r="AC27" s="5">
        <f t="shared" ca="1" si="2"/>
        <v>7.7842125384845447E-3</v>
      </c>
      <c r="AD27" s="5">
        <f t="shared" ca="1" si="3"/>
        <v>5.4523451000952367E-4</v>
      </c>
      <c r="AE27" s="5">
        <f t="shared" ca="1" si="4"/>
        <v>4.2266023629483011E-3</v>
      </c>
      <c r="AF27" s="5">
        <f t="shared" ca="1" si="5"/>
        <v>0</v>
      </c>
      <c r="AG27" s="5">
        <f t="shared" ca="1" si="6"/>
        <v>8.4475489194042672E-3</v>
      </c>
      <c r="AH27" s="5">
        <f t="shared" ca="1" si="7"/>
        <v>5.1606054270551781E-3</v>
      </c>
      <c r="AI27" s="5">
        <f t="shared" ca="1" si="8"/>
        <v>4.7933925370588666E-3</v>
      </c>
      <c r="AJ27" s="5">
        <f t="shared" ca="1" si="9"/>
        <v>5.0636844378882696E-3</v>
      </c>
      <c r="AK27" s="5">
        <f t="shared" ca="1" si="10"/>
        <v>6.46477421185744E-3</v>
      </c>
      <c r="AM27" s="5">
        <f t="shared" ca="1" si="13"/>
        <v>5.4441958552183006E-2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1.7713300000000001</v>
      </c>
      <c r="F28" s="5">
        <v>273</v>
      </c>
      <c r="H28" s="5" t="s">
        <v>1</v>
      </c>
      <c r="I28" s="5">
        <v>100</v>
      </c>
      <c r="J28" s="5">
        <v>1</v>
      </c>
      <c r="L28" s="5">
        <f t="shared" ca="1" si="11"/>
        <v>1758.6833300000001</v>
      </c>
      <c r="M28" s="5">
        <f t="shared" ca="1" si="11"/>
        <v>1759.4015199999999</v>
      </c>
      <c r="N28" s="5">
        <f t="shared" ca="1" si="11"/>
        <v>1759.30333</v>
      </c>
      <c r="O28" s="5">
        <f t="shared" ca="1" si="11"/>
        <v>1758.55333</v>
      </c>
      <c r="P28" s="5">
        <f t="shared" ca="1" si="11"/>
        <v>1756.57008</v>
      </c>
      <c r="Q28" s="5">
        <f t="shared" ca="1" si="11"/>
        <v>1760.02818</v>
      </c>
      <c r="R28" s="5">
        <f t="shared" ca="1" si="11"/>
        <v>1759.03333</v>
      </c>
      <c r="S28" s="5">
        <f t="shared" ca="1" si="11"/>
        <v>1758.79</v>
      </c>
      <c r="T28" s="5">
        <f t="shared" ca="1" si="11"/>
        <v>1757.7761700000001</v>
      </c>
      <c r="U28" s="5">
        <f t="shared" ca="1" si="11"/>
        <v>1757.9848500000001</v>
      </c>
      <c r="W28" s="5">
        <f t="shared" ca="1" si="12"/>
        <v>1758.6124119999999</v>
      </c>
      <c r="Y28" s="5">
        <f ca="1">Total!E28</f>
        <v>1753.1198199999999</v>
      </c>
      <c r="AB28" s="5">
        <f t="shared" ca="1" si="1"/>
        <v>3.1734910167179439E-3</v>
      </c>
      <c r="AC28" s="5">
        <f t="shared" ca="1" si="2"/>
        <v>3.5831549722596832E-3</v>
      </c>
      <c r="AD28" s="5">
        <f t="shared" ca="1" si="3"/>
        <v>3.5271462506196922E-3</v>
      </c>
      <c r="AE28" s="5">
        <f t="shared" ca="1" si="4"/>
        <v>3.0993374999320183E-3</v>
      </c>
      <c r="AF28" s="5">
        <f t="shared" ca="1" si="5"/>
        <v>1.9680685601969131E-3</v>
      </c>
      <c r="AG28" s="5">
        <f t="shared" ca="1" si="6"/>
        <v>3.9406091478676741E-3</v>
      </c>
      <c r="AH28" s="5">
        <f t="shared" ca="1" si="7"/>
        <v>3.37313510037214E-3</v>
      </c>
      <c r="AI28" s="5">
        <f t="shared" ca="1" si="8"/>
        <v>3.2343368292990227E-3</v>
      </c>
      <c r="AJ28" s="5">
        <f t="shared" ca="1" si="9"/>
        <v>2.6560363683528505E-3</v>
      </c>
      <c r="AK28" s="5">
        <f t="shared" ca="1" si="10"/>
        <v>2.7750698751441648E-3</v>
      </c>
      <c r="AM28" s="5">
        <f t="shared" ca="1" si="13"/>
        <v>3.1330385620762104E-2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1.7737499999999999</v>
      </c>
      <c r="F29" s="5">
        <v>259</v>
      </c>
      <c r="H29" s="5" t="s">
        <v>0</v>
      </c>
      <c r="I29" s="5">
        <v>25</v>
      </c>
      <c r="J29" s="5">
        <v>0.4</v>
      </c>
      <c r="L29" s="5">
        <f t="shared" ca="1" si="11"/>
        <v>42.424349999999997</v>
      </c>
      <c r="M29" s="5">
        <f t="shared" ca="1" si="11"/>
        <v>42.424349999999997</v>
      </c>
      <c r="N29" s="5">
        <f t="shared" ca="1" si="11"/>
        <v>42.424349999999997</v>
      </c>
      <c r="O29" s="5">
        <f t="shared" ca="1" si="11"/>
        <v>42.424349999999997</v>
      </c>
      <c r="P29" s="5">
        <f t="shared" ca="1" si="11"/>
        <v>41.318849999999998</v>
      </c>
      <c r="Q29" s="5">
        <f t="shared" ca="1" si="11"/>
        <v>41.318849999999998</v>
      </c>
      <c r="R29" s="5">
        <f t="shared" ca="1" si="11"/>
        <v>42.424349999999997</v>
      </c>
      <c r="S29" s="5">
        <f t="shared" ca="1" si="11"/>
        <v>42.424349999999997</v>
      </c>
      <c r="T29" s="5">
        <f t="shared" ca="1" si="11"/>
        <v>42.424349999999997</v>
      </c>
      <c r="U29" s="5">
        <f t="shared" ca="1" si="11"/>
        <v>42.424349999999997</v>
      </c>
      <c r="W29" s="5">
        <f t="shared" ca="1" si="12"/>
        <v>42.203249999999997</v>
      </c>
      <c r="Y29" s="5">
        <f ca="1">Total!E29</f>
        <v>40.897550000000003</v>
      </c>
      <c r="AB29" s="5">
        <f t="shared" ca="1" si="1"/>
        <v>3.7332309637129711E-2</v>
      </c>
      <c r="AC29" s="5">
        <f t="shared" ca="1" si="2"/>
        <v>3.7332309637129711E-2</v>
      </c>
      <c r="AD29" s="5">
        <f t="shared" ca="1" si="3"/>
        <v>3.7332309637129711E-2</v>
      </c>
      <c r="AE29" s="5">
        <f t="shared" ca="1" si="4"/>
        <v>3.7332309637129711E-2</v>
      </c>
      <c r="AF29" s="5">
        <f t="shared" ca="1" si="5"/>
        <v>1.0301350569899543E-2</v>
      </c>
      <c r="AG29" s="5">
        <f t="shared" ca="1" si="6"/>
        <v>1.0301350569899543E-2</v>
      </c>
      <c r="AH29" s="5">
        <f t="shared" ca="1" si="7"/>
        <v>3.7332309637129711E-2</v>
      </c>
      <c r="AI29" s="5">
        <f t="shared" ca="1" si="8"/>
        <v>3.7332309637129711E-2</v>
      </c>
      <c r="AJ29" s="5">
        <f t="shared" ca="1" si="9"/>
        <v>3.7332309637129711E-2</v>
      </c>
      <c r="AK29" s="5">
        <f t="shared" ca="1" si="10"/>
        <v>3.7332309637129711E-2</v>
      </c>
      <c r="AM29" s="5">
        <f t="shared" ca="1" si="13"/>
        <v>0.31926117823683675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1.76953</v>
      </c>
      <c r="F30" s="5">
        <v>268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1"/>
        <v>28.65436</v>
      </c>
      <c r="N30" s="5">
        <f t="shared" ca="1" si="11"/>
        <v>28.65436</v>
      </c>
      <c r="O30" s="5">
        <f t="shared" ca="1" si="11"/>
        <v>28.65436</v>
      </c>
      <c r="P30" s="5">
        <f t="shared" ca="1" si="11"/>
        <v>28.682030000000001</v>
      </c>
      <c r="Q30" s="5">
        <f t="shared" ca="1" si="11"/>
        <v>28.65436</v>
      </c>
      <c r="R30" s="5">
        <f t="shared" ca="1" si="11"/>
        <v>28.682030000000001</v>
      </c>
      <c r="S30" s="5">
        <f t="shared" ca="1" si="11"/>
        <v>28.65436</v>
      </c>
      <c r="T30" s="5">
        <f t="shared" ca="1" si="11"/>
        <v>28.65436</v>
      </c>
      <c r="U30" s="5">
        <f t="shared" ca="1" si="11"/>
        <v>28.65436</v>
      </c>
      <c r="W30" s="5">
        <f t="shared" ca="1" si="12"/>
        <v>28.659894000000001</v>
      </c>
      <c r="Y30" s="5">
        <f ca="1">Total!E30</f>
        <v>28.65436</v>
      </c>
      <c r="AB30" s="5">
        <f t="shared" ca="1" si="1"/>
        <v>0</v>
      </c>
      <c r="AC30" s="5">
        <f t="shared" ca="1" si="2"/>
        <v>0</v>
      </c>
      <c r="AD30" s="5">
        <f t="shared" ca="1" si="3"/>
        <v>0</v>
      </c>
      <c r="AE30" s="5">
        <f t="shared" ca="1" si="4"/>
        <v>0</v>
      </c>
      <c r="AF30" s="5">
        <f t="shared" ca="1" si="5"/>
        <v>9.6564711269072235E-4</v>
      </c>
      <c r="AG30" s="5">
        <f t="shared" ca="1" si="6"/>
        <v>0</v>
      </c>
      <c r="AH30" s="5">
        <f t="shared" ca="1" si="7"/>
        <v>9.6564711269072235E-4</v>
      </c>
      <c r="AI30" s="5">
        <f t="shared" ca="1" si="8"/>
        <v>0</v>
      </c>
      <c r="AJ30" s="5">
        <f t="shared" ca="1" si="9"/>
        <v>0</v>
      </c>
      <c r="AK30" s="5">
        <f t="shared" ca="1" si="10"/>
        <v>0</v>
      </c>
      <c r="AM30" s="5">
        <f t="shared" ca="1" si="13"/>
        <v>1.9312942253814447E-3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1.2008099999999999</v>
      </c>
      <c r="F31" s="5">
        <v>58</v>
      </c>
      <c r="H31" s="5" t="s">
        <v>0</v>
      </c>
      <c r="I31" s="5">
        <v>25</v>
      </c>
      <c r="J31" s="5">
        <v>1</v>
      </c>
      <c r="L31" s="5">
        <f t="shared" ca="1" si="11"/>
        <v>28.592030000000001</v>
      </c>
      <c r="M31" s="5">
        <f t="shared" ca="1" si="11"/>
        <v>28.602029999999999</v>
      </c>
      <c r="N31" s="5">
        <f t="shared" ca="1" si="11"/>
        <v>28.602029999999999</v>
      </c>
      <c r="O31" s="5">
        <f t="shared" ca="1" si="11"/>
        <v>28.60624</v>
      </c>
      <c r="P31" s="5">
        <f t="shared" ca="1" si="11"/>
        <v>28.554099999999998</v>
      </c>
      <c r="Q31" s="5">
        <f t="shared" ca="1" si="11"/>
        <v>28.592030000000001</v>
      </c>
      <c r="R31" s="5">
        <f t="shared" ca="1" si="11"/>
        <v>28.546240000000001</v>
      </c>
      <c r="S31" s="5">
        <f t="shared" ca="1" si="11"/>
        <v>28.58203</v>
      </c>
      <c r="T31" s="5">
        <f t="shared" ca="1" si="11"/>
        <v>28.60624</v>
      </c>
      <c r="U31" s="5">
        <f t="shared" ca="1" si="11"/>
        <v>28.602029999999999</v>
      </c>
      <c r="W31" s="5">
        <f t="shared" ca="1" si="12"/>
        <v>28.5885</v>
      </c>
      <c r="Y31" s="5">
        <f ca="1">Total!E31</f>
        <v>28.504100000000001</v>
      </c>
      <c r="AB31" s="5">
        <f t="shared" ca="1" si="1"/>
        <v>3.0848193768615766E-3</v>
      </c>
      <c r="AC31" s="5">
        <f t="shared" ca="1" si="2"/>
        <v>3.4356461000346642E-3</v>
      </c>
      <c r="AD31" s="5">
        <f t="shared" ca="1" si="3"/>
        <v>3.4356461000346642E-3</v>
      </c>
      <c r="AE31" s="5">
        <f t="shared" ca="1" si="4"/>
        <v>3.5833441504905805E-3</v>
      </c>
      <c r="AF31" s="5">
        <f t="shared" ca="1" si="5"/>
        <v>1.754133615865688E-3</v>
      </c>
      <c r="AG31" s="5">
        <f t="shared" ca="1" si="6"/>
        <v>3.0848193768615766E-3</v>
      </c>
      <c r="AH31" s="5">
        <f t="shared" ca="1" si="7"/>
        <v>1.4783838114516804E-3</v>
      </c>
      <c r="AI31" s="5">
        <f t="shared" ca="1" si="8"/>
        <v>2.733992653688364E-3</v>
      </c>
      <c r="AJ31" s="5">
        <f t="shared" ca="1" si="9"/>
        <v>3.5833441504905805E-3</v>
      </c>
      <c r="AK31" s="5">
        <f t="shared" ca="1" si="10"/>
        <v>3.4356461000346642E-3</v>
      </c>
      <c r="AM31" s="5">
        <f t="shared" ca="1" si="13"/>
        <v>2.9609775435814042E-2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1.2014199999999999</v>
      </c>
      <c r="F32" s="5">
        <v>63</v>
      </c>
      <c r="H32" s="5" t="s">
        <v>0</v>
      </c>
      <c r="I32" s="5">
        <v>50</v>
      </c>
      <c r="J32" s="5">
        <v>0.4</v>
      </c>
      <c r="L32" s="5">
        <f t="shared" ca="1" si="11"/>
        <v>59.65354</v>
      </c>
      <c r="M32" s="5">
        <f t="shared" ca="1" si="11"/>
        <v>59.515909999999998</v>
      </c>
      <c r="N32" s="5">
        <f t="shared" ca="1" si="11"/>
        <v>60.601610000000001</v>
      </c>
      <c r="O32" s="5">
        <f t="shared" ca="1" si="11"/>
        <v>59.826560000000001</v>
      </c>
      <c r="P32" s="5">
        <f t="shared" ca="1" si="11"/>
        <v>59.129510000000003</v>
      </c>
      <c r="Q32" s="5">
        <f t="shared" ca="1" si="11"/>
        <v>56.901339999999998</v>
      </c>
      <c r="R32" s="5">
        <f t="shared" ca="1" si="11"/>
        <v>59.089509999999997</v>
      </c>
      <c r="S32" s="5">
        <f t="shared" ca="1" si="11"/>
        <v>59.190910000000002</v>
      </c>
      <c r="T32" s="5">
        <f t="shared" ca="1" si="11"/>
        <v>59.029510000000002</v>
      </c>
      <c r="U32" s="5">
        <f t="shared" ca="1" si="11"/>
        <v>59.136180000000003</v>
      </c>
      <c r="W32" s="5">
        <f t="shared" ca="1" si="12"/>
        <v>59.207457999999995</v>
      </c>
      <c r="Y32" s="5">
        <f ca="1">Total!E32</f>
        <v>56.511339999999997</v>
      </c>
      <c r="AB32" s="5">
        <f t="shared" ca="1" si="1"/>
        <v>5.5602999327214728E-2</v>
      </c>
      <c r="AC32" s="5">
        <f t="shared" ca="1" si="2"/>
        <v>5.3167558935958717E-2</v>
      </c>
      <c r="AD32" s="5">
        <f t="shared" ca="1" si="3"/>
        <v>7.2379632123393364E-2</v>
      </c>
      <c r="AE32" s="5">
        <f t="shared" ca="1" si="4"/>
        <v>5.8664685707328898E-2</v>
      </c>
      <c r="AF32" s="5">
        <f t="shared" ca="1" si="5"/>
        <v>4.6329993236755782E-2</v>
      </c>
      <c r="AG32" s="5">
        <f t="shared" ca="1" si="6"/>
        <v>6.901269727456482E-3</v>
      </c>
      <c r="AH32" s="5">
        <f t="shared" ca="1" si="7"/>
        <v>4.5622170700606292E-2</v>
      </c>
      <c r="AI32" s="5">
        <f t="shared" ca="1" si="8"/>
        <v>4.7416500829745065E-2</v>
      </c>
      <c r="AJ32" s="5">
        <f t="shared" ca="1" si="9"/>
        <v>4.4560436896382304E-2</v>
      </c>
      <c r="AK32" s="5">
        <f t="shared" ca="1" si="10"/>
        <v>4.6448022644658686E-2</v>
      </c>
      <c r="AM32" s="5">
        <f t="shared" ca="1" si="13"/>
        <v>0.47709327012950037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1.20305</v>
      </c>
      <c r="F33" s="5">
        <v>62</v>
      </c>
      <c r="H33" s="5" t="s">
        <v>0</v>
      </c>
      <c r="I33" s="5">
        <v>50</v>
      </c>
      <c r="J33" s="5">
        <v>0.7</v>
      </c>
      <c r="L33" s="5">
        <f t="shared" ca="1" si="11"/>
        <v>53.695599999999999</v>
      </c>
      <c r="M33" s="5">
        <f t="shared" ca="1" si="11"/>
        <v>53.445599999999999</v>
      </c>
      <c r="N33" s="5">
        <f t="shared" ca="1" si="11"/>
        <v>53.20908</v>
      </c>
      <c r="O33" s="5">
        <f t="shared" ca="1" si="11"/>
        <v>53.96275</v>
      </c>
      <c r="P33" s="5">
        <f t="shared" ca="1" si="11"/>
        <v>54.128</v>
      </c>
      <c r="Q33" s="5">
        <f t="shared" ca="1" si="11"/>
        <v>53.375070000000001</v>
      </c>
      <c r="R33" s="5">
        <f t="shared" ca="1" si="11"/>
        <v>53.738300000000002</v>
      </c>
      <c r="S33" s="5">
        <f t="shared" ca="1" si="11"/>
        <v>53.975740000000002</v>
      </c>
      <c r="T33" s="5">
        <f t="shared" ca="1" si="11"/>
        <v>53.895069999999997</v>
      </c>
      <c r="U33" s="5">
        <f t="shared" ca="1" si="11"/>
        <v>53.115600000000001</v>
      </c>
      <c r="W33" s="5">
        <f t="shared" ca="1" si="12"/>
        <v>53.654080999999998</v>
      </c>
      <c r="Y33" s="5">
        <f ca="1">Total!E33</f>
        <v>53.115070000000003</v>
      </c>
      <c r="AB33" s="5">
        <f t="shared" ca="1" si="1"/>
        <v>1.0929666476952699E-2</v>
      </c>
      <c r="AC33" s="5">
        <f t="shared" ca="1" si="2"/>
        <v>6.2229043471089462E-3</v>
      </c>
      <c r="AD33" s="5">
        <f t="shared" ca="1" si="3"/>
        <v>1.7699308313063929E-3</v>
      </c>
      <c r="AE33" s="5">
        <f t="shared" ca="1" si="4"/>
        <v>1.5959312488903747E-2</v>
      </c>
      <c r="AF33" s="5">
        <f t="shared" ca="1" si="5"/>
        <v>1.9070482256730477E-2</v>
      </c>
      <c r="AG33" s="5">
        <f t="shared" ca="1" si="6"/>
        <v>4.8950326150374651E-3</v>
      </c>
      <c r="AH33" s="5">
        <f t="shared" ca="1" si="7"/>
        <v>1.1733581448730077E-2</v>
      </c>
      <c r="AI33" s="5">
        <f t="shared" ca="1" si="8"/>
        <v>1.620387584917047E-2</v>
      </c>
      <c r="AJ33" s="5">
        <f t="shared" ca="1" si="9"/>
        <v>1.4685097845112394E-2</v>
      </c>
      <c r="AK33" s="5">
        <f t="shared" ca="1" si="10"/>
        <v>9.9783357152254335E-6</v>
      </c>
      <c r="AM33" s="5">
        <f t="shared" ca="1" si="13"/>
        <v>0.10147986249476788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1.2004600000000001</v>
      </c>
      <c r="F34" s="5">
        <v>60</v>
      </c>
      <c r="H34" s="5" t="s">
        <v>0</v>
      </c>
      <c r="I34" s="5">
        <v>50</v>
      </c>
      <c r="J34" s="5">
        <v>1</v>
      </c>
      <c r="L34" s="5">
        <f t="shared" ca="1" si="11"/>
        <v>53.807490000000001</v>
      </c>
      <c r="M34" s="5">
        <f t="shared" ca="1" si="11"/>
        <v>53.359479999999998</v>
      </c>
      <c r="N34" s="5">
        <f t="shared" ca="1" si="11"/>
        <v>53.157490000000003</v>
      </c>
      <c r="O34" s="5">
        <f t="shared" ca="1" si="11"/>
        <v>53.237490000000001</v>
      </c>
      <c r="P34" s="5">
        <f t="shared" ca="1" si="11"/>
        <v>53.497489999999999</v>
      </c>
      <c r="Q34" s="5">
        <f t="shared" ca="1" si="11"/>
        <v>53.147489999999998</v>
      </c>
      <c r="R34" s="5">
        <f t="shared" ca="1" si="11"/>
        <v>53.462409999999998</v>
      </c>
      <c r="S34" s="5">
        <f t="shared" ca="1" si="11"/>
        <v>53.207569999999997</v>
      </c>
      <c r="T34" s="5">
        <f t="shared" ca="1" si="11"/>
        <v>53.517490000000002</v>
      </c>
      <c r="U34" s="5">
        <f t="shared" ca="1" si="11"/>
        <v>53.27749</v>
      </c>
      <c r="W34" s="5">
        <f t="shared" ca="1" si="12"/>
        <v>53.367188999999996</v>
      </c>
      <c r="Y34" s="5">
        <f ca="1">Total!E34</f>
        <v>53.003740000000001</v>
      </c>
      <c r="AB34" s="5">
        <f t="shared" ca="1" si="1"/>
        <v>1.5164024274513474E-2</v>
      </c>
      <c r="AC34" s="5">
        <f t="shared" ca="1" si="2"/>
        <v>6.7116018605479022E-3</v>
      </c>
      <c r="AD34" s="5">
        <f t="shared" ca="1" si="3"/>
        <v>2.900738702589709E-3</v>
      </c>
      <c r="AE34" s="5">
        <f t="shared" ca="1" si="4"/>
        <v>4.410066157595682E-3</v>
      </c>
      <c r="AF34" s="5">
        <f t="shared" ca="1" si="5"/>
        <v>9.3153803863651619E-3</v>
      </c>
      <c r="AG34" s="5">
        <f t="shared" ca="1" si="6"/>
        <v>2.7120727707138619E-3</v>
      </c>
      <c r="AH34" s="5">
        <f t="shared" ca="1" si="7"/>
        <v>8.6535402973450162E-3</v>
      </c>
      <c r="AI34" s="5">
        <f t="shared" ca="1" si="8"/>
        <v>3.8455776894233576E-3</v>
      </c>
      <c r="AJ34" s="5">
        <f t="shared" ca="1" si="9"/>
        <v>9.6927122501167216E-3</v>
      </c>
      <c r="AK34" s="5">
        <f t="shared" ca="1" si="10"/>
        <v>5.1647298850986687E-3</v>
      </c>
      <c r="AM34" s="5">
        <f t="shared" ca="1" si="13"/>
        <v>6.8570444274309555E-2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1.21204</v>
      </c>
      <c r="F35" s="5">
        <v>61</v>
      </c>
      <c r="H35" s="5" t="s">
        <v>0</v>
      </c>
      <c r="I35" s="5">
        <v>100</v>
      </c>
      <c r="J35" s="5">
        <v>0.4</v>
      </c>
      <c r="L35" s="5">
        <f t="shared" ca="1" si="11"/>
        <v>148.34514999999999</v>
      </c>
      <c r="M35" s="5">
        <f t="shared" ca="1" si="11"/>
        <v>148.18950000000001</v>
      </c>
      <c r="N35" s="5">
        <f t="shared" ca="1" si="11"/>
        <v>148.22068999999999</v>
      </c>
      <c r="O35" s="5">
        <f t="shared" ca="1" si="11"/>
        <v>148.27069</v>
      </c>
      <c r="P35" s="5">
        <f t="shared" ca="1" si="11"/>
        <v>148.96403000000001</v>
      </c>
      <c r="Q35" s="5">
        <f t="shared" ca="1" si="11"/>
        <v>148.20152999999999</v>
      </c>
      <c r="R35" s="5">
        <f t="shared" ca="1" si="11"/>
        <v>148.2432</v>
      </c>
      <c r="S35" s="5">
        <f t="shared" ca="1" si="11"/>
        <v>148.24080000000001</v>
      </c>
      <c r="T35" s="5">
        <f t="shared" ca="1" si="11"/>
        <v>148.23414</v>
      </c>
      <c r="U35" s="5">
        <f t="shared" ca="1" si="11"/>
        <v>148.54033000000001</v>
      </c>
      <c r="W35" s="5">
        <f t="shared" ca="1" si="12"/>
        <v>148.34500599999998</v>
      </c>
      <c r="Y35" s="5">
        <f ca="1">Total!E35</f>
        <v>147.96312</v>
      </c>
      <c r="AB35" s="5">
        <f t="shared" ca="1" si="1"/>
        <v>2.5819271721222565E-3</v>
      </c>
      <c r="AC35" s="5">
        <f t="shared" ca="1" si="2"/>
        <v>1.5299758480356862E-3</v>
      </c>
      <c r="AD35" s="5">
        <f t="shared" ca="1" si="3"/>
        <v>1.7407716193061282E-3</v>
      </c>
      <c r="AE35" s="5">
        <f t="shared" ca="1" si="4"/>
        <v>2.0786936636642858E-3</v>
      </c>
      <c r="AF35" s="5">
        <f t="shared" ca="1" si="5"/>
        <v>6.7645910683689602E-3</v>
      </c>
      <c r="AG35" s="5">
        <f t="shared" ca="1" si="6"/>
        <v>1.6112798919081159E-3</v>
      </c>
      <c r="AH35" s="5">
        <f t="shared" ca="1" si="7"/>
        <v>1.8929041236762114E-3</v>
      </c>
      <c r="AI35" s="5">
        <f t="shared" ca="1" si="8"/>
        <v>1.8766838655470612E-3</v>
      </c>
      <c r="AJ35" s="5">
        <f t="shared" ca="1" si="9"/>
        <v>1.8316726492384921E-3</v>
      </c>
      <c r="AK35" s="5">
        <f t="shared" ca="1" si="10"/>
        <v>3.9010396644786078E-3</v>
      </c>
      <c r="AM35" s="5">
        <f t="shared" ca="1" si="13"/>
        <v>2.580953956634581E-2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1.2119899999999999</v>
      </c>
      <c r="F36" s="5">
        <v>62</v>
      </c>
      <c r="H36" s="5" t="s">
        <v>0</v>
      </c>
      <c r="I36" s="5">
        <v>100</v>
      </c>
      <c r="J36" s="5">
        <v>0.7</v>
      </c>
      <c r="L36" s="5">
        <f t="shared" ca="1" si="11"/>
        <v>108.1467</v>
      </c>
      <c r="M36" s="5">
        <f t="shared" ca="1" si="11"/>
        <v>108.16913</v>
      </c>
      <c r="N36" s="5">
        <f t="shared" ca="1" si="11"/>
        <v>107.82496</v>
      </c>
      <c r="O36" s="5">
        <f t="shared" ca="1" si="11"/>
        <v>108.232</v>
      </c>
      <c r="P36" s="5">
        <f t="shared" ca="1" si="11"/>
        <v>108.16821</v>
      </c>
      <c r="Q36" s="5">
        <f t="shared" ca="1" si="11"/>
        <v>108.05070000000001</v>
      </c>
      <c r="R36" s="5">
        <f t="shared" ca="1" si="11"/>
        <v>107.78586</v>
      </c>
      <c r="S36" s="5">
        <f t="shared" ca="1" si="11"/>
        <v>108.22329999999999</v>
      </c>
      <c r="T36" s="5">
        <f t="shared" ca="1" si="11"/>
        <v>108.0196</v>
      </c>
      <c r="U36" s="5">
        <f t="shared" ca="1" si="11"/>
        <v>108.19247</v>
      </c>
      <c r="W36" s="5">
        <f t="shared" ca="1" si="12"/>
        <v>108.081293</v>
      </c>
      <c r="Y36" s="5">
        <f ca="1">Total!E36</f>
        <v>107.28163000000001</v>
      </c>
      <c r="AB36" s="5">
        <f t="shared" ca="1" si="1"/>
        <v>8.0635426587011092E-3</v>
      </c>
      <c r="AC36" s="5">
        <f t="shared" ca="1" si="2"/>
        <v>8.2726185275148086E-3</v>
      </c>
      <c r="AD36" s="5">
        <f t="shared" ca="1" si="3"/>
        <v>5.0645203656953883E-3</v>
      </c>
      <c r="AE36" s="5">
        <f t="shared" ca="1" si="4"/>
        <v>8.8586461633738452E-3</v>
      </c>
      <c r="AF36" s="5">
        <f t="shared" ca="1" si="5"/>
        <v>8.2640429680271906E-3</v>
      </c>
      <c r="AG36" s="5">
        <f t="shared" ca="1" si="6"/>
        <v>7.1687016686826921E-3</v>
      </c>
      <c r="AH36" s="5">
        <f t="shared" ca="1" si="7"/>
        <v>4.7000590874690532E-3</v>
      </c>
      <c r="AI36" s="5">
        <f t="shared" ca="1" si="8"/>
        <v>8.777551198653373E-3</v>
      </c>
      <c r="AJ36" s="5">
        <f t="shared" ca="1" si="9"/>
        <v>6.8788104729578586E-3</v>
      </c>
      <c r="AK36" s="5">
        <f t="shared" ca="1" si="10"/>
        <v>8.4901767432131025E-3</v>
      </c>
      <c r="AM36" s="5">
        <f t="shared" ca="1" si="13"/>
        <v>7.453866985428842E-2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1.2059800000000001</v>
      </c>
      <c r="F37" s="5">
        <v>58</v>
      </c>
      <c r="H37" s="5" t="s">
        <v>0</v>
      </c>
      <c r="I37" s="5">
        <v>100</v>
      </c>
      <c r="J37" s="5">
        <v>1</v>
      </c>
      <c r="L37" s="5">
        <f t="shared" ca="1" si="11"/>
        <v>104.00919</v>
      </c>
      <c r="M37" s="5">
        <f t="shared" ca="1" si="11"/>
        <v>103.79662999999999</v>
      </c>
      <c r="N37" s="5">
        <f t="shared" ca="1" si="11"/>
        <v>103.96747000000001</v>
      </c>
      <c r="O37" s="5">
        <f t="shared" ca="1" si="11"/>
        <v>103.69495999999999</v>
      </c>
      <c r="P37" s="5">
        <f t="shared" ca="1" si="11"/>
        <v>103.97418999999999</v>
      </c>
      <c r="Q37" s="5">
        <f t="shared" ca="1" si="11"/>
        <v>103.92919000000001</v>
      </c>
      <c r="R37" s="5">
        <f t="shared" ca="1" si="11"/>
        <v>104.0108</v>
      </c>
      <c r="S37" s="5">
        <f t="shared" ca="1" si="11"/>
        <v>104.0158</v>
      </c>
      <c r="T37" s="5">
        <f t="shared" ca="1" si="11"/>
        <v>103.97418999999999</v>
      </c>
      <c r="U37" s="5">
        <f t="shared" ca="1" si="11"/>
        <v>104.15246999999999</v>
      </c>
      <c r="W37" s="5">
        <f t="shared" ca="1" si="12"/>
        <v>103.95248899999999</v>
      </c>
      <c r="Y37" s="5">
        <f ca="1">Total!E37</f>
        <v>103.21266</v>
      </c>
      <c r="AB37" s="5">
        <f t="shared" ca="1" si="1"/>
        <v>7.7173672299503202E-3</v>
      </c>
      <c r="AC37" s="5">
        <f t="shared" ca="1" si="2"/>
        <v>5.6579299477408458E-3</v>
      </c>
      <c r="AD37" s="5">
        <f t="shared" ca="1" si="3"/>
        <v>7.3131532507737535E-3</v>
      </c>
      <c r="AE37" s="5">
        <f t="shared" ca="1" si="4"/>
        <v>4.6728763700111505E-3</v>
      </c>
      <c r="AF37" s="5">
        <f t="shared" ca="1" si="5"/>
        <v>7.3782615427215358E-3</v>
      </c>
      <c r="AG37" s="5">
        <f t="shared" ca="1" si="6"/>
        <v>6.9422685162847837E-3</v>
      </c>
      <c r="AH37" s="5">
        <f t="shared" ca="1" si="7"/>
        <v>7.7329660915628337E-3</v>
      </c>
      <c r="AI37" s="5">
        <f t="shared" ca="1" si="8"/>
        <v>7.7814097611668869E-3</v>
      </c>
      <c r="AJ37" s="5">
        <f t="shared" ca="1" si="9"/>
        <v>7.3782615427215358E-3</v>
      </c>
      <c r="AK37" s="5">
        <f t="shared" ca="1" si="10"/>
        <v>9.1055690261252278E-3</v>
      </c>
      <c r="AM37" s="5">
        <f t="shared" ca="1" si="13"/>
        <v>7.1680063279058875E-2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1.20564</v>
      </c>
      <c r="F38" s="5">
        <v>65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1.2126300000000001</v>
      </c>
      <c r="F39" s="5">
        <v>66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1.2120299999999999</v>
      </c>
      <c r="F40" s="5">
        <v>64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2.8890199999999999</v>
      </c>
      <c r="F41" s="5">
        <v>185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2.89893</v>
      </c>
      <c r="F42" s="5">
        <v>181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2.8895499999999998</v>
      </c>
      <c r="F43" s="5">
        <v>181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2.90069</v>
      </c>
      <c r="F44" s="5">
        <v>189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2.8998599999999999</v>
      </c>
      <c r="F45" s="5">
        <v>182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2.8973800000000001</v>
      </c>
      <c r="F46" s="5">
        <v>182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2.8928600000000002</v>
      </c>
      <c r="F47" s="5">
        <v>181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2.89967</v>
      </c>
      <c r="F48" s="5">
        <v>180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2.8909699999999998</v>
      </c>
      <c r="F49" s="5">
        <v>180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2.8902600000000001</v>
      </c>
      <c r="F50" s="5">
        <v>186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181.91333</v>
      </c>
      <c r="E51" s="5">
        <v>4.6007499999999997</v>
      </c>
      <c r="F51" s="5">
        <v>282</v>
      </c>
    </row>
    <row r="52" spans="1:6" x14ac:dyDescent="0.25">
      <c r="A52" s="5" t="s">
        <v>27</v>
      </c>
      <c r="B52" s="5">
        <v>50</v>
      </c>
      <c r="C52" s="5">
        <v>1</v>
      </c>
      <c r="D52" s="5">
        <v>180.33667</v>
      </c>
      <c r="E52" s="5">
        <v>4.5991799999999996</v>
      </c>
      <c r="F52" s="5">
        <v>282</v>
      </c>
    </row>
    <row r="53" spans="1:6" x14ac:dyDescent="0.25">
      <c r="A53" s="5" t="s">
        <v>27</v>
      </c>
      <c r="B53" s="5">
        <v>50</v>
      </c>
      <c r="C53" s="5">
        <v>1</v>
      </c>
      <c r="D53" s="5">
        <v>183.51333</v>
      </c>
      <c r="E53" s="5">
        <v>4.6020399999999997</v>
      </c>
      <c r="F53" s="5">
        <v>289</v>
      </c>
    </row>
    <row r="54" spans="1:6" x14ac:dyDescent="0.25">
      <c r="A54" s="5" t="s">
        <v>27</v>
      </c>
      <c r="B54" s="5">
        <v>50</v>
      </c>
      <c r="C54" s="5">
        <v>1</v>
      </c>
      <c r="D54" s="5">
        <v>182.34583000000001</v>
      </c>
      <c r="E54" s="5">
        <v>4.5987400000000003</v>
      </c>
      <c r="F54" s="5">
        <v>287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180.05332999999999</v>
      </c>
      <c r="E55" s="5">
        <v>4.5947199999999997</v>
      </c>
      <c r="F55" s="5">
        <v>284</v>
      </c>
    </row>
    <row r="56" spans="1:6" x14ac:dyDescent="0.25">
      <c r="A56" s="5" t="s">
        <v>27</v>
      </c>
      <c r="B56" s="5">
        <v>50</v>
      </c>
      <c r="C56" s="5">
        <v>1</v>
      </c>
      <c r="D56" s="5">
        <v>182.40089</v>
      </c>
      <c r="E56" s="5">
        <v>4.59687</v>
      </c>
      <c r="F56" s="5">
        <v>287</v>
      </c>
    </row>
    <row r="57" spans="1:6" x14ac:dyDescent="0.25">
      <c r="A57" s="5" t="s">
        <v>27</v>
      </c>
      <c r="B57" s="5">
        <v>50</v>
      </c>
      <c r="C57" s="5">
        <v>1</v>
      </c>
      <c r="D57" s="5">
        <v>182.40089</v>
      </c>
      <c r="E57" s="5">
        <v>4.5961299999999996</v>
      </c>
      <c r="F57" s="5">
        <v>281</v>
      </c>
    </row>
    <row r="58" spans="1:6" x14ac:dyDescent="0.25">
      <c r="A58" s="5" t="s">
        <v>27</v>
      </c>
      <c r="B58" s="5">
        <v>50</v>
      </c>
      <c r="C58" s="5">
        <v>1</v>
      </c>
      <c r="D58" s="5">
        <v>181.92667</v>
      </c>
      <c r="E58" s="5">
        <v>4.59945</v>
      </c>
      <c r="F58" s="5">
        <v>287</v>
      </c>
    </row>
    <row r="59" spans="1:6" x14ac:dyDescent="0.25">
      <c r="A59" s="5" t="s">
        <v>27</v>
      </c>
      <c r="B59" s="5">
        <v>50</v>
      </c>
      <c r="C59" s="5">
        <v>1</v>
      </c>
      <c r="D59" s="5">
        <v>179.93769</v>
      </c>
      <c r="E59" s="5">
        <v>4.5996199999999998</v>
      </c>
      <c r="F59" s="5">
        <v>286</v>
      </c>
    </row>
    <row r="60" spans="1:6" x14ac:dyDescent="0.25">
      <c r="A60" s="5" t="s">
        <v>27</v>
      </c>
      <c r="B60" s="5">
        <v>50</v>
      </c>
      <c r="C60" s="5">
        <v>1</v>
      </c>
      <c r="D60" s="5">
        <v>182.34269</v>
      </c>
      <c r="E60" s="5">
        <v>4.5994099999999998</v>
      </c>
      <c r="F60" s="5">
        <v>288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5.6110899999999999</v>
      </c>
      <c r="F61" s="5">
        <v>95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5.5955000000000004</v>
      </c>
      <c r="F62" s="5">
        <v>95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5.5916100000000002</v>
      </c>
      <c r="F63" s="5">
        <v>94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5.6298700000000004</v>
      </c>
      <c r="F64" s="5">
        <v>95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5.6213499999999996</v>
      </c>
      <c r="F65" s="5">
        <v>95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5.6307799999999997</v>
      </c>
      <c r="F66" s="5">
        <v>94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5.5890300000000002</v>
      </c>
      <c r="F67" s="5">
        <v>94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5.6253700000000002</v>
      </c>
      <c r="F68" s="5">
        <v>95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5.5938299999999996</v>
      </c>
      <c r="F69" s="5">
        <v>93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5.5901300000000003</v>
      </c>
      <c r="F70" s="5">
        <v>95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259.39004999999997</v>
      </c>
      <c r="E71" s="5">
        <v>11.67609</v>
      </c>
      <c r="F71" s="5">
        <v>188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257.57175000000001</v>
      </c>
      <c r="E72" s="5">
        <v>11.65222</v>
      </c>
      <c r="F72" s="5">
        <v>189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256.89882</v>
      </c>
      <c r="E73" s="5">
        <v>11.69183</v>
      </c>
      <c r="F73" s="5">
        <v>189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259.44529999999997</v>
      </c>
      <c r="E74" s="5">
        <v>11.650499999999999</v>
      </c>
      <c r="F74" s="5">
        <v>192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258.19493999999997</v>
      </c>
      <c r="E75" s="5">
        <v>11.655430000000001</v>
      </c>
      <c r="F75" s="5">
        <v>191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259.01670999999999</v>
      </c>
      <c r="E76" s="5">
        <v>11.691179999999999</v>
      </c>
      <c r="F76" s="5">
        <v>190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259.24196999999998</v>
      </c>
      <c r="E77" s="5">
        <v>11.68548</v>
      </c>
      <c r="F77" s="5">
        <v>190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257.95776999999998</v>
      </c>
      <c r="E78" s="5">
        <v>11.654120000000001</v>
      </c>
      <c r="F78" s="5">
        <v>190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255.89185000000001</v>
      </c>
      <c r="E79" s="5">
        <v>11.672319999999999</v>
      </c>
      <c r="F79" s="5">
        <v>190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259.55732999999998</v>
      </c>
      <c r="E80" s="5">
        <v>11.67957</v>
      </c>
      <c r="F80" s="5">
        <v>190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240.32667000000001</v>
      </c>
      <c r="E81" s="5">
        <v>30.165700000000001</v>
      </c>
      <c r="F81" s="5">
        <v>480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239.73822999999999</v>
      </c>
      <c r="E82" s="5">
        <v>30.165179999999999</v>
      </c>
      <c r="F82" s="5">
        <v>475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239.27673999999999</v>
      </c>
      <c r="E83" s="5">
        <v>30.133880000000001</v>
      </c>
      <c r="F83" s="5">
        <v>480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239.31872999999999</v>
      </c>
      <c r="E84" s="5">
        <v>30.135090000000002</v>
      </c>
      <c r="F84" s="5">
        <v>481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241.28666999999999</v>
      </c>
      <c r="E85" s="5">
        <v>30.139530000000001</v>
      </c>
      <c r="F85" s="5">
        <v>478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239.85822999999999</v>
      </c>
      <c r="E86" s="5">
        <v>30.160889999999998</v>
      </c>
      <c r="F86" s="5">
        <v>481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240.42667</v>
      </c>
      <c r="E87" s="5">
        <v>30.142690000000002</v>
      </c>
      <c r="F87" s="5">
        <v>478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239.29</v>
      </c>
      <c r="E88" s="5">
        <v>30.133839999999999</v>
      </c>
      <c r="F88" s="5">
        <v>483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240.97</v>
      </c>
      <c r="E89" s="5">
        <v>30.166270000000001</v>
      </c>
      <c r="F89" s="5">
        <v>482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240.09053</v>
      </c>
      <c r="E90" s="5">
        <v>30.149819999999998</v>
      </c>
      <c r="F90" s="5">
        <v>480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0.58433999999999997</v>
      </c>
      <c r="F91" s="5">
        <v>135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0.58374999999999999</v>
      </c>
      <c r="F92" s="5">
        <v>126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0.58118000000000003</v>
      </c>
      <c r="F93" s="5">
        <v>136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0.58372000000000002</v>
      </c>
      <c r="F94" s="5">
        <v>137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0.58252999999999999</v>
      </c>
      <c r="F95" s="5">
        <v>137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0.58194000000000001</v>
      </c>
      <c r="F96" s="5">
        <v>120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0.58447000000000005</v>
      </c>
      <c r="F97" s="5">
        <v>138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0.58333000000000002</v>
      </c>
      <c r="F98" s="5">
        <v>138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0.58230000000000004</v>
      </c>
      <c r="F99" s="5">
        <v>140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0.58196999999999999</v>
      </c>
      <c r="F100" s="5">
        <v>139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0.73648999999999998</v>
      </c>
      <c r="F101" s="5">
        <v>171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0.73490999999999995</v>
      </c>
      <c r="F102" s="5">
        <v>172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0.73555000000000004</v>
      </c>
      <c r="F103" s="5">
        <v>156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0.73624000000000001</v>
      </c>
      <c r="F104" s="5">
        <v>170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0.73504000000000003</v>
      </c>
      <c r="F105" s="5">
        <v>169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0.73563999999999996</v>
      </c>
      <c r="F106" s="5">
        <v>170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0.73572000000000004</v>
      </c>
      <c r="F107" s="5">
        <v>168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0.73426000000000002</v>
      </c>
      <c r="F108" s="5">
        <v>172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0.75571999999999995</v>
      </c>
      <c r="F109" s="5">
        <v>145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0.73477999999999999</v>
      </c>
      <c r="F110" s="5">
        <v>152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1.2750999999999999</v>
      </c>
      <c r="F111" s="5">
        <v>289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1.2760199999999999</v>
      </c>
      <c r="F112" s="5">
        <v>261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1.2749699999999999</v>
      </c>
      <c r="F113" s="5">
        <v>290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1.27521</v>
      </c>
      <c r="F114" s="5">
        <v>296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1.2868200000000001</v>
      </c>
      <c r="F115" s="5">
        <v>278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1.2766500000000001</v>
      </c>
      <c r="F116" s="5">
        <v>281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1.2770300000000001</v>
      </c>
      <c r="F117" s="5">
        <v>272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1.2764500000000001</v>
      </c>
      <c r="F118" s="5">
        <v>287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1.27634</v>
      </c>
      <c r="F119" s="5">
        <v>270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1.2751300000000001</v>
      </c>
      <c r="F120" s="5">
        <v>297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4350.8413700000001</v>
      </c>
      <c r="E121" s="5">
        <v>1.99712</v>
      </c>
      <c r="F121" s="5">
        <v>153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4348.0289499999999</v>
      </c>
      <c r="E122" s="5">
        <v>1.9952000000000001</v>
      </c>
      <c r="F122" s="5">
        <v>148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4348.0289499999999</v>
      </c>
      <c r="E123" s="5">
        <v>1.9949699999999999</v>
      </c>
      <c r="F123" s="5">
        <v>151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4348.0289499999999</v>
      </c>
      <c r="E124" s="5">
        <v>1.99841</v>
      </c>
      <c r="F124" s="5">
        <v>145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4348.0289499999999</v>
      </c>
      <c r="E125" s="5">
        <v>1.9983</v>
      </c>
      <c r="F125" s="5">
        <v>149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4348.0289499999999</v>
      </c>
      <c r="E126" s="5">
        <v>1.9948600000000001</v>
      </c>
      <c r="F126" s="5">
        <v>146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1.9918400000000001</v>
      </c>
      <c r="F127" s="5">
        <v>152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1.9962800000000001</v>
      </c>
      <c r="F128" s="5">
        <v>144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1.9964999999999999</v>
      </c>
      <c r="F129" s="5">
        <v>151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4348.0289499999999</v>
      </c>
      <c r="E130" s="5">
        <v>1.9929600000000001</v>
      </c>
      <c r="F130" s="5">
        <v>146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2.8634499999999998</v>
      </c>
      <c r="F131" s="5">
        <v>209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2.8713700000000002</v>
      </c>
      <c r="F132" s="5">
        <v>205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2.8629500000000001</v>
      </c>
      <c r="F133" s="5">
        <v>209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2.8652199999999999</v>
      </c>
      <c r="F134" s="5">
        <v>214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2.8623400000000001</v>
      </c>
      <c r="F135" s="5">
        <v>211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2.8645800000000001</v>
      </c>
      <c r="F136" s="5">
        <v>207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2.86395</v>
      </c>
      <c r="F137" s="5">
        <v>207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2.8714499999999998</v>
      </c>
      <c r="F138" s="5">
        <v>216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2.8706399999999999</v>
      </c>
      <c r="F139" s="5">
        <v>209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2.8616299999999999</v>
      </c>
      <c r="F140" s="5">
        <v>208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3.51315</v>
      </c>
      <c r="F141" s="5">
        <v>255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3.5120200000000001</v>
      </c>
      <c r="F142" s="5">
        <v>247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3.5173399999999999</v>
      </c>
      <c r="F143" s="5">
        <v>259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3.5183</v>
      </c>
      <c r="F144" s="5">
        <v>261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3.5178600000000002</v>
      </c>
      <c r="F145" s="5">
        <v>256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3.5183800000000001</v>
      </c>
      <c r="F146" s="5">
        <v>257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3.5133700000000001</v>
      </c>
      <c r="F147" s="5">
        <v>260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3.5148000000000001</v>
      </c>
      <c r="F148" s="5">
        <v>258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3.5139399999999998</v>
      </c>
      <c r="F149" s="5">
        <v>261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3.51119</v>
      </c>
      <c r="F150" s="5">
        <v>256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42986.403050000001</v>
      </c>
      <c r="E151" s="5">
        <v>4.9022300000000003</v>
      </c>
      <c r="F151" s="5">
        <v>87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42986.403050000001</v>
      </c>
      <c r="E152" s="5">
        <v>4.89846</v>
      </c>
      <c r="F152" s="5">
        <v>88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42986.673049999998</v>
      </c>
      <c r="E153" s="5">
        <v>4.91737</v>
      </c>
      <c r="F153" s="5">
        <v>87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42986.403050000001</v>
      </c>
      <c r="E154" s="5">
        <v>4.91099</v>
      </c>
      <c r="F154" s="5">
        <v>88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42986.802479999998</v>
      </c>
      <c r="E155" s="5">
        <v>4.8979499999999998</v>
      </c>
      <c r="F155" s="5">
        <v>88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42986.193919999998</v>
      </c>
      <c r="E156" s="5">
        <v>4.9224600000000001</v>
      </c>
      <c r="F156" s="5">
        <v>89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42986.403050000001</v>
      </c>
      <c r="E157" s="5">
        <v>4.9314600000000004</v>
      </c>
      <c r="F157" s="5">
        <v>88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42986.836920000002</v>
      </c>
      <c r="E158" s="5">
        <v>4.9160599999999999</v>
      </c>
      <c r="F158" s="5">
        <v>88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42986.802479999998</v>
      </c>
      <c r="E159" s="5">
        <v>4.9187599999999998</v>
      </c>
      <c r="F159" s="5">
        <v>89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42986.802479999998</v>
      </c>
      <c r="E160" s="5">
        <v>4.9076700000000004</v>
      </c>
      <c r="F160" s="5">
        <v>88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35569.606699999997</v>
      </c>
      <c r="E161" s="5">
        <v>12.73921</v>
      </c>
      <c r="F161" s="5">
        <v>218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35592.941930000001</v>
      </c>
      <c r="E162" s="5">
        <v>12.721209999999999</v>
      </c>
      <c r="F162" s="5">
        <v>219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35412.162270000001</v>
      </c>
      <c r="E163" s="5">
        <v>12.71865</v>
      </c>
      <c r="F163" s="5">
        <v>216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35869.116880000001</v>
      </c>
      <c r="E164" s="5">
        <v>12.726509999999999</v>
      </c>
      <c r="F164" s="5">
        <v>220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35594.506150000001</v>
      </c>
      <c r="E165" s="5">
        <v>12.71072</v>
      </c>
      <c r="F165" s="5">
        <v>220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35641.616880000001</v>
      </c>
      <c r="E166" s="5">
        <v>12.70994</v>
      </c>
      <c r="F166" s="5">
        <v>218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35642.007870000001</v>
      </c>
      <c r="E167" s="5">
        <v>12.70457</v>
      </c>
      <c r="F167" s="5">
        <v>217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35611.901290000002</v>
      </c>
      <c r="E168" s="5">
        <v>12.70068</v>
      </c>
      <c r="F168" s="5">
        <v>216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35597.748670000001</v>
      </c>
      <c r="E169" s="5">
        <v>12.73845</v>
      </c>
      <c r="F169" s="5">
        <v>215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35548.736199999999</v>
      </c>
      <c r="E170" s="5">
        <v>12.698980000000001</v>
      </c>
      <c r="F170" s="5">
        <v>215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35252.195269999997</v>
      </c>
      <c r="E171" s="5">
        <v>28.51484</v>
      </c>
      <c r="F171" s="5">
        <v>521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35267.11967</v>
      </c>
      <c r="E172" s="5">
        <v>28.496919999999999</v>
      </c>
      <c r="F172" s="5">
        <v>520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35259.551930000001</v>
      </c>
      <c r="E173" s="5">
        <v>28.52253</v>
      </c>
      <c r="F173" s="5">
        <v>515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35276.116670000003</v>
      </c>
      <c r="E174" s="5">
        <v>28.520050000000001</v>
      </c>
      <c r="F174" s="5">
        <v>507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35272.534059999998</v>
      </c>
      <c r="E175" s="5">
        <v>28.512609999999999</v>
      </c>
      <c r="F175" s="5">
        <v>507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35316.35583</v>
      </c>
      <c r="E176" s="5">
        <v>28.492999999999999</v>
      </c>
      <c r="F176" s="5">
        <v>476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35228.735489999999</v>
      </c>
      <c r="E177" s="5">
        <v>28.505790000000001</v>
      </c>
      <c r="F177" s="5">
        <v>503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35449.127999999997</v>
      </c>
      <c r="E178" s="5">
        <v>28.522359999999999</v>
      </c>
      <c r="F178" s="5">
        <v>493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35243.491629999997</v>
      </c>
      <c r="E179" s="5">
        <v>28.509519999999998</v>
      </c>
      <c r="F179" s="5">
        <v>514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35270.14213</v>
      </c>
      <c r="E180" s="5">
        <v>28.499849999999999</v>
      </c>
      <c r="F180" s="5">
        <v>493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0.73446999999999996</v>
      </c>
      <c r="F181" s="5">
        <v>111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0.73323000000000005</v>
      </c>
      <c r="F182" s="5">
        <v>104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0.73121999999999998</v>
      </c>
      <c r="F183" s="5">
        <v>121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0.73111999999999999</v>
      </c>
      <c r="F184" s="5">
        <v>120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0.73380000000000001</v>
      </c>
      <c r="F185" s="5">
        <v>118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0.73180000000000001</v>
      </c>
      <c r="F186" s="5">
        <v>122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0.73053000000000001</v>
      </c>
      <c r="F187" s="5">
        <v>121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0.73172000000000004</v>
      </c>
      <c r="F188" s="5">
        <v>108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0.73062000000000005</v>
      </c>
      <c r="F189" s="5">
        <v>118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0.73248000000000002</v>
      </c>
      <c r="F190" s="5">
        <v>118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675.36989000000005</v>
      </c>
      <c r="E191" s="5">
        <v>1.13873</v>
      </c>
      <c r="F191" s="5">
        <v>176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675.47965999999997</v>
      </c>
      <c r="E192" s="5">
        <v>1.1356200000000001</v>
      </c>
      <c r="F192" s="5">
        <v>171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675.36581000000001</v>
      </c>
      <c r="E193" s="5">
        <v>1.13652</v>
      </c>
      <c r="F193" s="5">
        <v>184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675.36989000000005</v>
      </c>
      <c r="E194" s="5">
        <v>1.1395200000000001</v>
      </c>
      <c r="F194" s="5">
        <v>183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675.36581000000001</v>
      </c>
      <c r="E195" s="5">
        <v>1.1393800000000001</v>
      </c>
      <c r="F195" s="5">
        <v>185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675.36581000000001</v>
      </c>
      <c r="E196" s="5">
        <v>1.1390400000000001</v>
      </c>
      <c r="F196" s="5">
        <v>172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675.36581000000001</v>
      </c>
      <c r="E197" s="5">
        <v>1.13771</v>
      </c>
      <c r="F197" s="5">
        <v>182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675.47581000000002</v>
      </c>
      <c r="E198" s="5">
        <v>1.1364399999999999</v>
      </c>
      <c r="F198" s="5">
        <v>183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675.38247999999999</v>
      </c>
      <c r="E199" s="5">
        <v>1.13683</v>
      </c>
      <c r="F199" s="5">
        <v>174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675.36989000000005</v>
      </c>
      <c r="E200" s="5">
        <v>1.1394899999999999</v>
      </c>
      <c r="F200" s="5">
        <v>181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655.46475999999996</v>
      </c>
      <c r="E201" s="5">
        <v>2.0708899999999999</v>
      </c>
      <c r="F201" s="5">
        <v>323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655.43295999999998</v>
      </c>
      <c r="E202" s="5">
        <v>2.0700599999999998</v>
      </c>
      <c r="F202" s="5">
        <v>331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657.32380999999998</v>
      </c>
      <c r="E203" s="5">
        <v>2.0684100000000001</v>
      </c>
      <c r="F203" s="5">
        <v>328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657.32380999999998</v>
      </c>
      <c r="E204" s="5">
        <v>2.0688300000000002</v>
      </c>
      <c r="F204" s="5">
        <v>337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655.43295999999998</v>
      </c>
      <c r="E205" s="5">
        <v>2.0689899999999999</v>
      </c>
      <c r="F205" s="5">
        <v>324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657.32992999999999</v>
      </c>
      <c r="E206" s="5">
        <v>2.0695299999999999</v>
      </c>
      <c r="F206" s="5">
        <v>333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657.32380999999998</v>
      </c>
      <c r="E207" s="5">
        <v>2.0696099999999999</v>
      </c>
      <c r="F207" s="5">
        <v>323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658.23289</v>
      </c>
      <c r="E208" s="5">
        <v>2.0667599999999999</v>
      </c>
      <c r="F208" s="5">
        <v>336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655.43295999999998</v>
      </c>
      <c r="E209" s="5">
        <v>2.0705900000000002</v>
      </c>
      <c r="F209" s="5">
        <v>314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657.32380999999998</v>
      </c>
      <c r="E210" s="5">
        <v>2.07036</v>
      </c>
      <c r="F210" s="5">
        <v>328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1459.9687899999999</v>
      </c>
      <c r="E211" s="5">
        <v>1.5918399999999999</v>
      </c>
      <c r="F211" s="5">
        <v>113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1459.9687899999999</v>
      </c>
      <c r="E212" s="5">
        <v>1.5864799999999999</v>
      </c>
      <c r="F212" s="5">
        <v>117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1459.9687899999999</v>
      </c>
      <c r="E213" s="5">
        <v>1.5936300000000001</v>
      </c>
      <c r="F213" s="5">
        <v>110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1459.9687899999999</v>
      </c>
      <c r="E214" s="5">
        <v>1.59589</v>
      </c>
      <c r="F214" s="5">
        <v>117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1483.36385</v>
      </c>
      <c r="E215" s="5">
        <v>1.6020099999999999</v>
      </c>
      <c r="F215" s="5">
        <v>114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1483.36385</v>
      </c>
      <c r="E216" s="5">
        <v>1.59263</v>
      </c>
      <c r="F216" s="5">
        <v>118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1459.9687899999999</v>
      </c>
      <c r="E217" s="5">
        <v>1.5959700000000001</v>
      </c>
      <c r="F217" s="5">
        <v>118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1483.36385</v>
      </c>
      <c r="E218" s="5">
        <v>1.58945</v>
      </c>
      <c r="F218" s="5">
        <v>108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1483.36385</v>
      </c>
      <c r="E219" s="5">
        <v>1.59554</v>
      </c>
      <c r="F219" s="5">
        <v>117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1483.36385</v>
      </c>
      <c r="E220" s="5">
        <v>1.5971</v>
      </c>
      <c r="F220" s="5">
        <v>114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1024.2033300000001</v>
      </c>
      <c r="E221" s="5">
        <v>4.5497500000000004</v>
      </c>
      <c r="F221" s="5">
        <v>323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1016.20559</v>
      </c>
      <c r="E222" s="5">
        <v>4.5471599999999999</v>
      </c>
      <c r="F222" s="5">
        <v>325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1028.6007500000001</v>
      </c>
      <c r="E223" s="5">
        <v>4.5446400000000002</v>
      </c>
      <c r="F223" s="5">
        <v>325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1016.71348</v>
      </c>
      <c r="E224" s="5">
        <v>4.5452899999999996</v>
      </c>
      <c r="F224" s="5">
        <v>321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1016.72279</v>
      </c>
      <c r="E225" s="5">
        <v>4.5411000000000001</v>
      </c>
      <c r="F225" s="5">
        <v>327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1013.6829300000001</v>
      </c>
      <c r="E226" s="5">
        <v>4.5481600000000002</v>
      </c>
      <c r="F226" s="5">
        <v>328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1016.81981</v>
      </c>
      <c r="E227" s="5">
        <v>4.5423900000000001</v>
      </c>
      <c r="F227" s="5">
        <v>328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1014.17725</v>
      </c>
      <c r="E228" s="5">
        <v>4.5513899999999996</v>
      </c>
      <c r="F228" s="5">
        <v>327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1013.71888</v>
      </c>
      <c r="E229" s="5">
        <v>4.5459800000000001</v>
      </c>
      <c r="F229" s="5">
        <v>325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1023.24941</v>
      </c>
      <c r="E230" s="5">
        <v>4.5431900000000001</v>
      </c>
      <c r="F230" s="5">
        <v>322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994.43645000000004</v>
      </c>
      <c r="E231" s="5">
        <v>8.3897099999999991</v>
      </c>
      <c r="F231" s="5">
        <v>584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995.80875000000003</v>
      </c>
      <c r="E232" s="5">
        <v>8.3958300000000001</v>
      </c>
      <c r="F232" s="5">
        <v>582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993.64535000000001</v>
      </c>
      <c r="E233" s="5">
        <v>8.3925400000000003</v>
      </c>
      <c r="F233" s="5">
        <v>589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991.72</v>
      </c>
      <c r="E234" s="5">
        <v>8.3873300000000004</v>
      </c>
      <c r="F234" s="5">
        <v>587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994.63355999999999</v>
      </c>
      <c r="E235" s="5">
        <v>8.3933</v>
      </c>
      <c r="F235" s="5">
        <v>593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994.10247000000004</v>
      </c>
      <c r="E236" s="5">
        <v>8.3865200000000009</v>
      </c>
      <c r="F236" s="5">
        <v>594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995.49964999999997</v>
      </c>
      <c r="E237" s="5">
        <v>8.3864699999999992</v>
      </c>
      <c r="F237" s="5">
        <v>590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994.54630999999995</v>
      </c>
      <c r="E238" s="5">
        <v>8.3896800000000002</v>
      </c>
      <c r="F238" s="5">
        <v>587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996.53659000000005</v>
      </c>
      <c r="E239" s="5">
        <v>8.3884500000000006</v>
      </c>
      <c r="F239" s="5">
        <v>589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999.22186999999997</v>
      </c>
      <c r="E240" s="5">
        <v>8.3902999999999999</v>
      </c>
      <c r="F240" s="5">
        <v>599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1799.16426</v>
      </c>
      <c r="E241" s="5">
        <v>5.0537299999999998</v>
      </c>
      <c r="F241" s="5">
        <v>99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1846.64247</v>
      </c>
      <c r="E242" s="5">
        <v>5.0460099999999999</v>
      </c>
      <c r="F242" s="5">
        <v>101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1796.6236899999999</v>
      </c>
      <c r="E243" s="5">
        <v>5.0668100000000003</v>
      </c>
      <c r="F243" s="5">
        <v>101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1797.8836200000001</v>
      </c>
      <c r="E244" s="5">
        <v>5.0682200000000002</v>
      </c>
      <c r="F244" s="5">
        <v>102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1801.2498599999999</v>
      </c>
      <c r="E245" s="5">
        <v>5.0495099999999997</v>
      </c>
      <c r="F245" s="5">
        <v>100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1834.16644</v>
      </c>
      <c r="E246" s="5">
        <v>5.0578799999999999</v>
      </c>
      <c r="F246" s="5">
        <v>101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1815.29378</v>
      </c>
      <c r="E247" s="5">
        <v>5.06196</v>
      </c>
      <c r="F247" s="5">
        <v>100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1796.3629800000001</v>
      </c>
      <c r="E248" s="5">
        <v>5.06006</v>
      </c>
      <c r="F248" s="5">
        <v>101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1840.5992900000001</v>
      </c>
      <c r="E249" s="5">
        <v>5.06907</v>
      </c>
      <c r="F249" s="5">
        <v>100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1852.1663599999999</v>
      </c>
      <c r="E250" s="5">
        <v>5.0449099999999998</v>
      </c>
      <c r="F250" s="5">
        <v>102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1782.0766699999999</v>
      </c>
      <c r="E251" s="5">
        <v>9.3820200000000007</v>
      </c>
      <c r="F251" s="5">
        <v>179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1774.7302299999999</v>
      </c>
      <c r="E252" s="5">
        <v>9.3733599999999999</v>
      </c>
      <c r="F252" s="5">
        <v>177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1761.9822300000001</v>
      </c>
      <c r="E253" s="5">
        <v>9.3847299999999994</v>
      </c>
      <c r="F253" s="5">
        <v>182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1768.4652000000001</v>
      </c>
      <c r="E254" s="5">
        <v>9.4016599999999997</v>
      </c>
      <c r="F254" s="5">
        <v>183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1761.02206</v>
      </c>
      <c r="E255" s="5">
        <v>9.4028799999999997</v>
      </c>
      <c r="F255" s="5">
        <v>184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1775.8983800000001</v>
      </c>
      <c r="E256" s="5">
        <v>9.3711699999999993</v>
      </c>
      <c r="F256" s="5">
        <v>180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1770.11</v>
      </c>
      <c r="E257" s="5">
        <v>9.4032900000000001</v>
      </c>
      <c r="F257" s="5">
        <v>182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1769.46333</v>
      </c>
      <c r="E258" s="5">
        <v>9.3869900000000008</v>
      </c>
      <c r="F258" s="5">
        <v>186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1769.93932</v>
      </c>
      <c r="E259" s="5">
        <v>9.3929299999999998</v>
      </c>
      <c r="F259" s="5">
        <v>182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1772.4066700000001</v>
      </c>
      <c r="E260" s="5">
        <v>9.3713899999999999</v>
      </c>
      <c r="F260" s="5">
        <v>182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1758.6833300000001</v>
      </c>
      <c r="E261" s="5">
        <v>15.359159999999999</v>
      </c>
      <c r="F261" s="5">
        <v>287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1759.4015199999999</v>
      </c>
      <c r="E262" s="5">
        <v>15.34872</v>
      </c>
      <c r="F262" s="5">
        <v>282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1759.30333</v>
      </c>
      <c r="E263" s="5">
        <v>15.37344</v>
      </c>
      <c r="F263" s="5">
        <v>291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1758.55333</v>
      </c>
      <c r="E264" s="5">
        <v>15.343579999999999</v>
      </c>
      <c r="F264" s="5">
        <v>291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1756.57008</v>
      </c>
      <c r="E265" s="5">
        <v>15.371639999999999</v>
      </c>
      <c r="F265" s="5">
        <v>289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1760.02818</v>
      </c>
      <c r="E266" s="5">
        <v>15.341329999999999</v>
      </c>
      <c r="F266" s="5">
        <v>290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1759.03333</v>
      </c>
      <c r="E267" s="5">
        <v>15.37364</v>
      </c>
      <c r="F267" s="5">
        <v>290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1758.79</v>
      </c>
      <c r="E268" s="5">
        <v>15.372960000000001</v>
      </c>
      <c r="F268" s="5">
        <v>291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1757.7761700000001</v>
      </c>
      <c r="E269" s="5">
        <v>15.35782</v>
      </c>
      <c r="F269" s="5">
        <v>289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1757.9848500000001</v>
      </c>
      <c r="E270" s="5">
        <v>15.359249999999999</v>
      </c>
      <c r="F270" s="5">
        <v>292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42.424349999999997</v>
      </c>
      <c r="E271" s="5">
        <v>0.58872000000000002</v>
      </c>
      <c r="F271" s="5">
        <v>112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42.424349999999997</v>
      </c>
      <c r="E272" s="5">
        <v>0.58833000000000002</v>
      </c>
      <c r="F272" s="5">
        <v>107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42.424349999999997</v>
      </c>
      <c r="E273" s="5">
        <v>0.58775999999999995</v>
      </c>
      <c r="F273" s="5">
        <v>101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42.424349999999997</v>
      </c>
      <c r="E274" s="5">
        <v>0.58891000000000004</v>
      </c>
      <c r="F274" s="5">
        <v>112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41.318849999999998</v>
      </c>
      <c r="E275" s="5">
        <v>0.58609999999999995</v>
      </c>
      <c r="F275" s="5">
        <v>113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41.318849999999998</v>
      </c>
      <c r="E276" s="5">
        <v>0.58635000000000004</v>
      </c>
      <c r="F276" s="5">
        <v>110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42.424349999999997</v>
      </c>
      <c r="E277" s="5">
        <v>0.58587</v>
      </c>
      <c r="F277" s="5">
        <v>113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42.424349999999997</v>
      </c>
      <c r="E278" s="5">
        <v>0.58531</v>
      </c>
      <c r="F278" s="5">
        <v>109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42.424349999999997</v>
      </c>
      <c r="E279" s="5">
        <v>0.58589999999999998</v>
      </c>
      <c r="F279" s="5">
        <v>109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42.424349999999997</v>
      </c>
      <c r="E280" s="5">
        <v>0.58818999999999999</v>
      </c>
      <c r="F280" s="5">
        <v>92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0.87624999999999997</v>
      </c>
      <c r="F281" s="5">
        <v>167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0.87612999999999996</v>
      </c>
      <c r="F282" s="5">
        <v>180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28.65436</v>
      </c>
      <c r="E283" s="5">
        <v>0.87456999999999996</v>
      </c>
      <c r="F283" s="5">
        <v>181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0.87324999999999997</v>
      </c>
      <c r="F284" s="5">
        <v>160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28.682030000000001</v>
      </c>
      <c r="E285" s="5">
        <v>0.87490999999999997</v>
      </c>
      <c r="F285" s="5">
        <v>179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28.65436</v>
      </c>
      <c r="E286" s="5">
        <v>0.87602000000000002</v>
      </c>
      <c r="F286" s="5">
        <v>180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28.682030000000001</v>
      </c>
      <c r="E287" s="5">
        <v>0.87514000000000003</v>
      </c>
      <c r="F287" s="5">
        <v>179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0.87594000000000005</v>
      </c>
      <c r="F288" s="5">
        <v>180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28.65436</v>
      </c>
      <c r="E289" s="5">
        <v>0.87651999999999997</v>
      </c>
      <c r="F289" s="5">
        <v>166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0.87604000000000004</v>
      </c>
      <c r="F290" s="5">
        <v>181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28.592030000000001</v>
      </c>
      <c r="E291" s="5">
        <v>1.1319300000000001</v>
      </c>
      <c r="F291" s="5">
        <v>214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28.602029999999999</v>
      </c>
      <c r="E292" s="5">
        <v>1.13378</v>
      </c>
      <c r="F292" s="5">
        <v>219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28.602029999999999</v>
      </c>
      <c r="E293" s="5">
        <v>1.13158</v>
      </c>
      <c r="F293" s="5">
        <v>208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28.60624</v>
      </c>
      <c r="E294" s="5">
        <v>1.1324700000000001</v>
      </c>
      <c r="F294" s="5">
        <v>224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28.554099999999998</v>
      </c>
      <c r="E295" s="5">
        <v>1.1315200000000001</v>
      </c>
      <c r="F295" s="5">
        <v>220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28.592030000000001</v>
      </c>
      <c r="E296" s="5">
        <v>1.1337600000000001</v>
      </c>
      <c r="F296" s="5">
        <v>219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28.546240000000001</v>
      </c>
      <c r="E297" s="5">
        <v>1.13212</v>
      </c>
      <c r="F297" s="5">
        <v>211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28.58203</v>
      </c>
      <c r="E298" s="5">
        <v>1.1324700000000001</v>
      </c>
      <c r="F298" s="5">
        <v>218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28.60624</v>
      </c>
      <c r="E299" s="5">
        <v>1.13341</v>
      </c>
      <c r="F299" s="5">
        <v>216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28.602029999999999</v>
      </c>
      <c r="E300" s="5">
        <v>1.1358299999999999</v>
      </c>
      <c r="F300" s="5">
        <v>203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59.65354</v>
      </c>
      <c r="E301" s="5">
        <v>1.9288700000000001</v>
      </c>
      <c r="F301" s="5">
        <v>134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59.515909999999998</v>
      </c>
      <c r="E302" s="5">
        <v>1.9234</v>
      </c>
      <c r="F302" s="5">
        <v>130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60.601610000000001</v>
      </c>
      <c r="E303" s="5">
        <v>1.92571</v>
      </c>
      <c r="F303" s="5">
        <v>135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59.826560000000001</v>
      </c>
      <c r="E304" s="5">
        <v>1.92462</v>
      </c>
      <c r="F304" s="5">
        <v>129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59.129510000000003</v>
      </c>
      <c r="E305" s="5">
        <v>1.9259500000000001</v>
      </c>
      <c r="F305" s="5">
        <v>135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56.901339999999998</v>
      </c>
      <c r="E306" s="5">
        <v>1.9277899999999999</v>
      </c>
      <c r="F306" s="5">
        <v>131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59.089509999999997</v>
      </c>
      <c r="E307" s="5">
        <v>1.92455</v>
      </c>
      <c r="F307" s="5">
        <v>133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59.190910000000002</v>
      </c>
      <c r="E308" s="5">
        <v>1.9215100000000001</v>
      </c>
      <c r="F308" s="5">
        <v>130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59.029510000000002</v>
      </c>
      <c r="E309" s="5">
        <v>1.9226099999999999</v>
      </c>
      <c r="F309" s="5">
        <v>134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59.136180000000003</v>
      </c>
      <c r="E310" s="5">
        <v>1.9210700000000001</v>
      </c>
      <c r="F310" s="5">
        <v>128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53.695599999999999</v>
      </c>
      <c r="E311" s="5">
        <v>3.7601200000000001</v>
      </c>
      <c r="F311" s="5">
        <v>254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53.445599999999999</v>
      </c>
      <c r="E312" s="5">
        <v>3.7633299999999998</v>
      </c>
      <c r="F312" s="5">
        <v>257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53.20908</v>
      </c>
      <c r="E313" s="5">
        <v>3.7607499999999998</v>
      </c>
      <c r="F313" s="5">
        <v>260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53.96275</v>
      </c>
      <c r="E314" s="5">
        <v>3.7506200000000001</v>
      </c>
      <c r="F314" s="5">
        <v>254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54.128</v>
      </c>
      <c r="E315" s="5">
        <v>3.7521200000000001</v>
      </c>
      <c r="F315" s="5">
        <v>256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53.375070000000001</v>
      </c>
      <c r="E316" s="5">
        <v>3.7558699999999998</v>
      </c>
      <c r="F316" s="5">
        <v>253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53.738300000000002</v>
      </c>
      <c r="E317" s="5">
        <v>3.7511299999999999</v>
      </c>
      <c r="F317" s="5">
        <v>253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53.975740000000002</v>
      </c>
      <c r="E318" s="5">
        <v>3.7514799999999999</v>
      </c>
      <c r="F318" s="5">
        <v>254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53.895069999999997</v>
      </c>
      <c r="E319" s="5">
        <v>3.7524700000000002</v>
      </c>
      <c r="F319" s="5">
        <v>253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53.115600000000001</v>
      </c>
      <c r="E320" s="5">
        <v>3.7550300000000001</v>
      </c>
      <c r="F320" s="5">
        <v>252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53.807490000000001</v>
      </c>
      <c r="E321" s="5">
        <v>6.0853900000000003</v>
      </c>
      <c r="F321" s="5">
        <v>393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53.359479999999998</v>
      </c>
      <c r="E322" s="5">
        <v>6.0748100000000003</v>
      </c>
      <c r="F322" s="5">
        <v>397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53.157490000000003</v>
      </c>
      <c r="E323" s="5">
        <v>6.0852700000000004</v>
      </c>
      <c r="F323" s="5">
        <v>399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53.237490000000001</v>
      </c>
      <c r="E324" s="5">
        <v>6.0783899999999997</v>
      </c>
      <c r="F324" s="5">
        <v>394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53.497489999999999</v>
      </c>
      <c r="E325" s="5">
        <v>6.0798300000000003</v>
      </c>
      <c r="F325" s="5">
        <v>397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53.147489999999998</v>
      </c>
      <c r="E326" s="5">
        <v>6.0770299999999997</v>
      </c>
      <c r="F326" s="5">
        <v>404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53.462409999999998</v>
      </c>
      <c r="E327" s="5">
        <v>6.0833700000000004</v>
      </c>
      <c r="F327" s="5">
        <v>391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53.207569999999997</v>
      </c>
      <c r="E328" s="5">
        <v>6.0782999999999996</v>
      </c>
      <c r="F328" s="5">
        <v>406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53.517490000000002</v>
      </c>
      <c r="E329" s="5">
        <v>6.0787100000000001</v>
      </c>
      <c r="F329" s="5">
        <v>375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53.27749</v>
      </c>
      <c r="E330" s="5">
        <v>6.0805699999999998</v>
      </c>
      <c r="F330" s="5">
        <v>398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148.34514999999999</v>
      </c>
      <c r="E331" s="5">
        <v>7.0653100000000002</v>
      </c>
      <c r="F331" s="5">
        <v>135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148.18950000000001</v>
      </c>
      <c r="E332" s="5">
        <v>7.0423999999999998</v>
      </c>
      <c r="F332" s="5">
        <v>134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148.22068999999999</v>
      </c>
      <c r="E333" s="5">
        <v>7.0617099999999997</v>
      </c>
      <c r="F333" s="5">
        <v>133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148.27069</v>
      </c>
      <c r="E334" s="5">
        <v>7.0387899999999997</v>
      </c>
      <c r="F334" s="5">
        <v>134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148.96403000000001</v>
      </c>
      <c r="E335" s="5">
        <v>7.0457900000000002</v>
      </c>
      <c r="F335" s="5">
        <v>129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148.20152999999999</v>
      </c>
      <c r="E336" s="5">
        <v>7.0575299999999999</v>
      </c>
      <c r="F336" s="5">
        <v>135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148.2432</v>
      </c>
      <c r="E337" s="5">
        <v>7.0574000000000003</v>
      </c>
      <c r="F337" s="5">
        <v>134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148.24080000000001</v>
      </c>
      <c r="E338" s="5">
        <v>7.0628799999999998</v>
      </c>
      <c r="F338" s="5">
        <v>134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148.23414</v>
      </c>
      <c r="E339" s="5">
        <v>7.03674</v>
      </c>
      <c r="F339" s="5">
        <v>134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148.54033000000001</v>
      </c>
      <c r="E340" s="5">
        <v>7.0311599999999999</v>
      </c>
      <c r="F340" s="5">
        <v>130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108.1467</v>
      </c>
      <c r="E341" s="5">
        <v>16.808669999999999</v>
      </c>
      <c r="F341" s="5">
        <v>310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108.16913</v>
      </c>
      <c r="E342" s="5">
        <v>16.787590000000002</v>
      </c>
      <c r="F342" s="5">
        <v>307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107.82496</v>
      </c>
      <c r="E343" s="5">
        <v>16.795529999999999</v>
      </c>
      <c r="F343" s="5">
        <v>310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108.232</v>
      </c>
      <c r="E344" s="5">
        <v>16.805289999999999</v>
      </c>
      <c r="F344" s="5">
        <v>309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108.16821</v>
      </c>
      <c r="E345" s="5">
        <v>16.80397</v>
      </c>
      <c r="F345" s="5">
        <v>306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108.05070000000001</v>
      </c>
      <c r="E346" s="5">
        <v>16.806480000000001</v>
      </c>
      <c r="F346" s="5">
        <v>310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107.78586</v>
      </c>
      <c r="E347" s="5">
        <v>16.805489999999999</v>
      </c>
      <c r="F347" s="5">
        <v>303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108.22329999999999</v>
      </c>
      <c r="E348" s="5">
        <v>16.799630000000001</v>
      </c>
      <c r="F348" s="5">
        <v>307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108.0196</v>
      </c>
      <c r="E349" s="5">
        <v>16.809059999999999</v>
      </c>
      <c r="F349" s="5">
        <v>306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108.19247</v>
      </c>
      <c r="E350" s="5">
        <v>16.790369999999999</v>
      </c>
      <c r="F350" s="5">
        <v>308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104.00919</v>
      </c>
      <c r="E351" s="5">
        <v>29.35791</v>
      </c>
      <c r="F351" s="5">
        <v>516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103.79662999999999</v>
      </c>
      <c r="E352" s="5">
        <v>29.37763</v>
      </c>
      <c r="F352" s="5">
        <v>504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103.96747000000001</v>
      </c>
      <c r="E353" s="5">
        <v>29.340509999999998</v>
      </c>
      <c r="F353" s="5">
        <v>520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103.69495999999999</v>
      </c>
      <c r="E354" s="5">
        <v>29.366769999999999</v>
      </c>
      <c r="F354" s="5">
        <v>518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103.97418999999999</v>
      </c>
      <c r="E355" s="5">
        <v>29.357589999999998</v>
      </c>
      <c r="F355" s="5">
        <v>517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103.92919000000001</v>
      </c>
      <c r="E356" s="5">
        <v>29.365500000000001</v>
      </c>
      <c r="F356" s="5">
        <v>508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104.0108</v>
      </c>
      <c r="E357" s="5">
        <v>29.367889999999999</v>
      </c>
      <c r="F357" s="5">
        <v>519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104.0158</v>
      </c>
      <c r="E358" s="5">
        <v>29.336130000000001</v>
      </c>
      <c r="F358" s="5">
        <v>519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103.97418999999999</v>
      </c>
      <c r="E359" s="5">
        <v>29.369199999999999</v>
      </c>
      <c r="F359" s="5">
        <v>518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104.15246999999999</v>
      </c>
      <c r="E360" s="5">
        <v>29.373909999999999</v>
      </c>
      <c r="F360" s="5">
        <v>515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0.54273000000000005</v>
      </c>
      <c r="F361" s="5">
        <v>84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0.54451000000000005</v>
      </c>
      <c r="F362" s="5">
        <v>84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0.54103999999999997</v>
      </c>
      <c r="F363" s="5">
        <v>83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0.54364999999999997</v>
      </c>
      <c r="F364" s="5">
        <v>69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0.54144999999999999</v>
      </c>
      <c r="F365" s="5">
        <v>85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0.54508999999999996</v>
      </c>
      <c r="F366" s="5">
        <v>87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0.54191999999999996</v>
      </c>
      <c r="F367" s="5">
        <v>85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0.54300000000000004</v>
      </c>
      <c r="F368" s="5">
        <v>85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0.54200999999999999</v>
      </c>
      <c r="F369" s="5">
        <v>81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0.54247999999999996</v>
      </c>
      <c r="F370" s="5">
        <v>88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0.87524999999999997</v>
      </c>
      <c r="F371" s="5">
        <v>127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0.87565999999999999</v>
      </c>
      <c r="F372" s="5">
        <v>147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0.87541000000000002</v>
      </c>
      <c r="F373" s="5">
        <v>148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0.87575000000000003</v>
      </c>
      <c r="F374" s="5">
        <v>147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0.87514999999999998</v>
      </c>
      <c r="F375" s="5">
        <v>140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0.87319999999999998</v>
      </c>
      <c r="F376" s="5">
        <v>138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0.87168000000000001</v>
      </c>
      <c r="F377" s="5">
        <v>146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0.87112999999999996</v>
      </c>
      <c r="F378" s="5">
        <v>143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0.87521000000000004</v>
      </c>
      <c r="F379" s="5">
        <v>144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0.87687999999999999</v>
      </c>
      <c r="F380" s="5">
        <v>127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1.15204</v>
      </c>
      <c r="F381" s="5">
        <v>178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1.15063</v>
      </c>
      <c r="F382" s="5">
        <v>188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1.1533599999999999</v>
      </c>
      <c r="F383" s="5">
        <v>186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1.1517999999999999</v>
      </c>
      <c r="F384" s="5">
        <v>180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1.15215</v>
      </c>
      <c r="F385" s="5">
        <v>184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1.14829</v>
      </c>
      <c r="F386" s="5">
        <v>182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1.15137</v>
      </c>
      <c r="F387" s="5">
        <v>168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1.1519299999999999</v>
      </c>
      <c r="F388" s="5">
        <v>190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1.14958</v>
      </c>
      <c r="F389" s="5">
        <v>182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1.1487799999999999</v>
      </c>
      <c r="F390" s="5">
        <v>188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1.1132500000000001</v>
      </c>
      <c r="F391" s="5">
        <v>52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1.12043</v>
      </c>
      <c r="F392" s="5">
        <v>57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1.11016</v>
      </c>
      <c r="F393" s="5">
        <v>54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1.1143700000000001</v>
      </c>
      <c r="F394" s="5">
        <v>54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1.11297</v>
      </c>
      <c r="F395" s="5">
        <v>55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1.1120300000000001</v>
      </c>
      <c r="F396" s="5">
        <v>54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1.1193900000000001</v>
      </c>
      <c r="F397" s="5">
        <v>56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1.1094299999999999</v>
      </c>
      <c r="F398" s="5">
        <v>52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1.1086800000000001</v>
      </c>
      <c r="F399" s="5">
        <v>55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1.11314</v>
      </c>
      <c r="F400" s="5">
        <v>56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2.49925</v>
      </c>
      <c r="F401" s="5">
        <v>124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2.5017900000000002</v>
      </c>
      <c r="F402" s="5">
        <v>124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2.4989499999999998</v>
      </c>
      <c r="F403" s="5">
        <v>126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2.48888</v>
      </c>
      <c r="F404" s="5">
        <v>124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2.4942799999999998</v>
      </c>
      <c r="F405" s="5">
        <v>123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2.4990600000000001</v>
      </c>
      <c r="F406" s="5">
        <v>127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2.4986999999999999</v>
      </c>
      <c r="F407" s="5">
        <v>122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2.49254</v>
      </c>
      <c r="F408" s="5">
        <v>125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2.4948399999999999</v>
      </c>
      <c r="F409" s="5">
        <v>124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2.5000900000000001</v>
      </c>
      <c r="F410" s="5">
        <v>124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2.7357900000000002</v>
      </c>
      <c r="F411" s="5">
        <v>130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2.7311000000000001</v>
      </c>
      <c r="F412" s="5">
        <v>136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2.7220499999999999</v>
      </c>
      <c r="F413" s="5">
        <v>131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2.7367699999999999</v>
      </c>
      <c r="F414" s="5">
        <v>132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2.7273399999999999</v>
      </c>
      <c r="F415" s="5">
        <v>135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2.72248</v>
      </c>
      <c r="F416" s="5">
        <v>132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2.7224400000000002</v>
      </c>
      <c r="F417" s="5">
        <v>133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2.72315</v>
      </c>
      <c r="F418" s="5">
        <v>136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2.7300499999999999</v>
      </c>
      <c r="F419" s="5">
        <v>133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2.7268300000000001</v>
      </c>
      <c r="F420" s="5">
        <v>130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2.9987699999999999</v>
      </c>
      <c r="F421" s="5">
        <v>58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2.9893900000000002</v>
      </c>
      <c r="F422" s="5">
        <v>60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2.9825400000000002</v>
      </c>
      <c r="F423" s="5">
        <v>58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3.0007600000000001</v>
      </c>
      <c r="F424" s="5">
        <v>59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2.9922200000000001</v>
      </c>
      <c r="F425" s="5">
        <v>60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3.0005500000000001</v>
      </c>
      <c r="F426" s="5">
        <v>60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2.9828600000000001</v>
      </c>
      <c r="F427" s="5">
        <v>56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2.9855499999999999</v>
      </c>
      <c r="F428" s="5">
        <v>60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2.9719799999999998</v>
      </c>
      <c r="F429" s="5">
        <v>59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2.9885999999999999</v>
      </c>
      <c r="F430" s="5">
        <v>60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3.77501</v>
      </c>
      <c r="F431" s="5">
        <v>72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3.7690199999999998</v>
      </c>
      <c r="F432" s="5">
        <v>73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3.8020499999999999</v>
      </c>
      <c r="F433" s="5">
        <v>74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3.80985</v>
      </c>
      <c r="F434" s="5">
        <v>73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3.7818200000000002</v>
      </c>
      <c r="F435" s="5">
        <v>73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3.7908599999999999</v>
      </c>
      <c r="F436" s="5">
        <v>72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3.78871</v>
      </c>
      <c r="F437" s="5">
        <v>74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3.8088000000000002</v>
      </c>
      <c r="F438" s="5">
        <v>73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3.8013599999999999</v>
      </c>
      <c r="F439" s="5">
        <v>73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3.7738399999999999</v>
      </c>
      <c r="F440" s="5">
        <v>74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5.4815300000000002</v>
      </c>
      <c r="F441" s="5">
        <v>102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5.4865399999999998</v>
      </c>
      <c r="F442" s="5">
        <v>102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5.51722</v>
      </c>
      <c r="F443" s="5">
        <v>103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5.4984200000000003</v>
      </c>
      <c r="F444" s="5">
        <v>100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5.4759799999999998</v>
      </c>
      <c r="F445" s="5">
        <v>102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5.4842399999999998</v>
      </c>
      <c r="F446" s="5">
        <v>102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5.4959800000000003</v>
      </c>
      <c r="F447" s="5">
        <v>102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5.49702</v>
      </c>
      <c r="F448" s="5">
        <v>102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5.4650400000000001</v>
      </c>
      <c r="F449" s="5">
        <v>100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5.47478</v>
      </c>
      <c r="F450" s="5">
        <v>101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V1"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0.54542999999999997</v>
      </c>
      <c r="F1" s="5">
        <v>55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0.54693999999999998</v>
      </c>
      <c r="F2" s="5">
        <v>50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0.54608999999999996</v>
      </c>
      <c r="F3" s="5">
        <v>72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170.55671000000001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170.37070700000001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1.2132078160944522E-3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1.2132078160944522E-3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0.54576000000000002</v>
      </c>
      <c r="F4" s="5">
        <v>67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0.54654000000000003</v>
      </c>
      <c r="F5" s="5">
        <v>68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0.54801</v>
      </c>
      <c r="F6" s="5">
        <v>60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0.54783000000000004</v>
      </c>
      <c r="F7" s="5">
        <v>72</v>
      </c>
      <c r="H7" s="5" t="s">
        <v>27</v>
      </c>
      <c r="I7" s="5">
        <v>50</v>
      </c>
      <c r="J7" s="5">
        <v>1</v>
      </c>
      <c r="L7" s="5">
        <f t="shared" ca="1" si="11"/>
        <v>181.40834000000001</v>
      </c>
      <c r="M7" s="5">
        <f t="shared" ca="1" si="0"/>
        <v>180.04147</v>
      </c>
      <c r="N7" s="5">
        <f t="shared" ca="1" si="0"/>
        <v>181.5967</v>
      </c>
      <c r="O7" s="5">
        <f t="shared" ca="1" si="0"/>
        <v>182.34269</v>
      </c>
      <c r="P7" s="5">
        <f t="shared" ca="1" si="0"/>
        <v>181.40834000000001</v>
      </c>
      <c r="Q7" s="5">
        <f t="shared" ca="1" si="0"/>
        <v>179.93769</v>
      </c>
      <c r="R7" s="5">
        <f t="shared" ca="1" si="0"/>
        <v>181.9</v>
      </c>
      <c r="S7" s="5">
        <f t="shared" ca="1" si="0"/>
        <v>179.93769</v>
      </c>
      <c r="T7" s="5">
        <f t="shared" ca="1" si="0"/>
        <v>181.92667</v>
      </c>
      <c r="U7" s="5">
        <f t="shared" ca="1" si="0"/>
        <v>181.61</v>
      </c>
      <c r="W7" s="5">
        <f t="shared" ca="1" si="12"/>
        <v>181.210959</v>
      </c>
      <c r="Y7" s="5">
        <f ca="1">Total!E7</f>
        <v>179.67332999999999</v>
      </c>
      <c r="AB7" s="5">
        <f t="shared" ca="1" si="1"/>
        <v>9.6564693268612369E-3</v>
      </c>
      <c r="AC7" s="5">
        <f t="shared" ca="1" si="2"/>
        <v>2.0489407081173984E-3</v>
      </c>
      <c r="AD7" s="5">
        <f t="shared" ca="1" si="3"/>
        <v>1.0704816346421618E-2</v>
      </c>
      <c r="AE7" s="5">
        <f t="shared" ca="1" si="4"/>
        <v>1.4856740285272231E-2</v>
      </c>
      <c r="AF7" s="5">
        <f t="shared" ca="1" si="5"/>
        <v>9.6564693268612369E-3</v>
      </c>
      <c r="AG7" s="5">
        <f t="shared" ca="1" si="6"/>
        <v>1.4713368979136225E-3</v>
      </c>
      <c r="AH7" s="5">
        <f t="shared" ca="1" si="7"/>
        <v>1.2392879900428254E-2</v>
      </c>
      <c r="AI7" s="5">
        <f t="shared" ca="1" si="8"/>
        <v>1.4713368979136225E-3</v>
      </c>
      <c r="AJ7" s="5">
        <f t="shared" ca="1" si="9"/>
        <v>1.254131595379241E-2</v>
      </c>
      <c r="AK7" s="5">
        <f t="shared" ca="1" si="10"/>
        <v>1.0778839575133498E-2</v>
      </c>
      <c r="AM7" s="5">
        <f t="shared" ca="1" si="13"/>
        <v>8.5579145218715139E-2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0.54601</v>
      </c>
      <c r="F8" s="5">
        <v>61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0.54476999999999998</v>
      </c>
      <c r="F9" s="5">
        <v>62</v>
      </c>
      <c r="H9" s="5" t="s">
        <v>27</v>
      </c>
      <c r="I9" s="5">
        <v>100</v>
      </c>
      <c r="J9" s="5">
        <v>0.7</v>
      </c>
      <c r="L9" s="5">
        <f t="shared" ca="1" si="11"/>
        <v>258.12207000000001</v>
      </c>
      <c r="M9" s="5">
        <f t="shared" ca="1" si="0"/>
        <v>256.52256999999997</v>
      </c>
      <c r="N9" s="5">
        <f t="shared" ca="1" si="0"/>
        <v>259.24196999999998</v>
      </c>
      <c r="O9" s="5">
        <f t="shared" ca="1" si="0"/>
        <v>259.29548999999997</v>
      </c>
      <c r="P9" s="5">
        <f t="shared" ca="1" si="0"/>
        <v>257.33724000000001</v>
      </c>
      <c r="Q9" s="5">
        <f t="shared" ca="1" si="0"/>
        <v>257.29640000000001</v>
      </c>
      <c r="R9" s="5">
        <f t="shared" ca="1" si="0"/>
        <v>259.60113000000001</v>
      </c>
      <c r="S9" s="5">
        <f t="shared" ca="1" si="0"/>
        <v>257.36185</v>
      </c>
      <c r="T9" s="5">
        <f t="shared" ca="1" si="0"/>
        <v>259.39479999999998</v>
      </c>
      <c r="U9" s="5">
        <f t="shared" ca="1" si="0"/>
        <v>258.77998000000002</v>
      </c>
      <c r="W9" s="5">
        <f t="shared" ca="1" si="12"/>
        <v>258.29535000000004</v>
      </c>
      <c r="Y9" s="5">
        <f ca="1">Total!E9</f>
        <v>255.18879999999999</v>
      </c>
      <c r="AB9" s="5">
        <f t="shared" ca="1" si="1"/>
        <v>1.1494509163411645E-2</v>
      </c>
      <c r="AC9" s="5">
        <f t="shared" ca="1" si="2"/>
        <v>5.2266008539559221E-3</v>
      </c>
      <c r="AD9" s="5">
        <f t="shared" ca="1" si="3"/>
        <v>1.5883024646849684E-2</v>
      </c>
      <c r="AE9" s="5">
        <f t="shared" ca="1" si="4"/>
        <v>1.6092751719511147E-2</v>
      </c>
      <c r="AF9" s="5">
        <f t="shared" ca="1" si="5"/>
        <v>8.419021524455705E-3</v>
      </c>
      <c r="AG9" s="5">
        <f t="shared" ca="1" si="6"/>
        <v>8.2589831528657193E-3</v>
      </c>
      <c r="AH9" s="5">
        <f t="shared" ca="1" si="7"/>
        <v>1.7290453186033346E-2</v>
      </c>
      <c r="AI9" s="5">
        <f t="shared" ca="1" si="8"/>
        <v>8.5154599261410297E-3</v>
      </c>
      <c r="AJ9" s="5">
        <f t="shared" ca="1" si="9"/>
        <v>1.6481914566783454E-2</v>
      </c>
      <c r="AK9" s="5">
        <f t="shared" ca="1" si="10"/>
        <v>1.4072639551579211E-2</v>
      </c>
      <c r="AM9" s="5">
        <f t="shared" ca="1" si="13"/>
        <v>0.12173535829158685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0.54749000000000003</v>
      </c>
      <c r="F10" s="5">
        <v>56</v>
      </c>
      <c r="H10" s="5" t="s">
        <v>27</v>
      </c>
      <c r="I10" s="5">
        <v>100</v>
      </c>
      <c r="J10" s="5">
        <v>1</v>
      </c>
      <c r="L10" s="5">
        <f t="shared" ca="1" si="11"/>
        <v>242.41712999999999</v>
      </c>
      <c r="M10" s="5">
        <f t="shared" ca="1" si="0"/>
        <v>240.43038000000001</v>
      </c>
      <c r="N10" s="5">
        <f t="shared" ca="1" si="0"/>
        <v>240.55053000000001</v>
      </c>
      <c r="O10" s="5">
        <f t="shared" ca="1" si="0"/>
        <v>239.64667</v>
      </c>
      <c r="P10" s="5">
        <f t="shared" ca="1" si="0"/>
        <v>240.44</v>
      </c>
      <c r="Q10" s="5">
        <f t="shared" ca="1" si="0"/>
        <v>239.81985</v>
      </c>
      <c r="R10" s="5">
        <f t="shared" ca="1" si="0"/>
        <v>241.36</v>
      </c>
      <c r="S10" s="5">
        <f t="shared" ca="1" si="0"/>
        <v>240.05889999999999</v>
      </c>
      <c r="T10" s="5">
        <f t="shared" ca="1" si="0"/>
        <v>239.47896</v>
      </c>
      <c r="U10" s="5">
        <f t="shared" ca="1" si="0"/>
        <v>242.09001000000001</v>
      </c>
      <c r="W10" s="5">
        <f t="shared" ca="1" si="12"/>
        <v>240.629243</v>
      </c>
      <c r="Y10" s="5">
        <f ca="1">Total!E10</f>
        <v>238.77667</v>
      </c>
      <c r="AB10" s="5">
        <f t="shared" ca="1" si="1"/>
        <v>1.5246296884867313E-2</v>
      </c>
      <c r="AC10" s="5">
        <f t="shared" ca="1" si="2"/>
        <v>6.9257603768409113E-3</v>
      </c>
      <c r="AD10" s="5">
        <f t="shared" ca="1" si="3"/>
        <v>7.4289502404067086E-3</v>
      </c>
      <c r="AE10" s="5">
        <f t="shared" ca="1" si="4"/>
        <v>3.6435720457949454E-3</v>
      </c>
      <c r="AF10" s="5">
        <f t="shared" ca="1" si="5"/>
        <v>6.9660490700368758E-3</v>
      </c>
      <c r="AG10" s="5">
        <f t="shared" ca="1" si="6"/>
        <v>4.3688522836004317E-3</v>
      </c>
      <c r="AH10" s="5">
        <f t="shared" ca="1" si="7"/>
        <v>1.0819021808118934E-2</v>
      </c>
      <c r="AI10" s="5">
        <f t="shared" ca="1" si="8"/>
        <v>5.3699969934248538E-3</v>
      </c>
      <c r="AJ10" s="5">
        <f t="shared" ca="1" si="9"/>
        <v>2.9412002437256748E-3</v>
      </c>
      <c r="AK10" s="5">
        <f t="shared" ca="1" si="10"/>
        <v>1.3876313795648507E-2</v>
      </c>
      <c r="AM10" s="5">
        <f t="shared" ca="1" si="13"/>
        <v>7.7586013742465154E-2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1.4556899999999999</v>
      </c>
      <c r="F11" s="5">
        <v>187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1.42483</v>
      </c>
      <c r="F12" s="5">
        <v>203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1.4246099999999999</v>
      </c>
      <c r="F13" s="5">
        <v>193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170.55671000000001</v>
      </c>
      <c r="E14" s="5">
        <v>1.4227399999999999</v>
      </c>
      <c r="F14" s="5">
        <v>170</v>
      </c>
      <c r="H14" s="5" t="s">
        <v>2</v>
      </c>
      <c r="I14" s="5">
        <v>47</v>
      </c>
      <c r="J14" s="5">
        <v>0.4</v>
      </c>
      <c r="L14" s="5">
        <f t="shared" ca="1" si="11"/>
        <v>4348.0289499999999</v>
      </c>
      <c r="M14" s="5">
        <f t="shared" ca="1" si="0"/>
        <v>4348.0289499999999</v>
      </c>
      <c r="N14" s="5">
        <f t="shared" ca="1" si="0"/>
        <v>4348.0289499999999</v>
      </c>
      <c r="O14" s="5">
        <f t="shared" ca="1" si="0"/>
        <v>4348.0289499999999</v>
      </c>
      <c r="P14" s="5">
        <f t="shared" ca="1" si="0"/>
        <v>4348.0289499999999</v>
      </c>
      <c r="Q14" s="5">
        <f t="shared" ca="1" si="0"/>
        <v>4348.0289499999999</v>
      </c>
      <c r="R14" s="5">
        <f t="shared" ca="1" si="0"/>
        <v>4348.0289499999999</v>
      </c>
      <c r="S14" s="5">
        <f t="shared" ca="1" si="0"/>
        <v>4348.0289499999999</v>
      </c>
      <c r="T14" s="5">
        <f t="shared" ca="1" si="0"/>
        <v>4348.0289499999999</v>
      </c>
      <c r="U14" s="5">
        <f t="shared" ca="1" si="0"/>
        <v>4348.0289499999999</v>
      </c>
      <c r="W14" s="5">
        <f t="shared" ca="1" si="12"/>
        <v>4348.0289499999999</v>
      </c>
      <c r="Y14" s="5">
        <f ca="1">Total!E14</f>
        <v>4348.0289499999999</v>
      </c>
      <c r="AB14" s="5">
        <f t="shared" ca="1" si="1"/>
        <v>0</v>
      </c>
      <c r="AC14" s="5">
        <f t="shared" ca="1" si="2"/>
        <v>0</v>
      </c>
      <c r="AD14" s="5">
        <f t="shared" ca="1" si="3"/>
        <v>0</v>
      </c>
      <c r="AE14" s="5">
        <f t="shared" ca="1" si="4"/>
        <v>0</v>
      </c>
      <c r="AF14" s="5">
        <f t="shared" ca="1" si="5"/>
        <v>0</v>
      </c>
      <c r="AG14" s="5">
        <f t="shared" ca="1" si="6"/>
        <v>0</v>
      </c>
      <c r="AH14" s="5">
        <f t="shared" ca="1" si="7"/>
        <v>0</v>
      </c>
      <c r="AI14" s="5">
        <f t="shared" ca="1" si="8"/>
        <v>0</v>
      </c>
      <c r="AJ14" s="5">
        <f t="shared" ca="1" si="9"/>
        <v>0</v>
      </c>
      <c r="AK14" s="5">
        <f t="shared" ca="1" si="10"/>
        <v>0</v>
      </c>
      <c r="AM14" s="5">
        <f t="shared" ca="1" si="13"/>
        <v>0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1.46295</v>
      </c>
      <c r="F15" s="5">
        <v>161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1.4238900000000001</v>
      </c>
      <c r="F16" s="5">
        <v>184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4318.4876800000002</v>
      </c>
      <c r="W16" s="5">
        <f t="shared" ca="1" si="12"/>
        <v>4314.0975610000005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1.1308185626629262E-3</v>
      </c>
      <c r="AM16" s="5">
        <f t="shared" ca="1" si="13"/>
        <v>1.1308185626629262E-3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1.4246700000000001</v>
      </c>
      <c r="F17" s="5">
        <v>174</v>
      </c>
      <c r="H17" s="5" t="s">
        <v>2</v>
      </c>
      <c r="I17" s="5">
        <v>100</v>
      </c>
      <c r="J17" s="5">
        <v>0.4</v>
      </c>
      <c r="L17" s="5">
        <f t="shared" ca="1" si="11"/>
        <v>42986.403050000001</v>
      </c>
      <c r="M17" s="5">
        <f t="shared" ca="1" si="0"/>
        <v>42986.403050000001</v>
      </c>
      <c r="N17" s="5">
        <f t="shared" ca="1" si="0"/>
        <v>42986.403050000001</v>
      </c>
      <c r="O17" s="5">
        <f t="shared" ca="1" si="0"/>
        <v>42986.403050000001</v>
      </c>
      <c r="P17" s="5">
        <f t="shared" ca="1" si="0"/>
        <v>42986.802479999998</v>
      </c>
      <c r="Q17" s="5">
        <f t="shared" ca="1" si="0"/>
        <v>42986.673049999998</v>
      </c>
      <c r="R17" s="5">
        <f t="shared" ca="1" si="0"/>
        <v>42986.836920000002</v>
      </c>
      <c r="S17" s="5">
        <f t="shared" ca="1" si="0"/>
        <v>42986.193919999998</v>
      </c>
      <c r="T17" s="5">
        <f t="shared" ca="1" si="0"/>
        <v>42986.403050000001</v>
      </c>
      <c r="U17" s="5">
        <f t="shared" ca="1" si="0"/>
        <v>42986.403050000001</v>
      </c>
      <c r="W17" s="5">
        <f t="shared" ca="1" si="12"/>
        <v>42986.492466999996</v>
      </c>
      <c r="Y17" s="5">
        <f ca="1">Total!E17</f>
        <v>42986.193919999998</v>
      </c>
      <c r="AB17" s="5">
        <f t="shared" ca="1" si="1"/>
        <v>4.8650504018131747E-6</v>
      </c>
      <c r="AC17" s="5">
        <f t="shared" ca="1" si="2"/>
        <v>4.8650504018131747E-6</v>
      </c>
      <c r="AD17" s="5">
        <f t="shared" ca="1" si="3"/>
        <v>4.8650504018131747E-6</v>
      </c>
      <c r="AE17" s="5">
        <f t="shared" ca="1" si="4"/>
        <v>4.8650504018131747E-6</v>
      </c>
      <c r="AF17" s="5">
        <f t="shared" ca="1" si="5"/>
        <v>1.4157103583842479E-5</v>
      </c>
      <c r="AG17" s="5">
        <f t="shared" ca="1" si="6"/>
        <v>1.1146136847830832E-5</v>
      </c>
      <c r="AH17" s="5">
        <f t="shared" ca="1" si="7"/>
        <v>1.4958291055038052E-5</v>
      </c>
      <c r="AI17" s="5">
        <f t="shared" ca="1" si="8"/>
        <v>0</v>
      </c>
      <c r="AJ17" s="5">
        <f t="shared" ca="1" si="9"/>
        <v>4.8650504018131747E-6</v>
      </c>
      <c r="AK17" s="5">
        <f t="shared" ca="1" si="10"/>
        <v>4.8650504018131747E-6</v>
      </c>
      <c r="AM17" s="5">
        <f t="shared" ca="1" si="13"/>
        <v>6.9451833897590408E-5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1.43492</v>
      </c>
      <c r="F18" s="5">
        <v>178</v>
      </c>
      <c r="H18" s="5" t="s">
        <v>2</v>
      </c>
      <c r="I18" s="5">
        <v>100</v>
      </c>
      <c r="J18" s="5">
        <v>0.7</v>
      </c>
      <c r="L18" s="5">
        <f t="shared" ca="1" si="11"/>
        <v>35643.38149</v>
      </c>
      <c r="M18" s="5">
        <f t="shared" ca="1" si="11"/>
        <v>35646.205289999998</v>
      </c>
      <c r="N18" s="5">
        <f t="shared" ca="1" si="11"/>
        <v>35494.724179999997</v>
      </c>
      <c r="O18" s="5">
        <f t="shared" ca="1" si="11"/>
        <v>35630.5939</v>
      </c>
      <c r="P18" s="5">
        <f t="shared" ca="1" si="11"/>
        <v>35699.543230000003</v>
      </c>
      <c r="Q18" s="5">
        <f t="shared" ca="1" si="11"/>
        <v>35494.227030000002</v>
      </c>
      <c r="R18" s="5">
        <f t="shared" ca="1" si="11"/>
        <v>35684.579760000001</v>
      </c>
      <c r="S18" s="5">
        <f t="shared" ca="1" si="11"/>
        <v>35512.279119999999</v>
      </c>
      <c r="T18" s="5">
        <f t="shared" ca="1" si="11"/>
        <v>35735.046779999997</v>
      </c>
      <c r="U18" s="5">
        <f t="shared" ca="1" si="11"/>
        <v>35514.626850000001</v>
      </c>
      <c r="W18" s="5">
        <f t="shared" ca="1" si="12"/>
        <v>35605.520763</v>
      </c>
      <c r="Y18" s="5">
        <f ca="1">Total!E18</f>
        <v>35336.072039999999</v>
      </c>
      <c r="AB18" s="5">
        <f t="shared" ca="1" si="1"/>
        <v>8.6967631731147185E-3</v>
      </c>
      <c r="AC18" s="5">
        <f t="shared" ca="1" si="2"/>
        <v>8.776675846962614E-3</v>
      </c>
      <c r="AD18" s="5">
        <f t="shared" ca="1" si="3"/>
        <v>4.4898068981862518E-3</v>
      </c>
      <c r="AE18" s="5">
        <f t="shared" ca="1" si="4"/>
        <v>8.3348782984878911E-3</v>
      </c>
      <c r="AF18" s="5">
        <f t="shared" ca="1" si="5"/>
        <v>1.028612318846755E-2</v>
      </c>
      <c r="AG18" s="5">
        <f t="shared" ca="1" si="6"/>
        <v>4.4757377056785829E-3</v>
      </c>
      <c r="AH18" s="5">
        <f t="shared" ca="1" si="7"/>
        <v>9.8626615772543988E-3</v>
      </c>
      <c r="AI18" s="5">
        <f t="shared" ca="1" si="8"/>
        <v>4.9866063155105606E-3</v>
      </c>
      <c r="AJ18" s="5">
        <f t="shared" ca="1" si="9"/>
        <v>1.1290862763364398E-2</v>
      </c>
      <c r="AK18" s="5">
        <f t="shared" ca="1" si="10"/>
        <v>5.0530463543848221E-3</v>
      </c>
      <c r="AM18" s="5">
        <f t="shared" ca="1" si="13"/>
        <v>7.6253162121411783E-2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1.42241</v>
      </c>
      <c r="F19" s="5">
        <v>176</v>
      </c>
      <c r="H19" s="5" t="s">
        <v>2</v>
      </c>
      <c r="I19" s="5">
        <v>100</v>
      </c>
      <c r="J19" s="5">
        <v>1</v>
      </c>
      <c r="L19" s="5">
        <f t="shared" ca="1" si="11"/>
        <v>35398.05773</v>
      </c>
      <c r="M19" s="5">
        <f t="shared" ca="1" si="11"/>
        <v>35351.134769999997</v>
      </c>
      <c r="N19" s="5">
        <f t="shared" ca="1" si="11"/>
        <v>35233.843330000003</v>
      </c>
      <c r="O19" s="5">
        <f t="shared" ca="1" si="11"/>
        <v>35274.53</v>
      </c>
      <c r="P19" s="5">
        <f t="shared" ca="1" si="11"/>
        <v>35272.534059999998</v>
      </c>
      <c r="Q19" s="5">
        <f t="shared" ca="1" si="11"/>
        <v>35267.403330000001</v>
      </c>
      <c r="R19" s="5">
        <f t="shared" ca="1" si="11"/>
        <v>35264.771430000001</v>
      </c>
      <c r="S19" s="5">
        <f t="shared" ca="1" si="11"/>
        <v>35247.541740000001</v>
      </c>
      <c r="T19" s="5">
        <f t="shared" ca="1" si="11"/>
        <v>35301.673329999998</v>
      </c>
      <c r="U19" s="5">
        <f t="shared" ca="1" si="11"/>
        <v>35235.153330000001</v>
      </c>
      <c r="W19" s="5">
        <f t="shared" ca="1" si="12"/>
        <v>35284.664304999998</v>
      </c>
      <c r="Y19" s="5">
        <f ca="1">Total!E19</f>
        <v>35203.853329999998</v>
      </c>
      <c r="AB19" s="5">
        <f t="shared" ca="1" si="1"/>
        <v>5.5165665581984845E-3</v>
      </c>
      <c r="AC19" s="5">
        <f t="shared" ca="1" si="2"/>
        <v>4.1836738330712402E-3</v>
      </c>
      <c r="AD19" s="5">
        <f t="shared" ca="1" si="3"/>
        <v>8.5189537971538986E-4</v>
      </c>
      <c r="AE19" s="5">
        <f t="shared" ca="1" si="4"/>
        <v>2.0076401676111843E-3</v>
      </c>
      <c r="AF19" s="5">
        <f t="shared" ca="1" si="5"/>
        <v>1.9509435332600859E-3</v>
      </c>
      <c r="AG19" s="5">
        <f t="shared" ca="1" si="6"/>
        <v>1.8052001127344464E-3</v>
      </c>
      <c r="AH19" s="5">
        <f t="shared" ca="1" si="7"/>
        <v>1.7304384105046094E-3</v>
      </c>
      <c r="AI19" s="5">
        <f t="shared" ca="1" si="8"/>
        <v>1.2410121582563268E-3</v>
      </c>
      <c r="AJ19" s="5">
        <f t="shared" ca="1" si="9"/>
        <v>2.7786730924889841E-3</v>
      </c>
      <c r="AK19" s="5">
        <f t="shared" ca="1" si="10"/>
        <v>8.8910721524139793E-4</v>
      </c>
      <c r="AM19" s="5">
        <f t="shared" ca="1" si="13"/>
        <v>2.2955150461082149E-2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1.42544</v>
      </c>
      <c r="F20" s="5">
        <v>196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1.7729600000000001</v>
      </c>
      <c r="F21" s="5">
        <v>275</v>
      </c>
      <c r="H21" s="5" t="s">
        <v>1</v>
      </c>
      <c r="I21" s="5">
        <v>30</v>
      </c>
      <c r="J21" s="5">
        <v>0.7</v>
      </c>
      <c r="L21" s="5">
        <f t="shared" ca="1" si="11"/>
        <v>675.36989000000005</v>
      </c>
      <c r="M21" s="5">
        <f t="shared" ca="1" si="11"/>
        <v>675.36581000000001</v>
      </c>
      <c r="N21" s="5">
        <f t="shared" ca="1" si="11"/>
        <v>675.36989000000005</v>
      </c>
      <c r="O21" s="5">
        <f t="shared" ca="1" si="11"/>
        <v>675.36989000000005</v>
      </c>
      <c r="P21" s="5">
        <f t="shared" ca="1" si="11"/>
        <v>675.36989000000005</v>
      </c>
      <c r="Q21" s="5">
        <f t="shared" ca="1" si="11"/>
        <v>677.41029000000003</v>
      </c>
      <c r="R21" s="5">
        <f t="shared" ca="1" si="11"/>
        <v>675.38611000000003</v>
      </c>
      <c r="S21" s="5">
        <f t="shared" ca="1" si="11"/>
        <v>675.36989000000005</v>
      </c>
      <c r="T21" s="5">
        <f t="shared" ca="1" si="11"/>
        <v>675.36989000000005</v>
      </c>
      <c r="U21" s="5">
        <f t="shared" ca="1" si="11"/>
        <v>675.36989000000005</v>
      </c>
      <c r="W21" s="5">
        <f t="shared" ca="1" si="12"/>
        <v>675.57514400000002</v>
      </c>
      <c r="Y21" s="5">
        <f ca="1">Total!E21</f>
        <v>675.36581000000001</v>
      </c>
      <c r="AB21" s="5">
        <f t="shared" ca="1" si="1"/>
        <v>6.0411704881010963E-6</v>
      </c>
      <c r="AC21" s="5">
        <f t="shared" ca="1" si="2"/>
        <v>0</v>
      </c>
      <c r="AD21" s="5">
        <f t="shared" ca="1" si="3"/>
        <v>6.0411704881010963E-6</v>
      </c>
      <c r="AE21" s="5">
        <f t="shared" ca="1" si="4"/>
        <v>6.0411704881010963E-6</v>
      </c>
      <c r="AF21" s="5">
        <f t="shared" ca="1" si="5"/>
        <v>6.0411704881010963E-6</v>
      </c>
      <c r="AG21" s="5">
        <f t="shared" ca="1" si="6"/>
        <v>3.0272186861221495E-3</v>
      </c>
      <c r="AH21" s="5">
        <f t="shared" ca="1" si="7"/>
        <v>3.0057784536087472E-5</v>
      </c>
      <c r="AI21" s="5">
        <f t="shared" ca="1" si="8"/>
        <v>6.0411704881010963E-6</v>
      </c>
      <c r="AJ21" s="5">
        <f t="shared" ca="1" si="9"/>
        <v>6.0411704881010963E-6</v>
      </c>
      <c r="AK21" s="5">
        <f t="shared" ca="1" si="10"/>
        <v>6.0411704881010963E-6</v>
      </c>
      <c r="AM21" s="5">
        <f t="shared" ca="1" si="13"/>
        <v>3.0995646640749447E-3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1.7724599999999999</v>
      </c>
      <c r="F22" s="5">
        <v>298</v>
      </c>
      <c r="H22" s="5" t="s">
        <v>1</v>
      </c>
      <c r="I22" s="5">
        <v>30</v>
      </c>
      <c r="J22" s="5">
        <v>1</v>
      </c>
      <c r="L22" s="5">
        <f t="shared" ca="1" si="11"/>
        <v>657.95457999999996</v>
      </c>
      <c r="M22" s="5">
        <f t="shared" ca="1" si="11"/>
        <v>659.84542999999996</v>
      </c>
      <c r="N22" s="5">
        <f t="shared" ca="1" si="11"/>
        <v>657.95457999999996</v>
      </c>
      <c r="O22" s="5">
        <f t="shared" ca="1" si="11"/>
        <v>659.84542999999996</v>
      </c>
      <c r="P22" s="5">
        <f t="shared" ca="1" si="11"/>
        <v>657.65890999999999</v>
      </c>
      <c r="Q22" s="5">
        <f t="shared" ca="1" si="11"/>
        <v>657.35562000000004</v>
      </c>
      <c r="R22" s="5">
        <f t="shared" ca="1" si="11"/>
        <v>655.43295999999998</v>
      </c>
      <c r="S22" s="5">
        <f t="shared" ca="1" si="11"/>
        <v>657.32380999999998</v>
      </c>
      <c r="T22" s="5">
        <f t="shared" ca="1" si="11"/>
        <v>657.32380999999998</v>
      </c>
      <c r="U22" s="5">
        <f t="shared" ca="1" si="11"/>
        <v>659.84542999999996</v>
      </c>
      <c r="W22" s="5">
        <f t="shared" ca="1" si="12"/>
        <v>658.05405600000006</v>
      </c>
      <c r="Y22" s="5">
        <f ca="1">Total!E22</f>
        <v>655.43295999999998</v>
      </c>
      <c r="AB22" s="5">
        <f t="shared" ca="1" si="1"/>
        <v>3.847258459507414E-3</v>
      </c>
      <c r="AC22" s="5">
        <f t="shared" ca="1" si="2"/>
        <v>6.7321454203340412E-3</v>
      </c>
      <c r="AD22" s="5">
        <f t="shared" ca="1" si="3"/>
        <v>3.847258459507414E-3</v>
      </c>
      <c r="AE22" s="5">
        <f t="shared" ca="1" si="4"/>
        <v>6.7321454203340412E-3</v>
      </c>
      <c r="AF22" s="5">
        <f t="shared" ca="1" si="5"/>
        <v>3.3961520641256912E-3</v>
      </c>
      <c r="AG22" s="5">
        <f t="shared" ca="1" si="6"/>
        <v>2.9334197657683624E-3</v>
      </c>
      <c r="AH22" s="5">
        <f t="shared" ca="1" si="7"/>
        <v>0</v>
      </c>
      <c r="AI22" s="5">
        <f t="shared" ca="1" si="8"/>
        <v>2.8848869608266272E-3</v>
      </c>
      <c r="AJ22" s="5">
        <f t="shared" ca="1" si="9"/>
        <v>2.8848869608266272E-3</v>
      </c>
      <c r="AK22" s="5">
        <f t="shared" ca="1" si="10"/>
        <v>6.7321454203340412E-3</v>
      </c>
      <c r="AM22" s="5">
        <f t="shared" ca="1" si="13"/>
        <v>3.9990298931564257E-2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1.7711600000000001</v>
      </c>
      <c r="F23" s="5">
        <v>299</v>
      </c>
      <c r="H23" s="5" t="s">
        <v>1</v>
      </c>
      <c r="I23" s="5">
        <v>50</v>
      </c>
      <c r="J23" s="5">
        <v>0.4</v>
      </c>
      <c r="L23" s="5">
        <f t="shared" ca="1" si="11"/>
        <v>1460.0209400000001</v>
      </c>
      <c r="M23" s="5">
        <f t="shared" ca="1" si="11"/>
        <v>1459.9687899999999</v>
      </c>
      <c r="N23" s="5">
        <f t="shared" ca="1" si="11"/>
        <v>1459.9687899999999</v>
      </c>
      <c r="O23" s="5">
        <f t="shared" ca="1" si="11"/>
        <v>1459.9687899999999</v>
      </c>
      <c r="P23" s="5">
        <f t="shared" ca="1" si="11"/>
        <v>1459.9687899999999</v>
      </c>
      <c r="Q23" s="5">
        <f t="shared" ca="1" si="11"/>
        <v>1483.36385</v>
      </c>
      <c r="R23" s="5">
        <f t="shared" ca="1" si="11"/>
        <v>1467.0878600000001</v>
      </c>
      <c r="S23" s="5">
        <f t="shared" ca="1" si="11"/>
        <v>1459.9687899999999</v>
      </c>
      <c r="T23" s="5">
        <f t="shared" ca="1" si="11"/>
        <v>1459.9687899999999</v>
      </c>
      <c r="U23" s="5">
        <f t="shared" ca="1" si="11"/>
        <v>1459.9687899999999</v>
      </c>
      <c r="W23" s="5">
        <f t="shared" ca="1" si="12"/>
        <v>1463.0254179999997</v>
      </c>
      <c r="Y23" s="5">
        <f ca="1">Total!E23</f>
        <v>1459.9687899999999</v>
      </c>
      <c r="AB23" s="5">
        <f t="shared" ca="1" si="1"/>
        <v>3.5719941657253266E-5</v>
      </c>
      <c r="AC23" s="5">
        <f t="shared" ca="1" si="2"/>
        <v>0</v>
      </c>
      <c r="AD23" s="5">
        <f t="shared" ca="1" si="3"/>
        <v>0</v>
      </c>
      <c r="AE23" s="5">
        <f t="shared" ca="1" si="4"/>
        <v>0</v>
      </c>
      <c r="AF23" s="5">
        <f t="shared" ca="1" si="5"/>
        <v>0</v>
      </c>
      <c r="AG23" s="5">
        <f t="shared" ca="1" si="6"/>
        <v>1.6024356246683916E-2</v>
      </c>
      <c r="AH23" s="5">
        <f t="shared" ca="1" si="7"/>
        <v>4.8761795791540125E-3</v>
      </c>
      <c r="AI23" s="5">
        <f t="shared" ca="1" si="8"/>
        <v>0</v>
      </c>
      <c r="AJ23" s="5">
        <f t="shared" ca="1" si="9"/>
        <v>0</v>
      </c>
      <c r="AK23" s="5">
        <f t="shared" ca="1" si="10"/>
        <v>0</v>
      </c>
      <c r="AM23" s="5">
        <f t="shared" ca="1" si="13"/>
        <v>2.0936255767495179E-2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1.7701499999999999</v>
      </c>
      <c r="F24" s="5">
        <v>288</v>
      </c>
      <c r="H24" s="5" t="s">
        <v>1</v>
      </c>
      <c r="I24" s="5">
        <v>50</v>
      </c>
      <c r="J24" s="5">
        <v>0.7</v>
      </c>
      <c r="L24" s="5">
        <f t="shared" ca="1" si="11"/>
        <v>1031.6802700000001</v>
      </c>
      <c r="M24" s="5">
        <f t="shared" ca="1" si="11"/>
        <v>1027.9162100000001</v>
      </c>
      <c r="N24" s="5">
        <f t="shared" ca="1" si="11"/>
        <v>1024.6933300000001</v>
      </c>
      <c r="O24" s="5">
        <f t="shared" ca="1" si="11"/>
        <v>1016.20559</v>
      </c>
      <c r="P24" s="5">
        <f t="shared" ca="1" si="11"/>
        <v>1007.52126</v>
      </c>
      <c r="Q24" s="5">
        <f t="shared" ca="1" si="11"/>
        <v>1022.22928</v>
      </c>
      <c r="R24" s="5">
        <f t="shared" ca="1" si="11"/>
        <v>1010.1912600000001</v>
      </c>
      <c r="S24" s="5">
        <f t="shared" ca="1" si="11"/>
        <v>1010.97419</v>
      </c>
      <c r="T24" s="5">
        <f t="shared" ca="1" si="11"/>
        <v>1015.84737</v>
      </c>
      <c r="U24" s="5">
        <f t="shared" ca="1" si="11"/>
        <v>1028.64274</v>
      </c>
      <c r="W24" s="5">
        <f t="shared" ca="1" si="12"/>
        <v>1019.5901499999998</v>
      </c>
      <c r="Y24" s="5">
        <f ca="1">Total!E24</f>
        <v>1005.95063</v>
      </c>
      <c r="AB24" s="5">
        <f t="shared" ca="1" si="1"/>
        <v>2.5577438129344397E-2</v>
      </c>
      <c r="AC24" s="5">
        <f t="shared" ca="1" si="2"/>
        <v>2.1835644160787537E-2</v>
      </c>
      <c r="AD24" s="5">
        <f t="shared" ca="1" si="3"/>
        <v>1.8631828880111157E-2</v>
      </c>
      <c r="AE24" s="5">
        <f t="shared" ca="1" si="4"/>
        <v>1.0194297507423384E-2</v>
      </c>
      <c r="AF24" s="5">
        <f t="shared" ca="1" si="5"/>
        <v>1.5613390490146989E-3</v>
      </c>
      <c r="AG24" s="5">
        <f t="shared" ca="1" si="6"/>
        <v>1.6182354794091604E-2</v>
      </c>
      <c r="AH24" s="5">
        <f t="shared" ca="1" si="7"/>
        <v>4.2155448523353576E-3</v>
      </c>
      <c r="AI24" s="5">
        <f t="shared" ca="1" si="8"/>
        <v>4.9938434851419843E-3</v>
      </c>
      <c r="AJ24" s="5">
        <f t="shared" ca="1" si="9"/>
        <v>9.8381965325673171E-3</v>
      </c>
      <c r="AK24" s="5">
        <f t="shared" ca="1" si="10"/>
        <v>2.2557876423816105E-2</v>
      </c>
      <c r="AM24" s="5">
        <f t="shared" ca="1" si="13"/>
        <v>0.13558836381463354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1.7735099999999999</v>
      </c>
      <c r="F25" s="5">
        <v>303</v>
      </c>
      <c r="H25" s="5" t="s">
        <v>1</v>
      </c>
      <c r="I25" s="5">
        <v>50</v>
      </c>
      <c r="J25" s="5">
        <v>1</v>
      </c>
      <c r="L25" s="5">
        <f t="shared" ca="1" si="11"/>
        <v>998.05282</v>
      </c>
      <c r="M25" s="5">
        <f t="shared" ca="1" si="11"/>
        <v>1002.23729</v>
      </c>
      <c r="N25" s="5">
        <f t="shared" ca="1" si="11"/>
        <v>1006.46803</v>
      </c>
      <c r="O25" s="5">
        <f t="shared" ca="1" si="11"/>
        <v>998.36676999999997</v>
      </c>
      <c r="P25" s="5">
        <f t="shared" ca="1" si="11"/>
        <v>993.06426999999996</v>
      </c>
      <c r="Q25" s="5">
        <f t="shared" ca="1" si="11"/>
        <v>994.99098000000004</v>
      </c>
      <c r="R25" s="5">
        <f t="shared" ca="1" si="11"/>
        <v>1001.1477599999999</v>
      </c>
      <c r="S25" s="5">
        <f t="shared" ca="1" si="11"/>
        <v>1004.98744</v>
      </c>
      <c r="T25" s="5">
        <f t="shared" ca="1" si="11"/>
        <v>1008.78417</v>
      </c>
      <c r="U25" s="5">
        <f t="shared" ca="1" si="11"/>
        <v>1002.40166</v>
      </c>
      <c r="W25" s="5">
        <f t="shared" ca="1" si="12"/>
        <v>1001.0501189999999</v>
      </c>
      <c r="Y25" s="5">
        <f ca="1">Total!E25</f>
        <v>990.69820000000004</v>
      </c>
      <c r="AB25" s="5">
        <f t="shared" ca="1" si="1"/>
        <v>7.4236735264078951E-3</v>
      </c>
      <c r="AC25" s="5">
        <f t="shared" ca="1" si="2"/>
        <v>1.1647432083756674E-2</v>
      </c>
      <c r="AD25" s="5">
        <f t="shared" ca="1" si="3"/>
        <v>1.5917895076421815E-2</v>
      </c>
      <c r="AE25" s="5">
        <f t="shared" ca="1" si="4"/>
        <v>7.740571245612368E-3</v>
      </c>
      <c r="AF25" s="5">
        <f t="shared" ca="1" si="5"/>
        <v>2.3882853526936078E-3</v>
      </c>
      <c r="AG25" s="5">
        <f t="shared" ca="1" si="6"/>
        <v>4.333085494654167E-3</v>
      </c>
      <c r="AH25" s="5">
        <f t="shared" ca="1" si="7"/>
        <v>1.0547672338558712E-2</v>
      </c>
      <c r="AI25" s="5">
        <f t="shared" ca="1" si="8"/>
        <v>1.442340361575296E-2</v>
      </c>
      <c r="AJ25" s="5">
        <f t="shared" ca="1" si="9"/>
        <v>1.8255781629561832E-2</v>
      </c>
      <c r="AK25" s="5">
        <f t="shared" ca="1" si="10"/>
        <v>1.1813345376018599E-2</v>
      </c>
      <c r="AM25" s="5">
        <f t="shared" ca="1" si="13"/>
        <v>0.10449114573943862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1.7721800000000001</v>
      </c>
      <c r="F26" s="5">
        <v>287</v>
      </c>
      <c r="H26" s="5" t="s">
        <v>1</v>
      </c>
      <c r="I26" s="5">
        <v>100</v>
      </c>
      <c r="J26" s="5">
        <v>0.4</v>
      </c>
      <c r="L26" s="5">
        <f t="shared" ca="1" si="11"/>
        <v>1807.5869</v>
      </c>
      <c r="M26" s="5">
        <f t="shared" ca="1" si="11"/>
        <v>1820.54636</v>
      </c>
      <c r="N26" s="5">
        <f t="shared" ca="1" si="11"/>
        <v>1838.18632</v>
      </c>
      <c r="O26" s="5">
        <f t="shared" ca="1" si="11"/>
        <v>1819.5206599999999</v>
      </c>
      <c r="P26" s="5">
        <f t="shared" ca="1" si="11"/>
        <v>1840.24703</v>
      </c>
      <c r="Q26" s="5">
        <f t="shared" ca="1" si="11"/>
        <v>1840.6964700000001</v>
      </c>
      <c r="R26" s="5">
        <f t="shared" ca="1" si="11"/>
        <v>1839.595</v>
      </c>
      <c r="S26" s="5">
        <f t="shared" ca="1" si="11"/>
        <v>1795.7893200000001</v>
      </c>
      <c r="T26" s="5">
        <f t="shared" ca="1" si="11"/>
        <v>1817.06366</v>
      </c>
      <c r="U26" s="5">
        <f t="shared" ca="1" si="11"/>
        <v>1802.04258</v>
      </c>
      <c r="W26" s="5">
        <f t="shared" ca="1" si="12"/>
        <v>1822.12743</v>
      </c>
      <c r="Y26" s="5">
        <f ca="1">Total!E26</f>
        <v>1786.3248599999999</v>
      </c>
      <c r="AB26" s="5">
        <f t="shared" ca="1" si="1"/>
        <v>1.1902672619133829E-2</v>
      </c>
      <c r="AC26" s="5">
        <f t="shared" ca="1" si="2"/>
        <v>1.9157489640490199E-2</v>
      </c>
      <c r="AD26" s="5">
        <f t="shared" ca="1" si="3"/>
        <v>2.9032490764305929E-2</v>
      </c>
      <c r="AE26" s="5">
        <f t="shared" ca="1" si="4"/>
        <v>1.8583293970392354E-2</v>
      </c>
      <c r="AF26" s="5">
        <f t="shared" ca="1" si="5"/>
        <v>3.0186093922468307E-2</v>
      </c>
      <c r="AG26" s="5">
        <f t="shared" ca="1" si="6"/>
        <v>3.0437694294866473E-2</v>
      </c>
      <c r="AH26" s="5">
        <f t="shared" ca="1" si="7"/>
        <v>2.9821081927953512E-2</v>
      </c>
      <c r="AI26" s="5">
        <f t="shared" ca="1" si="8"/>
        <v>5.2982860015731654E-3</v>
      </c>
      <c r="AJ26" s="5">
        <f t="shared" ca="1" si="9"/>
        <v>1.7207844266355944E-2</v>
      </c>
      <c r="AK26" s="5">
        <f t="shared" ca="1" si="10"/>
        <v>8.7989146610208957E-3</v>
      </c>
      <c r="AM26" s="5">
        <f t="shared" ca="1" si="13"/>
        <v>0.20042586206856061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1.77132</v>
      </c>
      <c r="F27" s="5">
        <v>297</v>
      </c>
      <c r="H27" s="5" t="s">
        <v>1</v>
      </c>
      <c r="I27" s="5">
        <v>100</v>
      </c>
      <c r="J27" s="5">
        <v>0.7</v>
      </c>
      <c r="L27" s="5">
        <f t="shared" ca="1" si="11"/>
        <v>1776.10572</v>
      </c>
      <c r="M27" s="5">
        <f t="shared" ca="1" si="11"/>
        <v>1770.36187</v>
      </c>
      <c r="N27" s="5">
        <f t="shared" ca="1" si="11"/>
        <v>1766.6107199999999</v>
      </c>
      <c r="O27" s="5">
        <f t="shared" ca="1" si="11"/>
        <v>1763.52</v>
      </c>
      <c r="P27" s="5">
        <f t="shared" ca="1" si="11"/>
        <v>1786.77756</v>
      </c>
      <c r="Q27" s="5">
        <f t="shared" ca="1" si="11"/>
        <v>1762.46</v>
      </c>
      <c r="R27" s="5">
        <f t="shared" ca="1" si="11"/>
        <v>1781.81</v>
      </c>
      <c r="S27" s="5">
        <f t="shared" ca="1" si="11"/>
        <v>1779.4404500000001</v>
      </c>
      <c r="T27" s="5">
        <f t="shared" ca="1" si="11"/>
        <v>1772.64768</v>
      </c>
      <c r="U27" s="5">
        <f t="shared" ca="1" si="11"/>
        <v>1762.88024</v>
      </c>
      <c r="W27" s="5">
        <f t="shared" ca="1" si="12"/>
        <v>1772.2614239999998</v>
      </c>
      <c r="Y27" s="5">
        <f ca="1">Total!E27</f>
        <v>1761.02206</v>
      </c>
      <c r="AB27" s="5">
        <f t="shared" ca="1" si="1"/>
        <v>8.5652873649975786E-3</v>
      </c>
      <c r="AC27" s="5">
        <f t="shared" ca="1" si="2"/>
        <v>5.3036303247671656E-3</v>
      </c>
      <c r="AD27" s="5">
        <f t="shared" ca="1" si="3"/>
        <v>3.1735320794334006E-3</v>
      </c>
      <c r="AE27" s="5">
        <f t="shared" ca="1" si="4"/>
        <v>1.418460368406726E-3</v>
      </c>
      <c r="AF27" s="5">
        <f t="shared" ca="1" si="5"/>
        <v>1.4625313665860598E-2</v>
      </c>
      <c r="AG27" s="5">
        <f t="shared" ca="1" si="6"/>
        <v>8.1653718750123209E-4</v>
      </c>
      <c r="AH27" s="5">
        <f t="shared" ca="1" si="7"/>
        <v>1.1804474499314299E-2</v>
      </c>
      <c r="AI27" s="5">
        <f t="shared" ca="1" si="8"/>
        <v>1.0458920656564657E-2</v>
      </c>
      <c r="AJ27" s="5">
        <f t="shared" ca="1" si="9"/>
        <v>6.6016322362253809E-3</v>
      </c>
      <c r="AK27" s="5">
        <f t="shared" ca="1" si="10"/>
        <v>1.0551713361273553E-3</v>
      </c>
      <c r="AM27" s="5">
        <f t="shared" ca="1" si="13"/>
        <v>6.3822959719198394E-2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1.77014</v>
      </c>
      <c r="F28" s="5">
        <v>277</v>
      </c>
      <c r="H28" s="5" t="s">
        <v>1</v>
      </c>
      <c r="I28" s="5">
        <v>100</v>
      </c>
      <c r="J28" s="5">
        <v>1</v>
      </c>
      <c r="L28" s="5">
        <f t="shared" ca="1" si="11"/>
        <v>1759.9561699999999</v>
      </c>
      <c r="M28" s="5">
        <f t="shared" ca="1" si="11"/>
        <v>1756.86185</v>
      </c>
      <c r="N28" s="5">
        <f t="shared" ca="1" si="11"/>
        <v>1756.74667</v>
      </c>
      <c r="O28" s="5">
        <f t="shared" ca="1" si="11"/>
        <v>1755.73846</v>
      </c>
      <c r="P28" s="5">
        <f t="shared" ca="1" si="11"/>
        <v>1757.12691</v>
      </c>
      <c r="Q28" s="5">
        <f t="shared" ca="1" si="11"/>
        <v>1757.50667</v>
      </c>
      <c r="R28" s="5">
        <f t="shared" ca="1" si="11"/>
        <v>1757.665</v>
      </c>
      <c r="S28" s="5">
        <f t="shared" ca="1" si="11"/>
        <v>1759.73341</v>
      </c>
      <c r="T28" s="5">
        <f t="shared" ca="1" si="11"/>
        <v>1757.15</v>
      </c>
      <c r="U28" s="5">
        <f t="shared" ca="1" si="11"/>
        <v>1758.16</v>
      </c>
      <c r="W28" s="5">
        <f t="shared" ca="1" si="12"/>
        <v>1757.6645140000001</v>
      </c>
      <c r="Y28" s="5">
        <f ca="1">Total!E28</f>
        <v>1753.1198199999999</v>
      </c>
      <c r="AB28" s="5">
        <f t="shared" ca="1" si="1"/>
        <v>3.8995338036849295E-3</v>
      </c>
      <c r="AC28" s="5">
        <f t="shared" ca="1" si="2"/>
        <v>2.134497572447794E-3</v>
      </c>
      <c r="AD28" s="5">
        <f t="shared" ca="1" si="3"/>
        <v>2.0687975565755138E-3</v>
      </c>
      <c r="AE28" s="5">
        <f t="shared" ca="1" si="4"/>
        <v>1.4937028092011084E-3</v>
      </c>
      <c r="AF28" s="5">
        <f t="shared" ca="1" si="5"/>
        <v>2.2856908890574647E-3</v>
      </c>
      <c r="AG28" s="5">
        <f t="shared" ca="1" si="6"/>
        <v>2.5023104239390182E-3</v>
      </c>
      <c r="AH28" s="5">
        <f t="shared" ca="1" si="7"/>
        <v>2.5926237032675116E-3</v>
      </c>
      <c r="AI28" s="5">
        <f t="shared" ca="1" si="8"/>
        <v>3.7724689006140831E-3</v>
      </c>
      <c r="AJ28" s="5">
        <f t="shared" ca="1" si="9"/>
        <v>2.2988616944620479E-3</v>
      </c>
      <c r="AK28" s="5">
        <f t="shared" ca="1" si="10"/>
        <v>2.8749774787214439E-3</v>
      </c>
      <c r="AM28" s="5">
        <f t="shared" ca="1" si="13"/>
        <v>2.5923464831970916E-2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1.77183</v>
      </c>
      <c r="F29" s="5">
        <v>294</v>
      </c>
      <c r="H29" s="5" t="s">
        <v>0</v>
      </c>
      <c r="I29" s="5">
        <v>25</v>
      </c>
      <c r="J29" s="5">
        <v>0.4</v>
      </c>
      <c r="L29" s="5">
        <f t="shared" ca="1" si="11"/>
        <v>41.319229999999997</v>
      </c>
      <c r="M29" s="5">
        <f t="shared" ca="1" si="11"/>
        <v>42.424349999999997</v>
      </c>
      <c r="N29" s="5">
        <f t="shared" ca="1" si="11"/>
        <v>41.318849999999998</v>
      </c>
      <c r="O29" s="5">
        <f t="shared" ca="1" si="11"/>
        <v>42.424349999999997</v>
      </c>
      <c r="P29" s="5">
        <f t="shared" ca="1" si="11"/>
        <v>42.424349999999997</v>
      </c>
      <c r="Q29" s="5">
        <f t="shared" ca="1" si="11"/>
        <v>42.424349999999997</v>
      </c>
      <c r="R29" s="5">
        <f t="shared" ca="1" si="11"/>
        <v>41.318849999999998</v>
      </c>
      <c r="S29" s="5">
        <f t="shared" ca="1" si="11"/>
        <v>41.318849999999998</v>
      </c>
      <c r="T29" s="5">
        <f t="shared" ca="1" si="11"/>
        <v>42.424349999999997</v>
      </c>
      <c r="U29" s="5">
        <f t="shared" ca="1" si="11"/>
        <v>42.424349999999997</v>
      </c>
      <c r="W29" s="5">
        <f t="shared" ca="1" si="12"/>
        <v>41.982187999999994</v>
      </c>
      <c r="Y29" s="5">
        <f ca="1">Total!E29</f>
        <v>40.897550000000003</v>
      </c>
      <c r="AB29" s="5">
        <f t="shared" ca="1" si="1"/>
        <v>1.0310642080026675E-2</v>
      </c>
      <c r="AC29" s="5">
        <f t="shared" ca="1" si="2"/>
        <v>3.7332309637129711E-2</v>
      </c>
      <c r="AD29" s="5">
        <f t="shared" ca="1" si="3"/>
        <v>1.0301350569899543E-2</v>
      </c>
      <c r="AE29" s="5">
        <f t="shared" ca="1" si="4"/>
        <v>3.7332309637129711E-2</v>
      </c>
      <c r="AF29" s="5">
        <f t="shared" ca="1" si="5"/>
        <v>3.7332309637129711E-2</v>
      </c>
      <c r="AG29" s="5">
        <f t="shared" ca="1" si="6"/>
        <v>3.7332309637129711E-2</v>
      </c>
      <c r="AH29" s="5">
        <f t="shared" ca="1" si="7"/>
        <v>1.0301350569899543E-2</v>
      </c>
      <c r="AI29" s="5">
        <f t="shared" ca="1" si="8"/>
        <v>1.0301350569899543E-2</v>
      </c>
      <c r="AJ29" s="5">
        <f t="shared" ca="1" si="9"/>
        <v>3.7332309637129711E-2</v>
      </c>
      <c r="AK29" s="5">
        <f t="shared" ca="1" si="10"/>
        <v>3.7332309637129711E-2</v>
      </c>
      <c r="AM29" s="5">
        <f t="shared" ca="1" si="13"/>
        <v>0.26520855161250356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1.7705599999999999</v>
      </c>
      <c r="F30" s="5">
        <v>300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1"/>
        <v>28.65436</v>
      </c>
      <c r="N30" s="5">
        <f t="shared" ca="1" si="11"/>
        <v>28.65436</v>
      </c>
      <c r="O30" s="5">
        <f t="shared" ca="1" si="11"/>
        <v>28.65436</v>
      </c>
      <c r="P30" s="5">
        <f t="shared" ca="1" si="11"/>
        <v>28.65436</v>
      </c>
      <c r="Q30" s="5">
        <f t="shared" ca="1" si="11"/>
        <v>28.65436</v>
      </c>
      <c r="R30" s="5">
        <f t="shared" ca="1" si="11"/>
        <v>28.65436</v>
      </c>
      <c r="S30" s="5">
        <f t="shared" ca="1" si="11"/>
        <v>28.65436</v>
      </c>
      <c r="T30" s="5">
        <f t="shared" ca="1" si="11"/>
        <v>28.65436</v>
      </c>
      <c r="U30" s="5">
        <f t="shared" ca="1" si="11"/>
        <v>28.65436</v>
      </c>
      <c r="W30" s="5">
        <f t="shared" ca="1" si="12"/>
        <v>28.654360000000004</v>
      </c>
      <c r="Y30" s="5">
        <f ca="1">Total!E30</f>
        <v>28.65436</v>
      </c>
      <c r="AB30" s="5">
        <f t="shared" ca="1" si="1"/>
        <v>0</v>
      </c>
      <c r="AC30" s="5">
        <f t="shared" ca="1" si="2"/>
        <v>0</v>
      </c>
      <c r="AD30" s="5">
        <f t="shared" ca="1" si="3"/>
        <v>0</v>
      </c>
      <c r="AE30" s="5">
        <f t="shared" ca="1" si="4"/>
        <v>0</v>
      </c>
      <c r="AF30" s="5">
        <f t="shared" ca="1" si="5"/>
        <v>0</v>
      </c>
      <c r="AG30" s="5">
        <f t="shared" ca="1" si="6"/>
        <v>0</v>
      </c>
      <c r="AH30" s="5">
        <f t="shared" ca="1" si="7"/>
        <v>0</v>
      </c>
      <c r="AI30" s="5">
        <f t="shared" ca="1" si="8"/>
        <v>0</v>
      </c>
      <c r="AJ30" s="5">
        <f t="shared" ca="1" si="9"/>
        <v>0</v>
      </c>
      <c r="AK30" s="5">
        <f t="shared" ca="1" si="10"/>
        <v>0</v>
      </c>
      <c r="AM30" s="5">
        <f t="shared" ca="1" si="13"/>
        <v>0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1.2102200000000001</v>
      </c>
      <c r="F31" s="5">
        <v>58</v>
      </c>
      <c r="H31" s="5" t="s">
        <v>0</v>
      </c>
      <c r="I31" s="5">
        <v>25</v>
      </c>
      <c r="J31" s="5">
        <v>1</v>
      </c>
      <c r="L31" s="5">
        <f t="shared" ca="1" si="11"/>
        <v>28.592030000000001</v>
      </c>
      <c r="M31" s="5">
        <f t="shared" ca="1" si="11"/>
        <v>28.546240000000001</v>
      </c>
      <c r="N31" s="5">
        <f t="shared" ca="1" si="11"/>
        <v>28.592030000000001</v>
      </c>
      <c r="O31" s="5">
        <f t="shared" ca="1" si="11"/>
        <v>28.602029999999999</v>
      </c>
      <c r="P31" s="5">
        <f t="shared" ca="1" si="11"/>
        <v>28.60624</v>
      </c>
      <c r="Q31" s="5">
        <f t="shared" ca="1" si="11"/>
        <v>28.592030000000001</v>
      </c>
      <c r="R31" s="5">
        <f t="shared" ca="1" si="11"/>
        <v>28.60624</v>
      </c>
      <c r="S31" s="5">
        <f t="shared" ca="1" si="11"/>
        <v>28.504100000000001</v>
      </c>
      <c r="T31" s="5">
        <f t="shared" ca="1" si="11"/>
        <v>28.592030000000001</v>
      </c>
      <c r="U31" s="5">
        <f t="shared" ca="1" si="11"/>
        <v>28.592030000000001</v>
      </c>
      <c r="W31" s="5">
        <f t="shared" ca="1" si="12"/>
        <v>28.582500000000003</v>
      </c>
      <c r="Y31" s="5">
        <f ca="1">Total!E31</f>
        <v>28.504100000000001</v>
      </c>
      <c r="AB31" s="5">
        <f t="shared" ca="1" si="1"/>
        <v>3.0848193768615766E-3</v>
      </c>
      <c r="AC31" s="5">
        <f t="shared" ca="1" si="2"/>
        <v>1.4783838114516804E-3</v>
      </c>
      <c r="AD31" s="5">
        <f t="shared" ca="1" si="3"/>
        <v>3.0848193768615766E-3</v>
      </c>
      <c r="AE31" s="5">
        <f t="shared" ca="1" si="4"/>
        <v>3.4356461000346642E-3</v>
      </c>
      <c r="AF31" s="5">
        <f t="shared" ca="1" si="5"/>
        <v>3.5833441504905805E-3</v>
      </c>
      <c r="AG31" s="5">
        <f t="shared" ca="1" si="6"/>
        <v>3.0848193768615766E-3</v>
      </c>
      <c r="AH31" s="5">
        <f t="shared" ca="1" si="7"/>
        <v>3.5833441504905805E-3</v>
      </c>
      <c r="AI31" s="5">
        <f t="shared" ca="1" si="8"/>
        <v>0</v>
      </c>
      <c r="AJ31" s="5">
        <f t="shared" ca="1" si="9"/>
        <v>3.0848193768615766E-3</v>
      </c>
      <c r="AK31" s="5">
        <f t="shared" ca="1" si="10"/>
        <v>3.0848193768615766E-3</v>
      </c>
      <c r="AM31" s="5">
        <f t="shared" ca="1" si="13"/>
        <v>2.7504815096775388E-2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1.2086300000000001</v>
      </c>
      <c r="F32" s="5">
        <v>62</v>
      </c>
      <c r="H32" s="5" t="s">
        <v>0</v>
      </c>
      <c r="I32" s="5">
        <v>50</v>
      </c>
      <c r="J32" s="5">
        <v>0.4</v>
      </c>
      <c r="L32" s="5">
        <f t="shared" ca="1" si="11"/>
        <v>59.204349999999998</v>
      </c>
      <c r="M32" s="5">
        <f t="shared" ca="1" si="11"/>
        <v>56.901339999999998</v>
      </c>
      <c r="N32" s="5">
        <f t="shared" ca="1" si="11"/>
        <v>59.099510000000002</v>
      </c>
      <c r="O32" s="5">
        <f t="shared" ca="1" si="11"/>
        <v>59.800939999999997</v>
      </c>
      <c r="P32" s="5">
        <f t="shared" ca="1" si="11"/>
        <v>59.072330000000001</v>
      </c>
      <c r="Q32" s="5">
        <f t="shared" ca="1" si="11"/>
        <v>56.861339999999998</v>
      </c>
      <c r="R32" s="5">
        <f t="shared" ca="1" si="11"/>
        <v>56.901339999999998</v>
      </c>
      <c r="S32" s="5">
        <f t="shared" ca="1" si="11"/>
        <v>59.540909999999997</v>
      </c>
      <c r="T32" s="5">
        <f t="shared" ca="1" si="11"/>
        <v>59.001019999999997</v>
      </c>
      <c r="U32" s="5">
        <f t="shared" ca="1" si="11"/>
        <v>56.901339999999998</v>
      </c>
      <c r="W32" s="5">
        <f t="shared" ca="1" si="12"/>
        <v>58.328441999999995</v>
      </c>
      <c r="Y32" s="5">
        <f ca="1">Total!E32</f>
        <v>56.511339999999997</v>
      </c>
      <c r="AB32" s="5">
        <f t="shared" ca="1" si="1"/>
        <v>4.765432920189118E-2</v>
      </c>
      <c r="AC32" s="5">
        <f t="shared" ca="1" si="2"/>
        <v>6.901269727456482E-3</v>
      </c>
      <c r="AD32" s="5">
        <f t="shared" ca="1" si="3"/>
        <v>4.5799126334643725E-2</v>
      </c>
      <c r="AE32" s="5">
        <f t="shared" ca="1" si="4"/>
        <v>5.8211325372925157E-2</v>
      </c>
      <c r="AF32" s="5">
        <f t="shared" ca="1" si="5"/>
        <v>4.5318160921330196E-2</v>
      </c>
      <c r="AG32" s="5">
        <f t="shared" ca="1" si="6"/>
        <v>6.1934471913071155E-3</v>
      </c>
      <c r="AH32" s="5">
        <f t="shared" ca="1" si="7"/>
        <v>6.901269727456482E-3</v>
      </c>
      <c r="AI32" s="5">
        <f t="shared" ca="1" si="8"/>
        <v>5.3609948021052053E-2</v>
      </c>
      <c r="AJ32" s="5">
        <f t="shared" ca="1" si="9"/>
        <v>4.4056290295009813E-2</v>
      </c>
      <c r="AK32" s="5">
        <f t="shared" ca="1" si="10"/>
        <v>6.901269727456482E-3</v>
      </c>
      <c r="AM32" s="5">
        <f t="shared" ca="1" si="13"/>
        <v>0.32154643652052867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1.20411</v>
      </c>
      <c r="F33" s="5">
        <v>62</v>
      </c>
      <c r="H33" s="5" t="s">
        <v>0</v>
      </c>
      <c r="I33" s="5">
        <v>50</v>
      </c>
      <c r="J33" s="5">
        <v>0.7</v>
      </c>
      <c r="L33" s="5">
        <f t="shared" ca="1" si="11"/>
        <v>53.952939999999998</v>
      </c>
      <c r="M33" s="5">
        <f t="shared" ca="1" si="11"/>
        <v>53.632750000000001</v>
      </c>
      <c r="N33" s="5">
        <f t="shared" ca="1" si="11"/>
        <v>53.845599999999997</v>
      </c>
      <c r="O33" s="5">
        <f t="shared" ca="1" si="11"/>
        <v>53.695599999999999</v>
      </c>
      <c r="P33" s="5">
        <f t="shared" ca="1" si="11"/>
        <v>53.545830000000002</v>
      </c>
      <c r="Q33" s="5">
        <f t="shared" ca="1" si="11"/>
        <v>53.59507</v>
      </c>
      <c r="R33" s="5">
        <f t="shared" ca="1" si="11"/>
        <v>53.639159999999997</v>
      </c>
      <c r="S33" s="5">
        <f t="shared" ca="1" si="11"/>
        <v>53.637059999999998</v>
      </c>
      <c r="T33" s="5">
        <f t="shared" ca="1" si="11"/>
        <v>53.608400000000003</v>
      </c>
      <c r="U33" s="5">
        <f t="shared" ca="1" si="11"/>
        <v>53.472749999999998</v>
      </c>
      <c r="W33" s="5">
        <f t="shared" ca="1" si="12"/>
        <v>53.662516000000004</v>
      </c>
      <c r="Y33" s="5">
        <f ca="1">Total!E33</f>
        <v>53.115070000000003</v>
      </c>
      <c r="AB33" s="5">
        <f t="shared" ca="1" si="1"/>
        <v>1.5774619142928648E-2</v>
      </c>
      <c r="AC33" s="5">
        <f t="shared" ca="1" si="2"/>
        <v>9.7463864775100273E-3</v>
      </c>
      <c r="AD33" s="5">
        <f t="shared" ca="1" si="3"/>
        <v>1.3753723754858923E-2</v>
      </c>
      <c r="AE33" s="5">
        <f t="shared" ca="1" si="4"/>
        <v>1.0929666476952699E-2</v>
      </c>
      <c r="AF33" s="5">
        <f t="shared" ca="1" si="5"/>
        <v>8.1099394202059673E-3</v>
      </c>
      <c r="AG33" s="5">
        <f t="shared" ca="1" si="6"/>
        <v>9.0369832892999453E-3</v>
      </c>
      <c r="AH33" s="5">
        <f t="shared" ca="1" si="7"/>
        <v>9.8670678585191345E-3</v>
      </c>
      <c r="AI33" s="5">
        <f t="shared" ca="1" si="8"/>
        <v>9.8275310566284715E-3</v>
      </c>
      <c r="AJ33" s="5">
        <f t="shared" ca="1" si="9"/>
        <v>9.287947846063278E-3</v>
      </c>
      <c r="AK33" s="5">
        <f t="shared" ca="1" si="10"/>
        <v>6.7340587144099568E-3</v>
      </c>
      <c r="AM33" s="5">
        <f t="shared" ca="1" si="13"/>
        <v>0.10306792403737705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1.2113700000000001</v>
      </c>
      <c r="F34" s="5">
        <v>60</v>
      </c>
      <c r="H34" s="5" t="s">
        <v>0</v>
      </c>
      <c r="I34" s="5">
        <v>50</v>
      </c>
      <c r="J34" s="5">
        <v>1</v>
      </c>
      <c r="L34" s="5">
        <f t="shared" ca="1" si="11"/>
        <v>53.217489999999998</v>
      </c>
      <c r="M34" s="5">
        <f t="shared" ca="1" si="11"/>
        <v>53.217489999999998</v>
      </c>
      <c r="N34" s="5">
        <f t="shared" ca="1" si="11"/>
        <v>53.467489999999998</v>
      </c>
      <c r="O34" s="5">
        <f t="shared" ca="1" si="11"/>
        <v>53.537489999999998</v>
      </c>
      <c r="P34" s="5">
        <f t="shared" ca="1" si="11"/>
        <v>53.662889999999997</v>
      </c>
      <c r="Q34" s="5">
        <f t="shared" ca="1" si="11"/>
        <v>53.417569999999998</v>
      </c>
      <c r="R34" s="5">
        <f t="shared" ca="1" si="11"/>
        <v>53.118510000000001</v>
      </c>
      <c r="S34" s="5">
        <f t="shared" ca="1" si="11"/>
        <v>53.357489999999999</v>
      </c>
      <c r="T34" s="5">
        <f t="shared" ca="1" si="11"/>
        <v>53.407490000000003</v>
      </c>
      <c r="U34" s="5">
        <f t="shared" ca="1" si="11"/>
        <v>53.247489999999999</v>
      </c>
      <c r="W34" s="5">
        <f t="shared" ca="1" si="12"/>
        <v>53.365139999999997</v>
      </c>
      <c r="Y34" s="5">
        <f ca="1">Total!E34</f>
        <v>53.003740000000001</v>
      </c>
      <c r="AB34" s="5">
        <f t="shared" ca="1" si="1"/>
        <v>4.0327342938441223E-3</v>
      </c>
      <c r="AC34" s="5">
        <f t="shared" ca="1" si="2"/>
        <v>4.0327342938441223E-3</v>
      </c>
      <c r="AD34" s="5">
        <f t="shared" ca="1" si="3"/>
        <v>8.7493825907378874E-3</v>
      </c>
      <c r="AE34" s="5">
        <f t="shared" ca="1" si="4"/>
        <v>1.0070044113868148E-2</v>
      </c>
      <c r="AF34" s="5">
        <f t="shared" ca="1" si="5"/>
        <v>1.2435914899590044E-2</v>
      </c>
      <c r="AG34" s="5">
        <f t="shared" ca="1" si="6"/>
        <v>7.8075622588141373E-3</v>
      </c>
      <c r="AH34" s="5">
        <f t="shared" ca="1" si="7"/>
        <v>2.1653189001379909E-3</v>
      </c>
      <c r="AI34" s="5">
        <f t="shared" ca="1" si="8"/>
        <v>6.6740573401046421E-3</v>
      </c>
      <c r="AJ34" s="5">
        <f t="shared" ca="1" si="9"/>
        <v>7.6173869994834754E-3</v>
      </c>
      <c r="AK34" s="5">
        <f t="shared" ca="1" si="10"/>
        <v>4.598732089471395E-3</v>
      </c>
      <c r="AM34" s="5">
        <f t="shared" ca="1" si="13"/>
        <v>6.8183867779895976E-2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1.20322</v>
      </c>
      <c r="F35" s="5">
        <v>62</v>
      </c>
      <c r="H35" s="5" t="s">
        <v>0</v>
      </c>
      <c r="I35" s="5">
        <v>100</v>
      </c>
      <c r="J35" s="5">
        <v>0.4</v>
      </c>
      <c r="L35" s="5">
        <f t="shared" ca="1" si="11"/>
        <v>148.17320000000001</v>
      </c>
      <c r="M35" s="5">
        <f t="shared" ca="1" si="11"/>
        <v>148.12653</v>
      </c>
      <c r="N35" s="5">
        <f t="shared" ca="1" si="11"/>
        <v>148.14283</v>
      </c>
      <c r="O35" s="5">
        <f t="shared" ca="1" si="11"/>
        <v>148.17986999999999</v>
      </c>
      <c r="P35" s="5">
        <f t="shared" ca="1" si="11"/>
        <v>148.10830000000001</v>
      </c>
      <c r="Q35" s="5">
        <f t="shared" ca="1" si="11"/>
        <v>148.22146000000001</v>
      </c>
      <c r="R35" s="5">
        <f t="shared" ca="1" si="11"/>
        <v>148.12450000000001</v>
      </c>
      <c r="S35" s="5">
        <f t="shared" ca="1" si="11"/>
        <v>148.22163</v>
      </c>
      <c r="T35" s="5">
        <f t="shared" ca="1" si="11"/>
        <v>148.14653000000001</v>
      </c>
      <c r="U35" s="5">
        <f t="shared" ca="1" si="11"/>
        <v>148.16479000000001</v>
      </c>
      <c r="W35" s="5">
        <f t="shared" ca="1" si="12"/>
        <v>148.16096399999998</v>
      </c>
      <c r="Y35" s="5">
        <f ca="1">Total!E35</f>
        <v>147.96312</v>
      </c>
      <c r="AB35" s="5">
        <f t="shared" ca="1" si="1"/>
        <v>1.4198132615749447E-3</v>
      </c>
      <c r="AC35" s="5">
        <f t="shared" ca="1" si="2"/>
        <v>1.1043968253710717E-3</v>
      </c>
      <c r="AD35" s="5">
        <f t="shared" ca="1" si="3"/>
        <v>1.2145594118318135E-3</v>
      </c>
      <c r="AE35" s="5">
        <f t="shared" ca="1" si="4"/>
        <v>1.4648920622922148E-3</v>
      </c>
      <c r="AF35" s="5">
        <f t="shared" ca="1" si="5"/>
        <v>9.8119044799819394E-4</v>
      </c>
      <c r="AG35" s="5">
        <f t="shared" ca="1" si="6"/>
        <v>1.7459756187893577E-3</v>
      </c>
      <c r="AH35" s="5">
        <f t="shared" ca="1" si="7"/>
        <v>1.090677190370197E-3</v>
      </c>
      <c r="AI35" s="5">
        <f t="shared" ca="1" si="8"/>
        <v>1.7471245537401558E-3</v>
      </c>
      <c r="AJ35" s="5">
        <f t="shared" ca="1" si="9"/>
        <v>1.2395656431143732E-3</v>
      </c>
      <c r="AK35" s="5">
        <f t="shared" ca="1" si="10"/>
        <v>1.3629747737139303E-3</v>
      </c>
      <c r="AM35" s="5">
        <f t="shared" ca="1" si="13"/>
        <v>1.3371169788796254E-2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1.2084299999999999</v>
      </c>
      <c r="F36" s="5">
        <v>63</v>
      </c>
      <c r="H36" s="5" t="s">
        <v>0</v>
      </c>
      <c r="I36" s="5">
        <v>100</v>
      </c>
      <c r="J36" s="5">
        <v>0.7</v>
      </c>
      <c r="L36" s="5">
        <f t="shared" ca="1" si="11"/>
        <v>108.78503000000001</v>
      </c>
      <c r="M36" s="5">
        <f t="shared" ca="1" si="11"/>
        <v>108.72812</v>
      </c>
      <c r="N36" s="5">
        <f t="shared" ca="1" si="11"/>
        <v>108.08647000000001</v>
      </c>
      <c r="O36" s="5">
        <f t="shared" ca="1" si="11"/>
        <v>107.91678</v>
      </c>
      <c r="P36" s="5">
        <f t="shared" ca="1" si="11"/>
        <v>117.35223999999999</v>
      </c>
      <c r="Q36" s="5">
        <f t="shared" ca="1" si="11"/>
        <v>107.98981000000001</v>
      </c>
      <c r="R36" s="5">
        <f t="shared" ca="1" si="11"/>
        <v>118.15487</v>
      </c>
      <c r="S36" s="5">
        <f t="shared" ca="1" si="11"/>
        <v>108.4358</v>
      </c>
      <c r="T36" s="5">
        <f t="shared" ca="1" si="11"/>
        <v>109.43455</v>
      </c>
      <c r="U36" s="5">
        <f t="shared" ca="1" si="11"/>
        <v>107.88912999999999</v>
      </c>
      <c r="W36" s="5">
        <f t="shared" ca="1" si="12"/>
        <v>110.27727999999999</v>
      </c>
      <c r="Y36" s="5">
        <f ca="1">Total!E36</f>
        <v>107.28163000000001</v>
      </c>
      <c r="AB36" s="5">
        <f t="shared" ca="1" si="1"/>
        <v>1.4013582754102442E-2</v>
      </c>
      <c r="AC36" s="5">
        <f t="shared" ca="1" si="2"/>
        <v>1.3483109829707072E-2</v>
      </c>
      <c r="AD36" s="5">
        <f t="shared" ca="1" si="3"/>
        <v>7.5021231500677103E-3</v>
      </c>
      <c r="AE36" s="5">
        <f t="shared" ca="1" si="4"/>
        <v>5.9203984876068328E-3</v>
      </c>
      <c r="AF36" s="5">
        <f t="shared" ca="1" si="5"/>
        <v>9.3870777317607748E-2</v>
      </c>
      <c r="AG36" s="5">
        <f t="shared" ca="1" si="6"/>
        <v>6.6011301282428193E-3</v>
      </c>
      <c r="AH36" s="5">
        <f t="shared" ca="1" si="7"/>
        <v>0.1013523004823845</v>
      </c>
      <c r="AI36" s="5">
        <f t="shared" ca="1" si="8"/>
        <v>1.0758319015100659E-2</v>
      </c>
      <c r="AJ36" s="5">
        <f t="shared" ca="1" si="9"/>
        <v>2.0067927752402667E-2</v>
      </c>
      <c r="AK36" s="5">
        <f t="shared" ca="1" si="10"/>
        <v>5.6626656399607969E-3</v>
      </c>
      <c r="AM36" s="5">
        <f t="shared" ca="1" si="13"/>
        <v>0.27923233455718327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1.2022299999999999</v>
      </c>
      <c r="F37" s="5">
        <v>59</v>
      </c>
      <c r="H37" s="5" t="s">
        <v>0</v>
      </c>
      <c r="I37" s="5">
        <v>100</v>
      </c>
      <c r="J37" s="5">
        <v>1</v>
      </c>
      <c r="L37" s="5">
        <f t="shared" ca="1" si="11"/>
        <v>103.90752999999999</v>
      </c>
      <c r="M37" s="5">
        <f t="shared" ca="1" si="11"/>
        <v>104.15663000000001</v>
      </c>
      <c r="N37" s="5">
        <f t="shared" ca="1" si="11"/>
        <v>104.10663</v>
      </c>
      <c r="O37" s="5">
        <f t="shared" ca="1" si="11"/>
        <v>104.17829</v>
      </c>
      <c r="P37" s="5">
        <f t="shared" ca="1" si="11"/>
        <v>104.06274999999999</v>
      </c>
      <c r="Q37" s="5">
        <f t="shared" ca="1" si="11"/>
        <v>103.98502999999999</v>
      </c>
      <c r="R37" s="5">
        <f t="shared" ca="1" si="11"/>
        <v>103.82525</v>
      </c>
      <c r="S37" s="5">
        <f t="shared" ca="1" si="11"/>
        <v>104.06502999999999</v>
      </c>
      <c r="T37" s="5">
        <f t="shared" ca="1" si="11"/>
        <v>104.09329</v>
      </c>
      <c r="U37" s="5">
        <f t="shared" ca="1" si="11"/>
        <v>104.0767</v>
      </c>
      <c r="W37" s="5">
        <f t="shared" ca="1" si="12"/>
        <v>104.04571300000001</v>
      </c>
      <c r="Y37" s="5">
        <f ca="1">Total!E37</f>
        <v>103.21266</v>
      </c>
      <c r="AB37" s="5">
        <f t="shared" ca="1" si="1"/>
        <v>6.7324105395597262E-3</v>
      </c>
      <c r="AC37" s="5">
        <f t="shared" ca="1" si="2"/>
        <v>9.145874159235963E-3</v>
      </c>
      <c r="AD37" s="5">
        <f t="shared" ca="1" si="3"/>
        <v>8.6614374631948828E-3</v>
      </c>
      <c r="AE37" s="5">
        <f t="shared" ca="1" si="4"/>
        <v>9.3557321359608835E-3</v>
      </c>
      <c r="AF37" s="5">
        <f t="shared" ca="1" si="5"/>
        <v>8.2362958187493125E-3</v>
      </c>
      <c r="AG37" s="5">
        <f t="shared" ca="1" si="6"/>
        <v>7.4832874184232352E-3</v>
      </c>
      <c r="AH37" s="5">
        <f t="shared" ca="1" si="7"/>
        <v>5.9352215125547322E-3</v>
      </c>
      <c r="AI37" s="5">
        <f t="shared" ca="1" si="8"/>
        <v>8.2583861320887717E-3</v>
      </c>
      <c r="AJ37" s="5">
        <f t="shared" ca="1" si="9"/>
        <v>8.5321897526911567E-3</v>
      </c>
      <c r="AK37" s="5">
        <f t="shared" ca="1" si="10"/>
        <v>8.3714536569448241E-3</v>
      </c>
      <c r="AM37" s="5">
        <f t="shared" ca="1" si="13"/>
        <v>8.0712288589403478E-2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1.21157</v>
      </c>
      <c r="F38" s="5">
        <v>64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1.20367</v>
      </c>
      <c r="F39" s="5">
        <v>63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1.2289300000000001</v>
      </c>
      <c r="F40" s="5">
        <v>60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2.89846</v>
      </c>
      <c r="F41" s="5">
        <v>182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2.9000900000000001</v>
      </c>
      <c r="F42" s="5">
        <v>182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2.9125800000000002</v>
      </c>
      <c r="F43" s="5">
        <v>189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2.8891800000000001</v>
      </c>
      <c r="F44" s="5">
        <v>190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2.90117</v>
      </c>
      <c r="F45" s="5">
        <v>186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2.8910800000000001</v>
      </c>
      <c r="F46" s="5">
        <v>185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2.8893399999999998</v>
      </c>
      <c r="F47" s="5">
        <v>189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2.8988200000000002</v>
      </c>
      <c r="F48" s="5">
        <v>187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2.8986700000000001</v>
      </c>
      <c r="F49" s="5">
        <v>182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2.8935399999999998</v>
      </c>
      <c r="F50" s="5">
        <v>190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181.40834000000001</v>
      </c>
      <c r="E51" s="5">
        <v>4.5966199999999997</v>
      </c>
      <c r="F51" s="5">
        <v>289</v>
      </c>
    </row>
    <row r="52" spans="1:6" x14ac:dyDescent="0.25">
      <c r="A52" s="5" t="s">
        <v>27</v>
      </c>
      <c r="B52" s="5">
        <v>50</v>
      </c>
      <c r="C52" s="5">
        <v>1</v>
      </c>
      <c r="D52" s="5">
        <v>180.04147</v>
      </c>
      <c r="E52" s="5">
        <v>4.5987900000000002</v>
      </c>
      <c r="F52" s="5">
        <v>291</v>
      </c>
    </row>
    <row r="53" spans="1:6" x14ac:dyDescent="0.25">
      <c r="A53" s="5" t="s">
        <v>27</v>
      </c>
      <c r="B53" s="5">
        <v>50</v>
      </c>
      <c r="C53" s="5">
        <v>1</v>
      </c>
      <c r="D53" s="5">
        <v>181.5967</v>
      </c>
      <c r="E53" s="5">
        <v>4.5983299999999998</v>
      </c>
      <c r="F53" s="5">
        <v>292</v>
      </c>
    </row>
    <row r="54" spans="1:6" x14ac:dyDescent="0.25">
      <c r="A54" s="5" t="s">
        <v>27</v>
      </c>
      <c r="B54" s="5">
        <v>50</v>
      </c>
      <c r="C54" s="5">
        <v>1</v>
      </c>
      <c r="D54" s="5">
        <v>182.34269</v>
      </c>
      <c r="E54" s="5">
        <v>4.6017900000000003</v>
      </c>
      <c r="F54" s="5">
        <v>292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181.40834000000001</v>
      </c>
      <c r="E55" s="5">
        <v>4.5915100000000004</v>
      </c>
      <c r="F55" s="5">
        <v>290</v>
      </c>
    </row>
    <row r="56" spans="1:6" x14ac:dyDescent="0.25">
      <c r="A56" s="5" t="s">
        <v>27</v>
      </c>
      <c r="B56" s="5">
        <v>50</v>
      </c>
      <c r="C56" s="5">
        <v>1</v>
      </c>
      <c r="D56" s="5">
        <v>179.93769</v>
      </c>
      <c r="E56" s="5">
        <v>4.5960799999999997</v>
      </c>
      <c r="F56" s="5">
        <v>291</v>
      </c>
    </row>
    <row r="57" spans="1:6" x14ac:dyDescent="0.25">
      <c r="A57" s="5" t="s">
        <v>27</v>
      </c>
      <c r="B57" s="5">
        <v>50</v>
      </c>
      <c r="C57" s="5">
        <v>1</v>
      </c>
      <c r="D57" s="5">
        <v>181.9</v>
      </c>
      <c r="E57" s="5">
        <v>4.6000800000000002</v>
      </c>
      <c r="F57" s="5">
        <v>286</v>
      </c>
    </row>
    <row r="58" spans="1:6" x14ac:dyDescent="0.25">
      <c r="A58" s="5" t="s">
        <v>27</v>
      </c>
      <c r="B58" s="5">
        <v>50</v>
      </c>
      <c r="C58" s="5">
        <v>1</v>
      </c>
      <c r="D58" s="5">
        <v>179.93769</v>
      </c>
      <c r="E58" s="5">
        <v>4.5934200000000001</v>
      </c>
      <c r="F58" s="5">
        <v>289</v>
      </c>
    </row>
    <row r="59" spans="1:6" x14ac:dyDescent="0.25">
      <c r="A59" s="5" t="s">
        <v>27</v>
      </c>
      <c r="B59" s="5">
        <v>50</v>
      </c>
      <c r="C59" s="5">
        <v>1</v>
      </c>
      <c r="D59" s="5">
        <v>181.92667</v>
      </c>
      <c r="E59" s="5">
        <v>4.5945900000000002</v>
      </c>
      <c r="F59" s="5">
        <v>293</v>
      </c>
    </row>
    <row r="60" spans="1:6" x14ac:dyDescent="0.25">
      <c r="A60" s="5" t="s">
        <v>27</v>
      </c>
      <c r="B60" s="5">
        <v>50</v>
      </c>
      <c r="C60" s="5">
        <v>1</v>
      </c>
      <c r="D60" s="5">
        <v>181.61</v>
      </c>
      <c r="E60" s="5">
        <v>4.5913000000000004</v>
      </c>
      <c r="F60" s="5">
        <v>284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5.59246</v>
      </c>
      <c r="F61" s="5">
        <v>99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5.6231099999999996</v>
      </c>
      <c r="F62" s="5">
        <v>99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5.6304600000000002</v>
      </c>
      <c r="F63" s="5">
        <v>101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5.6263800000000002</v>
      </c>
      <c r="F64" s="5">
        <v>100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5.5968299999999997</v>
      </c>
      <c r="F65" s="5">
        <v>99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5.6352500000000001</v>
      </c>
      <c r="F66" s="5">
        <v>100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5.6333399999999996</v>
      </c>
      <c r="F67" s="5">
        <v>99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5.61897</v>
      </c>
      <c r="F68" s="5">
        <v>99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5.6345900000000002</v>
      </c>
      <c r="F69" s="5">
        <v>100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5.60107</v>
      </c>
      <c r="F70" s="5">
        <v>100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258.12207000000001</v>
      </c>
      <c r="E71" s="5">
        <v>11.688560000000001</v>
      </c>
      <c r="F71" s="5">
        <v>196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256.52256999999997</v>
      </c>
      <c r="E72" s="5">
        <v>11.66577</v>
      </c>
      <c r="F72" s="5">
        <v>198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259.24196999999998</v>
      </c>
      <c r="E73" s="5">
        <v>11.65081</v>
      </c>
      <c r="F73" s="5">
        <v>201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259.29548999999997</v>
      </c>
      <c r="E74" s="5">
        <v>11.651059999999999</v>
      </c>
      <c r="F74" s="5">
        <v>199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257.33724000000001</v>
      </c>
      <c r="E75" s="5">
        <v>11.69303</v>
      </c>
      <c r="F75" s="5">
        <v>199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257.29640000000001</v>
      </c>
      <c r="E76" s="5">
        <v>11.6739</v>
      </c>
      <c r="F76" s="5">
        <v>197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259.60113000000001</v>
      </c>
      <c r="E77" s="5">
        <v>11.662409999999999</v>
      </c>
      <c r="F77" s="5">
        <v>201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257.36185</v>
      </c>
      <c r="E78" s="5">
        <v>11.651730000000001</v>
      </c>
      <c r="F78" s="5">
        <v>198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259.39479999999998</v>
      </c>
      <c r="E79" s="5">
        <v>11.67005</v>
      </c>
      <c r="F79" s="5">
        <v>202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258.77998000000002</v>
      </c>
      <c r="E80" s="5">
        <v>11.66493</v>
      </c>
      <c r="F80" s="5">
        <v>196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242.41712999999999</v>
      </c>
      <c r="E81" s="5">
        <v>30.15756</v>
      </c>
      <c r="F81" s="5">
        <v>492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240.43038000000001</v>
      </c>
      <c r="E82" s="5">
        <v>30.137440000000002</v>
      </c>
      <c r="F82" s="5">
        <v>502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240.55053000000001</v>
      </c>
      <c r="E83" s="5">
        <v>30.17351</v>
      </c>
      <c r="F83" s="5">
        <v>495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239.64667</v>
      </c>
      <c r="E84" s="5">
        <v>30.12763</v>
      </c>
      <c r="F84" s="5">
        <v>496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240.44</v>
      </c>
      <c r="E85" s="5">
        <v>30.170870000000001</v>
      </c>
      <c r="F85" s="5">
        <v>492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239.81985</v>
      </c>
      <c r="E86" s="5">
        <v>30.134799999999998</v>
      </c>
      <c r="F86" s="5">
        <v>487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241.36</v>
      </c>
      <c r="E87" s="5">
        <v>30.140889999999999</v>
      </c>
      <c r="F87" s="5">
        <v>496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240.05889999999999</v>
      </c>
      <c r="E88" s="5">
        <v>30.14601</v>
      </c>
      <c r="F88" s="5">
        <v>492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239.47896</v>
      </c>
      <c r="E89" s="5">
        <v>30.167470000000002</v>
      </c>
      <c r="F89" s="5">
        <v>496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242.09001000000001</v>
      </c>
      <c r="E90" s="5">
        <v>30.162859999999998</v>
      </c>
      <c r="F90" s="5">
        <v>495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0.58411999999999997</v>
      </c>
      <c r="F91" s="5">
        <v>147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0.58238000000000001</v>
      </c>
      <c r="F92" s="5">
        <v>131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0.58436999999999995</v>
      </c>
      <c r="F93" s="5">
        <v>128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0.58416999999999997</v>
      </c>
      <c r="F94" s="5">
        <v>144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0.58435000000000004</v>
      </c>
      <c r="F95" s="5">
        <v>140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0.58260000000000001</v>
      </c>
      <c r="F96" s="5">
        <v>142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0.58143</v>
      </c>
      <c r="F97" s="5">
        <v>144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0.58384999999999998</v>
      </c>
      <c r="F98" s="5">
        <v>146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0.58238000000000001</v>
      </c>
      <c r="F99" s="5">
        <v>143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0.58428999999999998</v>
      </c>
      <c r="F100" s="5">
        <v>125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0.73460000000000003</v>
      </c>
      <c r="F101" s="5">
        <v>168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0.73690999999999995</v>
      </c>
      <c r="F102" s="5">
        <v>182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0.73607</v>
      </c>
      <c r="F103" s="5">
        <v>184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0.73823000000000005</v>
      </c>
      <c r="F104" s="5">
        <v>165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0.73623000000000005</v>
      </c>
      <c r="F105" s="5">
        <v>183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0.73406000000000005</v>
      </c>
      <c r="F106" s="5">
        <v>185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0.73702000000000001</v>
      </c>
      <c r="F107" s="5">
        <v>184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0.73651999999999995</v>
      </c>
      <c r="F108" s="5">
        <v>183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0.73556999999999995</v>
      </c>
      <c r="F109" s="5">
        <v>183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0.73555000000000004</v>
      </c>
      <c r="F110" s="5">
        <v>159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1.2761100000000001</v>
      </c>
      <c r="F111" s="5">
        <v>291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1.27671</v>
      </c>
      <c r="F112" s="5">
        <v>278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1.2756400000000001</v>
      </c>
      <c r="F113" s="5">
        <v>308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1.27688</v>
      </c>
      <c r="F114" s="5">
        <v>306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1.27471</v>
      </c>
      <c r="F115" s="5">
        <v>278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1.27715</v>
      </c>
      <c r="F116" s="5">
        <v>307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1.2765899999999999</v>
      </c>
      <c r="F117" s="5">
        <v>298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1.2769699999999999</v>
      </c>
      <c r="F118" s="5">
        <v>299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1.27607</v>
      </c>
      <c r="F119" s="5">
        <v>288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1.27458</v>
      </c>
      <c r="F120" s="5">
        <v>299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4348.0289499999999</v>
      </c>
      <c r="E121" s="5">
        <v>2.0026299999999999</v>
      </c>
      <c r="F121" s="5">
        <v>153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4348.0289499999999</v>
      </c>
      <c r="E122" s="5">
        <v>1.9912799999999999</v>
      </c>
      <c r="F122" s="5">
        <v>147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4348.0289499999999</v>
      </c>
      <c r="E123" s="5">
        <v>1.9938400000000001</v>
      </c>
      <c r="F123" s="5">
        <v>155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4348.0289499999999</v>
      </c>
      <c r="E124" s="5">
        <v>1.9982200000000001</v>
      </c>
      <c r="F124" s="5">
        <v>149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4348.0289499999999</v>
      </c>
      <c r="E125" s="5">
        <v>1.9946299999999999</v>
      </c>
      <c r="F125" s="5">
        <v>152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4348.0289499999999</v>
      </c>
      <c r="E126" s="5">
        <v>1.9985900000000001</v>
      </c>
      <c r="F126" s="5">
        <v>145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1.99478</v>
      </c>
      <c r="F127" s="5">
        <v>153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1.99766</v>
      </c>
      <c r="F128" s="5">
        <v>148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2.00258</v>
      </c>
      <c r="F129" s="5">
        <v>152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4348.0289499999999</v>
      </c>
      <c r="E130" s="5">
        <v>1.9924500000000001</v>
      </c>
      <c r="F130" s="5">
        <v>154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2.86267</v>
      </c>
      <c r="F131" s="5">
        <v>219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2.86774</v>
      </c>
      <c r="F132" s="5">
        <v>211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2.8681700000000001</v>
      </c>
      <c r="F133" s="5">
        <v>204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2.86137</v>
      </c>
      <c r="F134" s="5">
        <v>212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2.8667199999999999</v>
      </c>
      <c r="F135" s="5">
        <v>213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2.8688099999999999</v>
      </c>
      <c r="F136" s="5">
        <v>209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2.8632200000000001</v>
      </c>
      <c r="F137" s="5">
        <v>216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2.8647300000000002</v>
      </c>
      <c r="F138" s="5">
        <v>213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2.8703799999999999</v>
      </c>
      <c r="F139" s="5">
        <v>209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2.8626299999999998</v>
      </c>
      <c r="F140" s="5">
        <v>213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3.5171299999999999</v>
      </c>
      <c r="F141" s="5">
        <v>258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3.5182199999999999</v>
      </c>
      <c r="F142" s="5">
        <v>255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3.51539</v>
      </c>
      <c r="F143" s="5">
        <v>253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3.5125500000000001</v>
      </c>
      <c r="F144" s="5">
        <v>261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3.52006</v>
      </c>
      <c r="F145" s="5">
        <v>268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3.5144700000000002</v>
      </c>
      <c r="F146" s="5">
        <v>259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3.5203500000000001</v>
      </c>
      <c r="F147" s="5">
        <v>260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3.51308</v>
      </c>
      <c r="F148" s="5">
        <v>250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3.5214799999999999</v>
      </c>
      <c r="F149" s="5">
        <v>263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4318.4876800000002</v>
      </c>
      <c r="E150" s="5">
        <v>3.5129700000000001</v>
      </c>
      <c r="F150" s="5">
        <v>261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42986.403050000001</v>
      </c>
      <c r="E151" s="5">
        <v>4.9310400000000003</v>
      </c>
      <c r="F151" s="5">
        <v>92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42986.403050000001</v>
      </c>
      <c r="E152" s="5">
        <v>4.9135200000000001</v>
      </c>
      <c r="F152" s="5">
        <v>92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42986.403050000001</v>
      </c>
      <c r="E153" s="5">
        <v>4.9258199999999999</v>
      </c>
      <c r="F153" s="5">
        <v>91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42986.403050000001</v>
      </c>
      <c r="E154" s="5">
        <v>4.9150499999999999</v>
      </c>
      <c r="F154" s="5">
        <v>92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42986.802479999998</v>
      </c>
      <c r="E155" s="5">
        <v>4.9084300000000001</v>
      </c>
      <c r="F155" s="5">
        <v>92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42986.673049999998</v>
      </c>
      <c r="E156" s="5">
        <v>4.9070999999999998</v>
      </c>
      <c r="F156" s="5">
        <v>90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42986.836920000002</v>
      </c>
      <c r="E157" s="5">
        <v>4.9025100000000004</v>
      </c>
      <c r="F157" s="5">
        <v>92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42986.193919999998</v>
      </c>
      <c r="E158" s="5">
        <v>4.9099000000000004</v>
      </c>
      <c r="F158" s="5">
        <v>92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42986.403050000001</v>
      </c>
      <c r="E159" s="5">
        <v>4.8953899999999999</v>
      </c>
      <c r="F159" s="5">
        <v>92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42986.403050000001</v>
      </c>
      <c r="E160" s="5">
        <v>4.9279799999999998</v>
      </c>
      <c r="F160" s="5">
        <v>93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35643.38149</v>
      </c>
      <c r="E161" s="5">
        <v>12.69699</v>
      </c>
      <c r="F161" s="5">
        <v>220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35646.205289999998</v>
      </c>
      <c r="E162" s="5">
        <v>12.73278</v>
      </c>
      <c r="F162" s="5">
        <v>218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35494.724179999997</v>
      </c>
      <c r="E163" s="5">
        <v>12.737130000000001</v>
      </c>
      <c r="F163" s="5">
        <v>220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35630.5939</v>
      </c>
      <c r="E164" s="5">
        <v>12.701890000000001</v>
      </c>
      <c r="F164" s="5">
        <v>222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35699.543230000003</v>
      </c>
      <c r="E165" s="5">
        <v>12.719939999999999</v>
      </c>
      <c r="F165" s="5">
        <v>222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35494.227030000002</v>
      </c>
      <c r="E166" s="5">
        <v>12.735709999999999</v>
      </c>
      <c r="F166" s="5">
        <v>226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35684.579760000001</v>
      </c>
      <c r="E167" s="5">
        <v>12.721109999999999</v>
      </c>
      <c r="F167" s="5">
        <v>220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35512.279119999999</v>
      </c>
      <c r="E168" s="5">
        <v>12.719390000000001</v>
      </c>
      <c r="F168" s="5">
        <v>219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35735.046779999997</v>
      </c>
      <c r="E169" s="5">
        <v>12.740019999999999</v>
      </c>
      <c r="F169" s="5">
        <v>223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35514.626850000001</v>
      </c>
      <c r="E170" s="5">
        <v>12.72373</v>
      </c>
      <c r="F170" s="5">
        <v>222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35398.05773</v>
      </c>
      <c r="E171" s="5">
        <v>28.525030000000001</v>
      </c>
      <c r="F171" s="5">
        <v>498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35351.134769999997</v>
      </c>
      <c r="E172" s="5">
        <v>28.484200000000001</v>
      </c>
      <c r="F172" s="5">
        <v>537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35233.843330000003</v>
      </c>
      <c r="E173" s="5">
        <v>28.499469999999999</v>
      </c>
      <c r="F173" s="5">
        <v>539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35274.53</v>
      </c>
      <c r="E174" s="5">
        <v>28.519100000000002</v>
      </c>
      <c r="F174" s="5">
        <v>540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35272.534059999998</v>
      </c>
      <c r="E175" s="5">
        <v>28.482880000000002</v>
      </c>
      <c r="F175" s="5">
        <v>517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35267.403330000001</v>
      </c>
      <c r="E176" s="5">
        <v>28.5</v>
      </c>
      <c r="F176" s="5">
        <v>532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35264.771430000001</v>
      </c>
      <c r="E177" s="5">
        <v>28.519639999999999</v>
      </c>
      <c r="F177" s="5">
        <v>532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35247.541740000001</v>
      </c>
      <c r="E178" s="5">
        <v>28.49437</v>
      </c>
      <c r="F178" s="5">
        <v>510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35301.673329999998</v>
      </c>
      <c r="E179" s="5">
        <v>28.512049999999999</v>
      </c>
      <c r="F179" s="5">
        <v>538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35235.153330000001</v>
      </c>
      <c r="E180" s="5">
        <v>28.509070000000001</v>
      </c>
      <c r="F180" s="5">
        <v>537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0.73402999999999996</v>
      </c>
      <c r="F181" s="5">
        <v>128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0.73384000000000005</v>
      </c>
      <c r="F182" s="5">
        <v>119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0.73692999999999997</v>
      </c>
      <c r="F183" s="5">
        <v>115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0.73150999999999999</v>
      </c>
      <c r="F184" s="5">
        <v>130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0.73031999999999997</v>
      </c>
      <c r="F185" s="5">
        <v>133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0.73402000000000001</v>
      </c>
      <c r="F186" s="5">
        <v>134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0.73236000000000001</v>
      </c>
      <c r="F187" s="5">
        <v>136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0.73229</v>
      </c>
      <c r="F188" s="5">
        <v>131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0.73170999999999997</v>
      </c>
      <c r="F189" s="5">
        <v>112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0.73219999999999996</v>
      </c>
      <c r="F190" s="5">
        <v>131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675.36989000000005</v>
      </c>
      <c r="E191" s="5">
        <v>1.1352100000000001</v>
      </c>
      <c r="F191" s="5">
        <v>200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675.36581000000001</v>
      </c>
      <c r="E192" s="5">
        <v>1.1382399999999999</v>
      </c>
      <c r="F192" s="5">
        <v>189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675.36989000000005</v>
      </c>
      <c r="E193" s="5">
        <v>1.13531</v>
      </c>
      <c r="F193" s="5">
        <v>188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675.36989000000005</v>
      </c>
      <c r="E194" s="5">
        <v>1.1360699999999999</v>
      </c>
      <c r="F194" s="5">
        <v>203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675.36989000000005</v>
      </c>
      <c r="E195" s="5">
        <v>1.1361300000000001</v>
      </c>
      <c r="F195" s="5">
        <v>197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677.41029000000003</v>
      </c>
      <c r="E196" s="5">
        <v>1.13612</v>
      </c>
      <c r="F196" s="5">
        <v>205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675.38611000000003</v>
      </c>
      <c r="E197" s="5">
        <v>1.13947</v>
      </c>
      <c r="F197" s="5">
        <v>189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675.36989000000005</v>
      </c>
      <c r="E198" s="5">
        <v>1.13714</v>
      </c>
      <c r="F198" s="5">
        <v>209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675.36989000000005</v>
      </c>
      <c r="E199" s="5">
        <v>1.1358299999999999</v>
      </c>
      <c r="F199" s="5">
        <v>209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675.36989000000005</v>
      </c>
      <c r="E200" s="5">
        <v>1.1376200000000001</v>
      </c>
      <c r="F200" s="5">
        <v>183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657.95457999999996</v>
      </c>
      <c r="E201" s="5">
        <v>2.0689600000000001</v>
      </c>
      <c r="F201" s="5">
        <v>338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659.84542999999996</v>
      </c>
      <c r="E202" s="5">
        <v>2.0675500000000002</v>
      </c>
      <c r="F202" s="5">
        <v>362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657.95457999999996</v>
      </c>
      <c r="E203" s="5">
        <v>2.0669599999999999</v>
      </c>
      <c r="F203" s="5">
        <v>346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659.84542999999996</v>
      </c>
      <c r="E204" s="5">
        <v>2.0670700000000002</v>
      </c>
      <c r="F204" s="5">
        <v>365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657.65890999999999</v>
      </c>
      <c r="E205" s="5">
        <v>2.0682800000000001</v>
      </c>
      <c r="F205" s="5">
        <v>348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657.35562000000004</v>
      </c>
      <c r="E206" s="5">
        <v>2.0680299999999998</v>
      </c>
      <c r="F206" s="5">
        <v>363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655.43295999999998</v>
      </c>
      <c r="E207" s="5">
        <v>2.0665300000000002</v>
      </c>
      <c r="F207" s="5">
        <v>346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657.32380999999998</v>
      </c>
      <c r="E208" s="5">
        <v>2.07002</v>
      </c>
      <c r="F208" s="5">
        <v>360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657.32380999999998</v>
      </c>
      <c r="E209" s="5">
        <v>2.0688900000000001</v>
      </c>
      <c r="F209" s="5">
        <v>348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659.84542999999996</v>
      </c>
      <c r="E210" s="5">
        <v>2.0697999999999999</v>
      </c>
      <c r="F210" s="5">
        <v>363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1460.0209400000001</v>
      </c>
      <c r="E211" s="5">
        <v>1.5932299999999999</v>
      </c>
      <c r="F211" s="5">
        <v>107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1459.9687899999999</v>
      </c>
      <c r="E212" s="5">
        <v>1.5933900000000001</v>
      </c>
      <c r="F212" s="5">
        <v>119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1459.9687899999999</v>
      </c>
      <c r="E213" s="5">
        <v>1.59476</v>
      </c>
      <c r="F213" s="5">
        <v>113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1459.9687899999999</v>
      </c>
      <c r="E214" s="5">
        <v>1.58866</v>
      </c>
      <c r="F214" s="5">
        <v>118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1459.9687899999999</v>
      </c>
      <c r="E215" s="5">
        <v>1.5884100000000001</v>
      </c>
      <c r="F215" s="5">
        <v>117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1483.36385</v>
      </c>
      <c r="E216" s="5">
        <v>1.59704</v>
      </c>
      <c r="F216" s="5">
        <v>113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1467.0878600000001</v>
      </c>
      <c r="E217" s="5">
        <v>1.59615</v>
      </c>
      <c r="F217" s="5">
        <v>116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1459.9687899999999</v>
      </c>
      <c r="E218" s="5">
        <v>1.58745</v>
      </c>
      <c r="F218" s="5">
        <v>116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1459.9687899999999</v>
      </c>
      <c r="E219" s="5">
        <v>1.5913200000000001</v>
      </c>
      <c r="F219" s="5">
        <v>115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1459.9687899999999</v>
      </c>
      <c r="E220" s="5">
        <v>1.5901700000000001</v>
      </c>
      <c r="F220" s="5">
        <v>118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1031.6802700000001</v>
      </c>
      <c r="E221" s="5">
        <v>4.5429599999999999</v>
      </c>
      <c r="F221" s="5">
        <v>335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1027.9162100000001</v>
      </c>
      <c r="E222" s="5">
        <v>4.5433300000000001</v>
      </c>
      <c r="F222" s="5">
        <v>327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1024.6933300000001</v>
      </c>
      <c r="E223" s="5">
        <v>4.5480900000000002</v>
      </c>
      <c r="F223" s="5">
        <v>328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1016.20559</v>
      </c>
      <c r="E224" s="5">
        <v>4.5517500000000002</v>
      </c>
      <c r="F224" s="5">
        <v>333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1007.52126</v>
      </c>
      <c r="E225" s="5">
        <v>4.54542</v>
      </c>
      <c r="F225" s="5">
        <v>333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1022.22928</v>
      </c>
      <c r="E226" s="5">
        <v>4.5522799999999997</v>
      </c>
      <c r="F226" s="5">
        <v>327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1010.1912600000001</v>
      </c>
      <c r="E227" s="5">
        <v>4.5485100000000003</v>
      </c>
      <c r="F227" s="5">
        <v>331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1010.97419</v>
      </c>
      <c r="E228" s="5">
        <v>4.5447300000000004</v>
      </c>
      <c r="F228" s="5">
        <v>332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1015.84737</v>
      </c>
      <c r="E229" s="5">
        <v>4.5413600000000001</v>
      </c>
      <c r="F229" s="5">
        <v>315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1028.64274</v>
      </c>
      <c r="E230" s="5">
        <v>4.5521000000000003</v>
      </c>
      <c r="F230" s="5">
        <v>334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998.05282</v>
      </c>
      <c r="E231" s="5">
        <v>8.3877500000000005</v>
      </c>
      <c r="F231" s="5">
        <v>595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1002.23729</v>
      </c>
      <c r="E232" s="5">
        <v>8.3960699999999999</v>
      </c>
      <c r="F232" s="5">
        <v>590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1006.46803</v>
      </c>
      <c r="E233" s="5">
        <v>8.3877799999999993</v>
      </c>
      <c r="F233" s="5">
        <v>570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998.36676999999997</v>
      </c>
      <c r="E234" s="5">
        <v>8.3887599999999996</v>
      </c>
      <c r="F234" s="5">
        <v>593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993.06426999999996</v>
      </c>
      <c r="E235" s="5">
        <v>8.3943499999999993</v>
      </c>
      <c r="F235" s="5">
        <v>592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994.99098000000004</v>
      </c>
      <c r="E236" s="5">
        <v>8.3893599999999999</v>
      </c>
      <c r="F236" s="5">
        <v>585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1001.1477599999999</v>
      </c>
      <c r="E237" s="5">
        <v>8.3912099999999992</v>
      </c>
      <c r="F237" s="5">
        <v>595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1004.98744</v>
      </c>
      <c r="E238" s="5">
        <v>8.3887099999999997</v>
      </c>
      <c r="F238" s="5">
        <v>597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1008.78417</v>
      </c>
      <c r="E239" s="5">
        <v>8.3888099999999994</v>
      </c>
      <c r="F239" s="5">
        <v>588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1002.40166</v>
      </c>
      <c r="E240" s="5">
        <v>8.3892900000000008</v>
      </c>
      <c r="F240" s="5">
        <v>592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1807.5869</v>
      </c>
      <c r="E241" s="5">
        <v>5.0450100000000004</v>
      </c>
      <c r="F241" s="5">
        <v>102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1820.54636</v>
      </c>
      <c r="E242" s="5">
        <v>5.05192</v>
      </c>
      <c r="F242" s="5">
        <v>105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1838.18632</v>
      </c>
      <c r="E243" s="5">
        <v>5.0620799999999999</v>
      </c>
      <c r="F243" s="5">
        <v>103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1819.5206599999999</v>
      </c>
      <c r="E244" s="5">
        <v>5.0633699999999999</v>
      </c>
      <c r="F244" s="5">
        <v>104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1840.24703</v>
      </c>
      <c r="E245" s="5">
        <v>5.04643</v>
      </c>
      <c r="F245" s="5">
        <v>104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1840.6964700000001</v>
      </c>
      <c r="E246" s="5">
        <v>5.0497100000000001</v>
      </c>
      <c r="F246" s="5">
        <v>103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1839.595</v>
      </c>
      <c r="E247" s="5">
        <v>5.04</v>
      </c>
      <c r="F247" s="5">
        <v>105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1795.7893200000001</v>
      </c>
      <c r="E248" s="5">
        <v>5.0754099999999998</v>
      </c>
      <c r="F248" s="5">
        <v>105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1817.06366</v>
      </c>
      <c r="E249" s="5">
        <v>5.0768199999999997</v>
      </c>
      <c r="F249" s="5">
        <v>105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1802.04258</v>
      </c>
      <c r="E250" s="5">
        <v>5.0787800000000001</v>
      </c>
      <c r="F250" s="5">
        <v>106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1776.10572</v>
      </c>
      <c r="E251" s="5">
        <v>9.4082000000000008</v>
      </c>
      <c r="F251" s="5">
        <v>185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1770.36187</v>
      </c>
      <c r="E252" s="5">
        <v>9.3714499999999994</v>
      </c>
      <c r="F252" s="5">
        <v>188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1766.6107199999999</v>
      </c>
      <c r="E253" s="5">
        <v>9.3953199999999999</v>
      </c>
      <c r="F253" s="5">
        <v>189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1763.52</v>
      </c>
      <c r="E254" s="5">
        <v>9.3877799999999993</v>
      </c>
      <c r="F254" s="5">
        <v>195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1786.77756</v>
      </c>
      <c r="E255" s="5">
        <v>9.3901500000000002</v>
      </c>
      <c r="F255" s="5">
        <v>184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1762.46</v>
      </c>
      <c r="E256" s="5">
        <v>9.3706700000000005</v>
      </c>
      <c r="F256" s="5">
        <v>191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1781.81</v>
      </c>
      <c r="E257" s="5">
        <v>9.3928999999999991</v>
      </c>
      <c r="F257" s="5">
        <v>185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1779.4404500000001</v>
      </c>
      <c r="E258" s="5">
        <v>9.3979400000000002</v>
      </c>
      <c r="F258" s="5">
        <v>193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1772.64768</v>
      </c>
      <c r="E259" s="5">
        <v>9.4321199999999994</v>
      </c>
      <c r="F259" s="5">
        <v>193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1762.88024</v>
      </c>
      <c r="E260" s="5">
        <v>9.4082100000000004</v>
      </c>
      <c r="F260" s="5">
        <v>190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1759.9561699999999</v>
      </c>
      <c r="E261" s="5">
        <v>15.34793</v>
      </c>
      <c r="F261" s="5">
        <v>305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1756.86185</v>
      </c>
      <c r="E262" s="5">
        <v>15.36539</v>
      </c>
      <c r="F262" s="5">
        <v>300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1756.74667</v>
      </c>
      <c r="E263" s="5">
        <v>15.367929999999999</v>
      </c>
      <c r="F263" s="5">
        <v>306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1755.73846</v>
      </c>
      <c r="E264" s="5">
        <v>15.33465</v>
      </c>
      <c r="F264" s="5">
        <v>296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1757.12691</v>
      </c>
      <c r="E265" s="5">
        <v>15.34234</v>
      </c>
      <c r="F265" s="5">
        <v>300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1757.50667</v>
      </c>
      <c r="E266" s="5">
        <v>15.37383</v>
      </c>
      <c r="F266" s="5">
        <v>297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1757.665</v>
      </c>
      <c r="E267" s="5">
        <v>15.35727</v>
      </c>
      <c r="F267" s="5">
        <v>306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1759.73341</v>
      </c>
      <c r="E268" s="5">
        <v>15.34576</v>
      </c>
      <c r="F268" s="5">
        <v>293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1757.15</v>
      </c>
      <c r="E269" s="5">
        <v>15.3575</v>
      </c>
      <c r="F269" s="5">
        <v>303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1758.16</v>
      </c>
      <c r="E270" s="5">
        <v>15.34047</v>
      </c>
      <c r="F270" s="5">
        <v>298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41.319229999999997</v>
      </c>
      <c r="E271" s="5">
        <v>0.58750000000000002</v>
      </c>
      <c r="F271" s="5">
        <v>117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42.424349999999997</v>
      </c>
      <c r="E272" s="5">
        <v>0.58655999999999997</v>
      </c>
      <c r="F272" s="5">
        <v>106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41.318849999999998</v>
      </c>
      <c r="E273" s="5">
        <v>0.58665999999999996</v>
      </c>
      <c r="F273" s="5">
        <v>111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42.424349999999997</v>
      </c>
      <c r="E274" s="5">
        <v>0.58860999999999997</v>
      </c>
      <c r="F274" s="5">
        <v>113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42.424349999999997</v>
      </c>
      <c r="E275" s="5">
        <v>0.58506000000000002</v>
      </c>
      <c r="F275" s="5">
        <v>115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42.424349999999997</v>
      </c>
      <c r="E276" s="5">
        <v>0.59792000000000001</v>
      </c>
      <c r="F276" s="5">
        <v>104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41.318849999999998</v>
      </c>
      <c r="E277" s="5">
        <v>0.58714999999999995</v>
      </c>
      <c r="F277" s="5">
        <v>105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41.318849999999998</v>
      </c>
      <c r="E278" s="5">
        <v>0.58513000000000004</v>
      </c>
      <c r="F278" s="5">
        <v>113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42.424349999999997</v>
      </c>
      <c r="E279" s="5">
        <v>0.58728999999999998</v>
      </c>
      <c r="F279" s="5">
        <v>112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42.424349999999997</v>
      </c>
      <c r="E280" s="5">
        <v>0.58752000000000004</v>
      </c>
      <c r="F280" s="5">
        <v>113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0.87624000000000002</v>
      </c>
      <c r="F281" s="5">
        <v>181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0.87511000000000005</v>
      </c>
      <c r="F282" s="5">
        <v>190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28.65436</v>
      </c>
      <c r="E283" s="5">
        <v>0.87538000000000005</v>
      </c>
      <c r="F283" s="5">
        <v>181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0.87573999999999996</v>
      </c>
      <c r="F284" s="5">
        <v>185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0.87661</v>
      </c>
      <c r="F285" s="5">
        <v>193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28.65436</v>
      </c>
      <c r="E286" s="5">
        <v>0.87395999999999996</v>
      </c>
      <c r="F286" s="5">
        <v>191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28.65436</v>
      </c>
      <c r="E287" s="5">
        <v>0.87534999999999996</v>
      </c>
      <c r="F287" s="5">
        <v>191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0.87305999999999995</v>
      </c>
      <c r="F288" s="5">
        <v>175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28.65436</v>
      </c>
      <c r="E289" s="5">
        <v>0.87468000000000001</v>
      </c>
      <c r="F289" s="5">
        <v>186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0.87470999999999999</v>
      </c>
      <c r="F290" s="5">
        <v>180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28.592030000000001</v>
      </c>
      <c r="E291" s="5">
        <v>1.1323000000000001</v>
      </c>
      <c r="F291" s="5">
        <v>217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28.546240000000001</v>
      </c>
      <c r="E292" s="5">
        <v>1.1330899999999999</v>
      </c>
      <c r="F292" s="5">
        <v>228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28.592030000000001</v>
      </c>
      <c r="E293" s="5">
        <v>1.1331</v>
      </c>
      <c r="F293" s="5">
        <v>234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28.602029999999999</v>
      </c>
      <c r="E294" s="5">
        <v>1.13398</v>
      </c>
      <c r="F294" s="5">
        <v>208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28.60624</v>
      </c>
      <c r="E295" s="5">
        <v>1.13289</v>
      </c>
      <c r="F295" s="5">
        <v>238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28.592030000000001</v>
      </c>
      <c r="E296" s="5">
        <v>1.1347400000000001</v>
      </c>
      <c r="F296" s="5">
        <v>235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28.60624</v>
      </c>
      <c r="E297" s="5">
        <v>1.13381</v>
      </c>
      <c r="F297" s="5">
        <v>239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28.504100000000001</v>
      </c>
      <c r="E298" s="5">
        <v>1.1347</v>
      </c>
      <c r="F298" s="5">
        <v>222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28.592030000000001</v>
      </c>
      <c r="E299" s="5">
        <v>1.13263</v>
      </c>
      <c r="F299" s="5">
        <v>231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28.592030000000001</v>
      </c>
      <c r="E300" s="5">
        <v>1.1348199999999999</v>
      </c>
      <c r="F300" s="5">
        <v>238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59.204349999999998</v>
      </c>
      <c r="E301" s="5">
        <v>1.9299599999999999</v>
      </c>
      <c r="F301" s="5">
        <v>135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56.901339999999998</v>
      </c>
      <c r="E302" s="5">
        <v>1.9212</v>
      </c>
      <c r="F302" s="5">
        <v>135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59.099510000000002</v>
      </c>
      <c r="E303" s="5">
        <v>1.92866</v>
      </c>
      <c r="F303" s="5">
        <v>137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59.800939999999997</v>
      </c>
      <c r="E304" s="5">
        <v>1.9247799999999999</v>
      </c>
      <c r="F304" s="5">
        <v>138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59.072330000000001</v>
      </c>
      <c r="E305" s="5">
        <v>1.92601</v>
      </c>
      <c r="F305" s="5">
        <v>133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56.861339999999998</v>
      </c>
      <c r="E306" s="5">
        <v>1.9283699999999999</v>
      </c>
      <c r="F306" s="5">
        <v>137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56.901339999999998</v>
      </c>
      <c r="E307" s="5">
        <v>1.93143</v>
      </c>
      <c r="F307" s="5">
        <v>133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59.540909999999997</v>
      </c>
      <c r="E308" s="5">
        <v>1.9241999999999999</v>
      </c>
      <c r="F308" s="5">
        <v>137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59.001019999999997</v>
      </c>
      <c r="E309" s="5">
        <v>1.9265600000000001</v>
      </c>
      <c r="F309" s="5">
        <v>132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56.901339999999998</v>
      </c>
      <c r="E310" s="5">
        <v>1.9264699999999999</v>
      </c>
      <c r="F310" s="5">
        <v>138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53.952939999999998</v>
      </c>
      <c r="E311" s="5">
        <v>3.7673800000000002</v>
      </c>
      <c r="F311" s="5">
        <v>256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53.632750000000001</v>
      </c>
      <c r="E312" s="5">
        <v>3.7523300000000002</v>
      </c>
      <c r="F312" s="5">
        <v>259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53.845599999999997</v>
      </c>
      <c r="E313" s="5">
        <v>3.75468</v>
      </c>
      <c r="F313" s="5">
        <v>262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53.695599999999999</v>
      </c>
      <c r="E314" s="5">
        <v>3.7580499999999999</v>
      </c>
      <c r="F314" s="5">
        <v>266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53.545830000000002</v>
      </c>
      <c r="E315" s="5">
        <v>3.75407</v>
      </c>
      <c r="F315" s="5">
        <v>261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53.59507</v>
      </c>
      <c r="E316" s="5">
        <v>3.7547199999999998</v>
      </c>
      <c r="F316" s="5">
        <v>259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53.639159999999997</v>
      </c>
      <c r="E317" s="5">
        <v>3.7530399999999999</v>
      </c>
      <c r="F317" s="5">
        <v>261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53.637059999999998</v>
      </c>
      <c r="E318" s="5">
        <v>3.75434</v>
      </c>
      <c r="F318" s="5">
        <v>259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53.608400000000003</v>
      </c>
      <c r="E319" s="5">
        <v>3.7595700000000001</v>
      </c>
      <c r="F319" s="5">
        <v>258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53.472749999999998</v>
      </c>
      <c r="E320" s="5">
        <v>3.7583700000000002</v>
      </c>
      <c r="F320" s="5">
        <v>256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53.217489999999998</v>
      </c>
      <c r="E321" s="5">
        <v>6.08561</v>
      </c>
      <c r="F321" s="5">
        <v>405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53.217489999999998</v>
      </c>
      <c r="E322" s="5">
        <v>6.0760500000000004</v>
      </c>
      <c r="F322" s="5">
        <v>408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53.467489999999998</v>
      </c>
      <c r="E323" s="5">
        <v>6.0842599999999996</v>
      </c>
      <c r="F323" s="5">
        <v>383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53.537489999999998</v>
      </c>
      <c r="E324" s="5">
        <v>6.07836</v>
      </c>
      <c r="F324" s="5">
        <v>395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53.662889999999997</v>
      </c>
      <c r="E325" s="5">
        <v>6.0836199999999998</v>
      </c>
      <c r="F325" s="5">
        <v>402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53.417569999999998</v>
      </c>
      <c r="E326" s="5">
        <v>6.0841099999999999</v>
      </c>
      <c r="F326" s="5">
        <v>400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53.118510000000001</v>
      </c>
      <c r="E327" s="5">
        <v>6.0801999999999996</v>
      </c>
      <c r="F327" s="5">
        <v>408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53.357489999999999</v>
      </c>
      <c r="E328" s="5">
        <v>6.0822900000000004</v>
      </c>
      <c r="F328" s="5">
        <v>398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53.407490000000003</v>
      </c>
      <c r="E329" s="5">
        <v>6.0775300000000003</v>
      </c>
      <c r="F329" s="5">
        <v>409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53.247489999999999</v>
      </c>
      <c r="E330" s="5">
        <v>6.0792000000000002</v>
      </c>
      <c r="F330" s="5">
        <v>403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148.17320000000001</v>
      </c>
      <c r="E331" s="5">
        <v>7.0602999999999998</v>
      </c>
      <c r="F331" s="5">
        <v>142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148.12653</v>
      </c>
      <c r="E332" s="5">
        <v>7.02935</v>
      </c>
      <c r="F332" s="5">
        <v>139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148.14283</v>
      </c>
      <c r="E333" s="5">
        <v>7.0597899999999996</v>
      </c>
      <c r="F333" s="5">
        <v>145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148.17986999999999</v>
      </c>
      <c r="E334" s="5">
        <v>7.0409600000000001</v>
      </c>
      <c r="F334" s="5">
        <v>143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148.10830000000001</v>
      </c>
      <c r="E335" s="5">
        <v>7.0331900000000003</v>
      </c>
      <c r="F335" s="5">
        <v>138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148.22146000000001</v>
      </c>
      <c r="E336" s="5">
        <v>7.0389400000000002</v>
      </c>
      <c r="F336" s="5">
        <v>144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148.12450000000001</v>
      </c>
      <c r="E337" s="5">
        <v>7.0507600000000004</v>
      </c>
      <c r="F337" s="5">
        <v>144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148.22163</v>
      </c>
      <c r="E338" s="5">
        <v>7.0393400000000002</v>
      </c>
      <c r="F338" s="5">
        <v>136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148.14653000000001</v>
      </c>
      <c r="E339" s="5">
        <v>7.0543899999999997</v>
      </c>
      <c r="F339" s="5">
        <v>143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148.16479000000001</v>
      </c>
      <c r="E340" s="5">
        <v>7.0602400000000003</v>
      </c>
      <c r="F340" s="5">
        <v>145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108.78503000000001</v>
      </c>
      <c r="E341" s="5">
        <v>16.820309999999999</v>
      </c>
      <c r="F341" s="5">
        <v>321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108.72812</v>
      </c>
      <c r="E342" s="5">
        <v>16.791709999999998</v>
      </c>
      <c r="F342" s="5">
        <v>320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108.08647000000001</v>
      </c>
      <c r="E343" s="5">
        <v>16.803280000000001</v>
      </c>
      <c r="F343" s="5">
        <v>323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107.91678</v>
      </c>
      <c r="E344" s="5">
        <v>16.826589999999999</v>
      </c>
      <c r="F344" s="5">
        <v>320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117.35223999999999</v>
      </c>
      <c r="E345" s="5">
        <v>16.79729</v>
      </c>
      <c r="F345" s="5">
        <v>323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107.98981000000001</v>
      </c>
      <c r="E346" s="5">
        <v>16.798200000000001</v>
      </c>
      <c r="F346" s="5">
        <v>322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118.15487</v>
      </c>
      <c r="E347" s="5">
        <v>16.79813</v>
      </c>
      <c r="F347" s="5">
        <v>317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108.4358</v>
      </c>
      <c r="E348" s="5">
        <v>16.828299999999999</v>
      </c>
      <c r="F348" s="5">
        <v>323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109.43455</v>
      </c>
      <c r="E349" s="5">
        <v>16.800409999999999</v>
      </c>
      <c r="F349" s="5">
        <v>319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107.88912999999999</v>
      </c>
      <c r="E350" s="5">
        <v>16.800909999999998</v>
      </c>
      <c r="F350" s="5">
        <v>315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103.90752999999999</v>
      </c>
      <c r="E351" s="5">
        <v>29.353190000000001</v>
      </c>
      <c r="F351" s="5">
        <v>537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104.15663000000001</v>
      </c>
      <c r="E352" s="5">
        <v>29.348030000000001</v>
      </c>
      <c r="F352" s="5">
        <v>536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104.10663</v>
      </c>
      <c r="E353" s="5">
        <v>29.371829999999999</v>
      </c>
      <c r="F353" s="5">
        <v>525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104.17829</v>
      </c>
      <c r="E354" s="5">
        <v>29.382370000000002</v>
      </c>
      <c r="F354" s="5">
        <v>541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104.06274999999999</v>
      </c>
      <c r="E355" s="5">
        <v>29.37529</v>
      </c>
      <c r="F355" s="5">
        <v>536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103.98502999999999</v>
      </c>
      <c r="E356" s="5">
        <v>29.370519999999999</v>
      </c>
      <c r="F356" s="5">
        <v>537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103.82525</v>
      </c>
      <c r="E357" s="5">
        <v>29.36195</v>
      </c>
      <c r="F357" s="5">
        <v>535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104.06502999999999</v>
      </c>
      <c r="E358" s="5">
        <v>29.368539999999999</v>
      </c>
      <c r="F358" s="5">
        <v>528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104.09329</v>
      </c>
      <c r="E359" s="5">
        <v>29.372630000000001</v>
      </c>
      <c r="F359" s="5">
        <v>540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104.0767</v>
      </c>
      <c r="E360" s="5">
        <v>29.347280000000001</v>
      </c>
      <c r="F360" s="5">
        <v>537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0.54501999999999995</v>
      </c>
      <c r="F361" s="5">
        <v>91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0.54320999999999997</v>
      </c>
      <c r="F362" s="5">
        <v>86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0.54344999999999999</v>
      </c>
      <c r="F363" s="5">
        <v>92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0.54390000000000005</v>
      </c>
      <c r="F364" s="5">
        <v>95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0.54401999999999995</v>
      </c>
      <c r="F365" s="5">
        <v>95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0.54469999999999996</v>
      </c>
      <c r="F366" s="5">
        <v>95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0.54120000000000001</v>
      </c>
      <c r="F367" s="5">
        <v>94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0.54356000000000004</v>
      </c>
      <c r="F368" s="5">
        <v>97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0.54347999999999996</v>
      </c>
      <c r="F369" s="5">
        <v>80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0.54227000000000003</v>
      </c>
      <c r="F370" s="5">
        <v>94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0.87222</v>
      </c>
      <c r="F371" s="5">
        <v>148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0.87397000000000002</v>
      </c>
      <c r="F372" s="5">
        <v>158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0.87268999999999997</v>
      </c>
      <c r="F373" s="5">
        <v>158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0.87427999999999995</v>
      </c>
      <c r="F374" s="5">
        <v>157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0.87234</v>
      </c>
      <c r="F375" s="5">
        <v>141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0.87131000000000003</v>
      </c>
      <c r="F376" s="5">
        <v>157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0.87105999999999995</v>
      </c>
      <c r="F377" s="5">
        <v>159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0.87231999999999998</v>
      </c>
      <c r="F378" s="5">
        <v>160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0.87311000000000005</v>
      </c>
      <c r="F379" s="5">
        <v>161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0.87529999999999997</v>
      </c>
      <c r="F380" s="5">
        <v>147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1.1519699999999999</v>
      </c>
      <c r="F381" s="5">
        <v>188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1.1500300000000001</v>
      </c>
      <c r="F382" s="5">
        <v>202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1.15157</v>
      </c>
      <c r="F383" s="5">
        <v>200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1.15177</v>
      </c>
      <c r="F384" s="5">
        <v>191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1.1524700000000001</v>
      </c>
      <c r="F385" s="5">
        <v>207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1.15235</v>
      </c>
      <c r="F386" s="5">
        <v>207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1.1517299999999999</v>
      </c>
      <c r="F387" s="5">
        <v>209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1.15001</v>
      </c>
      <c r="F388" s="5">
        <v>192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1.1509</v>
      </c>
      <c r="F389" s="5">
        <v>205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1.15218</v>
      </c>
      <c r="F390" s="5">
        <v>210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1.10846</v>
      </c>
      <c r="F391" s="5">
        <v>61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1.1099699999999999</v>
      </c>
      <c r="F392" s="5">
        <v>60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1.1216299999999999</v>
      </c>
      <c r="F393" s="5">
        <v>64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1.10884</v>
      </c>
      <c r="F394" s="5">
        <v>63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1.1121000000000001</v>
      </c>
      <c r="F395" s="5">
        <v>61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1.1080399999999999</v>
      </c>
      <c r="F396" s="5">
        <v>59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1.11598</v>
      </c>
      <c r="F397" s="5">
        <v>60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1.1115900000000001</v>
      </c>
      <c r="F398" s="5">
        <v>61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1.1086</v>
      </c>
      <c r="F399" s="5">
        <v>59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1.1116900000000001</v>
      </c>
      <c r="F400" s="5">
        <v>62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2.4948100000000002</v>
      </c>
      <c r="F401" s="5">
        <v>135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2.4993500000000002</v>
      </c>
      <c r="F402" s="5">
        <v>134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2.4930599999999998</v>
      </c>
      <c r="F403" s="5">
        <v>139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2.4905599999999999</v>
      </c>
      <c r="F404" s="5">
        <v>133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2.5019800000000001</v>
      </c>
      <c r="F405" s="5">
        <v>132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2.4919799999999999</v>
      </c>
      <c r="F406" s="5">
        <v>138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2.4923999999999999</v>
      </c>
      <c r="F407" s="5">
        <v>133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2.49187</v>
      </c>
      <c r="F408" s="5">
        <v>140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2.4966200000000001</v>
      </c>
      <c r="F409" s="5">
        <v>138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2.4878100000000001</v>
      </c>
      <c r="F410" s="5">
        <v>133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2.7309000000000001</v>
      </c>
      <c r="F411" s="5">
        <v>146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2.7247400000000002</v>
      </c>
      <c r="F412" s="5">
        <v>143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2.7315999999999998</v>
      </c>
      <c r="F413" s="5">
        <v>144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2.73584</v>
      </c>
      <c r="F414" s="5">
        <v>146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2.72248</v>
      </c>
      <c r="F415" s="5">
        <v>141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2.7255099999999999</v>
      </c>
      <c r="F416" s="5">
        <v>142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2.72471</v>
      </c>
      <c r="F417" s="5">
        <v>148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2.7259099999999998</v>
      </c>
      <c r="F418" s="5">
        <v>143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2.7366799999999998</v>
      </c>
      <c r="F419" s="5">
        <v>146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2.73495</v>
      </c>
      <c r="F420" s="5">
        <v>147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2.97634</v>
      </c>
      <c r="F421" s="5">
        <v>60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2.9778099999999998</v>
      </c>
      <c r="F422" s="5">
        <v>61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2.96949</v>
      </c>
      <c r="F423" s="5">
        <v>63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2.98482</v>
      </c>
      <c r="F424" s="5">
        <v>62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2.9771000000000001</v>
      </c>
      <c r="F425" s="5">
        <v>62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2.9942099999999998</v>
      </c>
      <c r="F426" s="5">
        <v>65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2.9683199999999998</v>
      </c>
      <c r="F427" s="5">
        <v>62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2.99248</v>
      </c>
      <c r="F428" s="5">
        <v>61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2.9658000000000002</v>
      </c>
      <c r="F429" s="5">
        <v>61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2.99762</v>
      </c>
      <c r="F430" s="5">
        <v>63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3.8053300000000001</v>
      </c>
      <c r="F431" s="5">
        <v>78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3.7799299999999998</v>
      </c>
      <c r="F432" s="5">
        <v>77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3.8000099999999999</v>
      </c>
      <c r="F433" s="5">
        <v>77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3.7757399999999999</v>
      </c>
      <c r="F434" s="5">
        <v>78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3.7998699999999999</v>
      </c>
      <c r="F435" s="5">
        <v>78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3.8072699999999999</v>
      </c>
      <c r="F436" s="5">
        <v>77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3.7930799999999998</v>
      </c>
      <c r="F437" s="5">
        <v>78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3.7758500000000002</v>
      </c>
      <c r="F438" s="5">
        <v>77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3.8012800000000002</v>
      </c>
      <c r="F439" s="5">
        <v>78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3.8124799999999999</v>
      </c>
      <c r="F440" s="5">
        <v>78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5.4600799999999996</v>
      </c>
      <c r="F441" s="5">
        <v>105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5.46089</v>
      </c>
      <c r="F442" s="5">
        <v>106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5.4825699999999999</v>
      </c>
      <c r="F443" s="5">
        <v>104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5.4692400000000001</v>
      </c>
      <c r="F444" s="5">
        <v>106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5.4570299999999996</v>
      </c>
      <c r="F445" s="5">
        <v>105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5.4612999999999996</v>
      </c>
      <c r="F446" s="5">
        <v>106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5.4635800000000003</v>
      </c>
      <c r="F447" s="5">
        <v>104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5.4714200000000002</v>
      </c>
      <c r="F448" s="5">
        <v>105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5.4607299999999999</v>
      </c>
      <c r="F449" s="5">
        <v>105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5.4849699999999997</v>
      </c>
      <c r="F450" s="5">
        <v>105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T1"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0.54910000000000003</v>
      </c>
      <c r="F1" s="5">
        <v>37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0.55100000000000005</v>
      </c>
      <c r="F2" s="5">
        <v>37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0.54452999999999996</v>
      </c>
      <c r="F3" s="5">
        <v>40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170.35004000000001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0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0.55113000000000001</v>
      </c>
      <c r="F4" s="5">
        <v>40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0.55089999999999995</v>
      </c>
      <c r="F5" s="5">
        <v>34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0.54518999999999995</v>
      </c>
      <c r="F6" s="5">
        <v>38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0.54910999999999999</v>
      </c>
      <c r="F7" s="5">
        <v>41</v>
      </c>
      <c r="H7" s="5" t="s">
        <v>27</v>
      </c>
      <c r="I7" s="5">
        <v>50</v>
      </c>
      <c r="J7" s="5">
        <v>1</v>
      </c>
      <c r="L7" s="5">
        <f t="shared" ca="1" si="11"/>
        <v>182.34583000000001</v>
      </c>
      <c r="M7" s="5">
        <f t="shared" ca="1" si="0"/>
        <v>180.48813000000001</v>
      </c>
      <c r="N7" s="5">
        <f t="shared" ca="1" si="0"/>
        <v>181.92667</v>
      </c>
      <c r="O7" s="5">
        <f t="shared" ca="1" si="0"/>
        <v>181.40834000000001</v>
      </c>
      <c r="P7" s="5">
        <f t="shared" ca="1" si="0"/>
        <v>182.00667000000001</v>
      </c>
      <c r="Q7" s="5">
        <f t="shared" ca="1" si="0"/>
        <v>181.40834000000001</v>
      </c>
      <c r="R7" s="5">
        <f t="shared" ca="1" si="0"/>
        <v>181.89</v>
      </c>
      <c r="S7" s="5">
        <f t="shared" ca="1" si="0"/>
        <v>183.6148</v>
      </c>
      <c r="T7" s="5">
        <f t="shared" ca="1" si="0"/>
        <v>181.15479999999999</v>
      </c>
      <c r="U7" s="5">
        <f t="shared" ca="1" si="0"/>
        <v>179.67332999999999</v>
      </c>
      <c r="W7" s="5">
        <f t="shared" ca="1" si="12"/>
        <v>181.591691</v>
      </c>
      <c r="Y7" s="5">
        <f ca="1">Total!E7</f>
        <v>179.67332999999999</v>
      </c>
      <c r="AB7" s="5">
        <f t="shared" ca="1" si="1"/>
        <v>1.4874216446035779E-2</v>
      </c>
      <c r="AC7" s="5">
        <f t="shared" ca="1" si="2"/>
        <v>4.5348967484490858E-3</v>
      </c>
      <c r="AD7" s="5">
        <f t="shared" ca="1" si="3"/>
        <v>1.254131595379241E-2</v>
      </c>
      <c r="AE7" s="5">
        <f t="shared" ca="1" si="4"/>
        <v>9.6564693268612369E-3</v>
      </c>
      <c r="AF7" s="5">
        <f t="shared" ca="1" si="5"/>
        <v>1.2986568457322082E-2</v>
      </c>
      <c r="AG7" s="5">
        <f t="shared" ca="1" si="6"/>
        <v>9.6564693268612369E-3</v>
      </c>
      <c r="AH7" s="5">
        <f t="shared" ca="1" si="7"/>
        <v>1.2337223337486946E-2</v>
      </c>
      <c r="AI7" s="5">
        <f t="shared" ca="1" si="8"/>
        <v>2.1936867313585216E-2</v>
      </c>
      <c r="AJ7" s="5">
        <f t="shared" ca="1" si="9"/>
        <v>8.2453528300499672E-3</v>
      </c>
      <c r="AK7" s="5">
        <f t="shared" ca="1" si="10"/>
        <v>0</v>
      </c>
      <c r="AM7" s="5">
        <f t="shared" ca="1" si="13"/>
        <v>0.10676937974044397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0.54791999999999996</v>
      </c>
      <c r="F8" s="5">
        <v>39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0.54513999999999996</v>
      </c>
      <c r="F9" s="5">
        <v>41</v>
      </c>
      <c r="H9" s="5" t="s">
        <v>27</v>
      </c>
      <c r="I9" s="5">
        <v>100</v>
      </c>
      <c r="J9" s="5">
        <v>0.7</v>
      </c>
      <c r="L9" s="5">
        <f t="shared" ca="1" si="11"/>
        <v>255.98354</v>
      </c>
      <c r="M9" s="5">
        <f t="shared" ca="1" si="0"/>
        <v>259.24196999999998</v>
      </c>
      <c r="N9" s="5">
        <f t="shared" ca="1" si="0"/>
        <v>258.15670999999998</v>
      </c>
      <c r="O9" s="5">
        <f t="shared" ca="1" si="0"/>
        <v>257.27942999999999</v>
      </c>
      <c r="P9" s="5">
        <f t="shared" ca="1" si="0"/>
        <v>257.48757000000001</v>
      </c>
      <c r="Q9" s="5">
        <f t="shared" ca="1" si="0"/>
        <v>259.42732000000001</v>
      </c>
      <c r="R9" s="5">
        <f t="shared" ca="1" si="0"/>
        <v>257.59732000000002</v>
      </c>
      <c r="S9" s="5">
        <f t="shared" ca="1" si="0"/>
        <v>256.45499999999998</v>
      </c>
      <c r="T9" s="5">
        <f t="shared" ca="1" si="0"/>
        <v>258.73732000000001</v>
      </c>
      <c r="U9" s="5">
        <f t="shared" ca="1" si="0"/>
        <v>256.58735999999999</v>
      </c>
      <c r="W9" s="5">
        <f t="shared" ca="1" si="12"/>
        <v>257.69535400000007</v>
      </c>
      <c r="Y9" s="5">
        <f ca="1">Total!E9</f>
        <v>255.18879999999999</v>
      </c>
      <c r="AB9" s="5">
        <f t="shared" ca="1" si="1"/>
        <v>3.1143216316704288E-3</v>
      </c>
      <c r="AC9" s="5">
        <f t="shared" ca="1" si="2"/>
        <v>1.5883024646849684E-2</v>
      </c>
      <c r="AD9" s="5">
        <f t="shared" ca="1" si="3"/>
        <v>1.1630251797884504E-2</v>
      </c>
      <c r="AE9" s="5">
        <f t="shared" ca="1" si="4"/>
        <v>8.1924833691760946E-3</v>
      </c>
      <c r="AF9" s="5">
        <f t="shared" ca="1" si="5"/>
        <v>9.0081147761971493E-3</v>
      </c>
      <c r="AG9" s="5">
        <f t="shared" ca="1" si="6"/>
        <v>1.6609349626629469E-2</v>
      </c>
      <c r="AH9" s="5">
        <f t="shared" ca="1" si="7"/>
        <v>9.438188509840708E-3</v>
      </c>
      <c r="AI9" s="5">
        <f t="shared" ca="1" si="8"/>
        <v>4.9618165060535489E-3</v>
      </c>
      <c r="AJ9" s="5">
        <f t="shared" ca="1" si="9"/>
        <v>1.390546920554517E-2</v>
      </c>
      <c r="AK9" s="5">
        <f t="shared" ca="1" si="10"/>
        <v>5.4804913068285267E-3</v>
      </c>
      <c r="AM9" s="5">
        <f t="shared" ca="1" si="13"/>
        <v>9.8223511376675288E-2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0.54986000000000002</v>
      </c>
      <c r="F10" s="5">
        <v>41</v>
      </c>
      <c r="H10" s="5" t="s">
        <v>27</v>
      </c>
      <c r="I10" s="5">
        <v>100</v>
      </c>
      <c r="J10" s="5">
        <v>1</v>
      </c>
      <c r="L10" s="5">
        <f t="shared" ca="1" si="11"/>
        <v>239.13825</v>
      </c>
      <c r="M10" s="5">
        <f t="shared" ca="1" si="0"/>
        <v>240.33256</v>
      </c>
      <c r="N10" s="5">
        <f t="shared" ca="1" si="0"/>
        <v>239.81666999999999</v>
      </c>
      <c r="O10" s="5">
        <f t="shared" ca="1" si="0"/>
        <v>239.79822999999999</v>
      </c>
      <c r="P10" s="5">
        <f t="shared" ca="1" si="0"/>
        <v>242.53380000000001</v>
      </c>
      <c r="Q10" s="5">
        <f t="shared" ca="1" si="0"/>
        <v>240.73558</v>
      </c>
      <c r="R10" s="5">
        <f t="shared" ca="1" si="0"/>
        <v>240.70332999999999</v>
      </c>
      <c r="S10" s="5">
        <f t="shared" ca="1" si="0"/>
        <v>240.30938</v>
      </c>
      <c r="T10" s="5">
        <f t="shared" ca="1" si="0"/>
        <v>241.36645999999999</v>
      </c>
      <c r="U10" s="5">
        <f t="shared" ca="1" si="0"/>
        <v>241.35571999999999</v>
      </c>
      <c r="W10" s="5">
        <f t="shared" ca="1" si="12"/>
        <v>240.60899800000001</v>
      </c>
      <c r="Y10" s="5">
        <f ca="1">Total!E10</f>
        <v>238.77667</v>
      </c>
      <c r="AB10" s="5">
        <f t="shared" ca="1" si="1"/>
        <v>1.5143020463431523E-3</v>
      </c>
      <c r="AC10" s="5">
        <f t="shared" ca="1" si="2"/>
        <v>6.5160888624504441E-3</v>
      </c>
      <c r="AD10" s="5">
        <f t="shared" ca="1" si="3"/>
        <v>4.3555343995709131E-3</v>
      </c>
      <c r="AE10" s="5">
        <f t="shared" ca="1" si="4"/>
        <v>4.2783074242554514E-3</v>
      </c>
      <c r="AF10" s="5">
        <f t="shared" ca="1" si="5"/>
        <v>1.5734912460250064E-2</v>
      </c>
      <c r="AG10" s="5">
        <f t="shared" ca="1" si="6"/>
        <v>8.2039422025610917E-3</v>
      </c>
      <c r="AH10" s="5">
        <f t="shared" ca="1" si="7"/>
        <v>8.068878756035916E-3</v>
      </c>
      <c r="AI10" s="5">
        <f t="shared" ca="1" si="8"/>
        <v>6.4190107015061762E-3</v>
      </c>
      <c r="AJ10" s="5">
        <f t="shared" ca="1" si="9"/>
        <v>1.0846076377562321E-2</v>
      </c>
      <c r="AK10" s="5">
        <f t="shared" ca="1" si="10"/>
        <v>1.0801097108859065E-2</v>
      </c>
      <c r="AM10" s="5">
        <f t="shared" ca="1" si="13"/>
        <v>7.6738150339394601E-2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1.42414</v>
      </c>
      <c r="F11" s="5">
        <v>125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1.4834499999999999</v>
      </c>
      <c r="F12" s="5">
        <v>106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1.42519</v>
      </c>
      <c r="F13" s="5">
        <v>118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1.42275</v>
      </c>
      <c r="F14" s="5">
        <v>95</v>
      </c>
      <c r="H14" s="5" t="s">
        <v>2</v>
      </c>
      <c r="I14" s="5">
        <v>47</v>
      </c>
      <c r="J14" s="5">
        <v>0.4</v>
      </c>
      <c r="L14" s="5">
        <f t="shared" ca="1" si="11"/>
        <v>4348.0289499999999</v>
      </c>
      <c r="M14" s="5">
        <f t="shared" ca="1" si="0"/>
        <v>4348.0289499999999</v>
      </c>
      <c r="N14" s="5">
        <f t="shared" ca="1" si="0"/>
        <v>4348.0289499999999</v>
      </c>
      <c r="O14" s="5">
        <f t="shared" ca="1" si="0"/>
        <v>4348.0289499999999</v>
      </c>
      <c r="P14" s="5">
        <f t="shared" ca="1" si="0"/>
        <v>4348.9064200000003</v>
      </c>
      <c r="Q14" s="5">
        <f t="shared" ca="1" si="0"/>
        <v>4348.0289499999999</v>
      </c>
      <c r="R14" s="5">
        <f t="shared" ca="1" si="0"/>
        <v>4348.0289499999999</v>
      </c>
      <c r="S14" s="5">
        <f t="shared" ca="1" si="0"/>
        <v>4348.0289499999999</v>
      </c>
      <c r="T14" s="5">
        <f t="shared" ca="1" si="0"/>
        <v>4348.0289499999999</v>
      </c>
      <c r="U14" s="5">
        <f t="shared" ca="1" si="0"/>
        <v>4348.0289499999999</v>
      </c>
      <c r="W14" s="5">
        <f t="shared" ca="1" si="12"/>
        <v>4348.1166969999995</v>
      </c>
      <c r="Y14" s="5">
        <f ca="1">Total!E14</f>
        <v>4348.0289499999999</v>
      </c>
      <c r="AB14" s="5">
        <f t="shared" ca="1" si="1"/>
        <v>0</v>
      </c>
      <c r="AC14" s="5">
        <f t="shared" ca="1" si="2"/>
        <v>0</v>
      </c>
      <c r="AD14" s="5">
        <f t="shared" ca="1" si="3"/>
        <v>0</v>
      </c>
      <c r="AE14" s="5">
        <f t="shared" ca="1" si="4"/>
        <v>0</v>
      </c>
      <c r="AF14" s="5">
        <f t="shared" ca="1" si="5"/>
        <v>2.0180868390960407E-4</v>
      </c>
      <c r="AG14" s="5">
        <f t="shared" ca="1" si="6"/>
        <v>0</v>
      </c>
      <c r="AH14" s="5">
        <f t="shared" ca="1" si="7"/>
        <v>0</v>
      </c>
      <c r="AI14" s="5">
        <f t="shared" ca="1" si="8"/>
        <v>0</v>
      </c>
      <c r="AJ14" s="5">
        <f t="shared" ca="1" si="9"/>
        <v>0</v>
      </c>
      <c r="AK14" s="5">
        <f t="shared" ca="1" si="10"/>
        <v>0</v>
      </c>
      <c r="AM14" s="5">
        <f t="shared" ca="1" si="13"/>
        <v>2.0180868390960407E-4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1.43164</v>
      </c>
      <c r="F15" s="5">
        <v>121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1.4262600000000001</v>
      </c>
      <c r="F16" s="5">
        <v>103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1.4289000000000001</v>
      </c>
      <c r="F17" s="5">
        <v>110</v>
      </c>
      <c r="H17" s="5" t="s">
        <v>2</v>
      </c>
      <c r="I17" s="5">
        <v>100</v>
      </c>
      <c r="J17" s="5">
        <v>0.4</v>
      </c>
      <c r="L17" s="5">
        <f t="shared" ca="1" si="11"/>
        <v>42986.345820000002</v>
      </c>
      <c r="M17" s="5">
        <f t="shared" ca="1" si="0"/>
        <v>42986.403050000001</v>
      </c>
      <c r="N17" s="5">
        <f t="shared" ca="1" si="0"/>
        <v>42986.673049999998</v>
      </c>
      <c r="O17" s="5">
        <f t="shared" ca="1" si="0"/>
        <v>42986.403050000001</v>
      </c>
      <c r="P17" s="5">
        <f t="shared" ca="1" si="0"/>
        <v>42986.673049999998</v>
      </c>
      <c r="Q17" s="5">
        <f t="shared" ca="1" si="0"/>
        <v>42986.57692</v>
      </c>
      <c r="R17" s="5">
        <f t="shared" ca="1" si="0"/>
        <v>42986.673049999998</v>
      </c>
      <c r="S17" s="5">
        <f t="shared" ca="1" si="0"/>
        <v>42986.403050000001</v>
      </c>
      <c r="T17" s="5">
        <f t="shared" ca="1" si="0"/>
        <v>42986.403050000001</v>
      </c>
      <c r="U17" s="5">
        <f t="shared" ca="1" si="0"/>
        <v>42986.403050000001</v>
      </c>
      <c r="W17" s="5">
        <f t="shared" ca="1" si="12"/>
        <v>42986.495714000004</v>
      </c>
      <c r="Y17" s="5">
        <f ca="1">Total!E17</f>
        <v>42986.193919999998</v>
      </c>
      <c r="AB17" s="5">
        <f t="shared" ca="1" si="1"/>
        <v>3.5336927081072652E-6</v>
      </c>
      <c r="AC17" s="5">
        <f t="shared" ca="1" si="2"/>
        <v>4.8650504018131747E-6</v>
      </c>
      <c r="AD17" s="5">
        <f t="shared" ca="1" si="3"/>
        <v>1.1146136847830832E-5</v>
      </c>
      <c r="AE17" s="5">
        <f t="shared" ca="1" si="4"/>
        <v>4.8650504018131747E-6</v>
      </c>
      <c r="AF17" s="5">
        <f t="shared" ca="1" si="5"/>
        <v>1.1146136847830832E-5</v>
      </c>
      <c r="AG17" s="5">
        <f t="shared" ca="1" si="6"/>
        <v>8.9098374402352728E-6</v>
      </c>
      <c r="AH17" s="5">
        <f t="shared" ca="1" si="7"/>
        <v>1.1146136847830832E-5</v>
      </c>
      <c r="AI17" s="5">
        <f t="shared" ca="1" si="8"/>
        <v>4.8650504018131747E-6</v>
      </c>
      <c r="AJ17" s="5">
        <f t="shared" ca="1" si="9"/>
        <v>4.8650504018131747E-6</v>
      </c>
      <c r="AK17" s="5">
        <f t="shared" ca="1" si="10"/>
        <v>4.8650504018131747E-6</v>
      </c>
      <c r="AM17" s="5">
        <f t="shared" ca="1" si="13"/>
        <v>7.0207192700900918E-5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1.4241299999999999</v>
      </c>
      <c r="F18" s="5">
        <v>126</v>
      </c>
      <c r="H18" s="5" t="s">
        <v>2</v>
      </c>
      <c r="I18" s="5">
        <v>100</v>
      </c>
      <c r="J18" s="5">
        <v>0.7</v>
      </c>
      <c r="L18" s="5">
        <f t="shared" ca="1" si="11"/>
        <v>35701.504520000002</v>
      </c>
      <c r="M18" s="5">
        <f t="shared" ca="1" si="11"/>
        <v>35652.211219999997</v>
      </c>
      <c r="N18" s="5">
        <f t="shared" ca="1" si="11"/>
        <v>35791.418080000003</v>
      </c>
      <c r="O18" s="5">
        <f t="shared" ca="1" si="11"/>
        <v>35451.923340000001</v>
      </c>
      <c r="P18" s="5">
        <f t="shared" ca="1" si="11"/>
        <v>35606.554730000003</v>
      </c>
      <c r="Q18" s="5">
        <f t="shared" ca="1" si="11"/>
        <v>35653.122960000001</v>
      </c>
      <c r="R18" s="5">
        <f t="shared" ca="1" si="11"/>
        <v>35494.588159999999</v>
      </c>
      <c r="S18" s="5">
        <f t="shared" ca="1" si="11"/>
        <v>35628.985930000003</v>
      </c>
      <c r="T18" s="5">
        <f t="shared" ca="1" si="11"/>
        <v>35727.484389999998</v>
      </c>
      <c r="U18" s="5">
        <f t="shared" ca="1" si="11"/>
        <v>35744.829270000002</v>
      </c>
      <c r="W18" s="5">
        <f t="shared" ca="1" si="12"/>
        <v>35645.262260000003</v>
      </c>
      <c r="Y18" s="5">
        <f ca="1">Total!E18</f>
        <v>35336.072039999999</v>
      </c>
      <c r="AB18" s="5">
        <f t="shared" ca="1" si="1"/>
        <v>1.0341627093875575E-2</v>
      </c>
      <c r="AC18" s="5">
        <f t="shared" ca="1" si="2"/>
        <v>8.9466418237469248E-3</v>
      </c>
      <c r="AD18" s="5">
        <f t="shared" ca="1" si="3"/>
        <v>1.2886153262438391E-2</v>
      </c>
      <c r="AE18" s="5">
        <f t="shared" ca="1" si="4"/>
        <v>3.2785562546074685E-3</v>
      </c>
      <c r="AF18" s="5">
        <f t="shared" ca="1" si="5"/>
        <v>7.6545771610897016E-3</v>
      </c>
      <c r="AG18" s="5">
        <f t="shared" ca="1" si="6"/>
        <v>8.9724437860864599E-3</v>
      </c>
      <c r="AH18" s="5">
        <f t="shared" ca="1" si="7"/>
        <v>4.4859575739080995E-3</v>
      </c>
      <c r="AI18" s="5">
        <f t="shared" ca="1" si="8"/>
        <v>8.2893732407050939E-3</v>
      </c>
      <c r="AJ18" s="5">
        <f t="shared" ca="1" si="9"/>
        <v>1.1076849445997414E-2</v>
      </c>
      <c r="AK18" s="5">
        <f t="shared" ca="1" si="10"/>
        <v>1.156770422975408E-2</v>
      </c>
      <c r="AM18" s="5">
        <f t="shared" ca="1" si="13"/>
        <v>8.7499883872209208E-2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1.45604</v>
      </c>
      <c r="F19" s="5">
        <v>112</v>
      </c>
      <c r="H19" s="5" t="s">
        <v>2</v>
      </c>
      <c r="I19" s="5">
        <v>100</v>
      </c>
      <c r="J19" s="5">
        <v>1</v>
      </c>
      <c r="L19" s="5">
        <f t="shared" ca="1" si="11"/>
        <v>35273.663</v>
      </c>
      <c r="M19" s="5">
        <f t="shared" ca="1" si="11"/>
        <v>35245.578540000002</v>
      </c>
      <c r="N19" s="5">
        <f t="shared" ca="1" si="11"/>
        <v>35221.729010000003</v>
      </c>
      <c r="O19" s="5">
        <f t="shared" ca="1" si="11"/>
        <v>35228.582999999999</v>
      </c>
      <c r="P19" s="5">
        <f t="shared" ca="1" si="11"/>
        <v>35243.255490000003</v>
      </c>
      <c r="Q19" s="5">
        <f t="shared" ca="1" si="11"/>
        <v>35259.612699999998</v>
      </c>
      <c r="R19" s="5">
        <f t="shared" ca="1" si="11"/>
        <v>35245.1</v>
      </c>
      <c r="S19" s="5">
        <f t="shared" ca="1" si="11"/>
        <v>35249.230000000003</v>
      </c>
      <c r="T19" s="5">
        <f t="shared" ca="1" si="11"/>
        <v>35235.179060000002</v>
      </c>
      <c r="U19" s="5">
        <f t="shared" ca="1" si="11"/>
        <v>35280.606670000001</v>
      </c>
      <c r="W19" s="5">
        <f t="shared" ca="1" si="12"/>
        <v>35248.253747000002</v>
      </c>
      <c r="Y19" s="5">
        <f ca="1">Total!E19</f>
        <v>35203.853329999998</v>
      </c>
      <c r="AB19" s="5">
        <f t="shared" ca="1" si="1"/>
        <v>1.9830121818088593E-3</v>
      </c>
      <c r="AC19" s="5">
        <f t="shared" ca="1" si="2"/>
        <v>1.1852455357336349E-3</v>
      </c>
      <c r="AD19" s="5">
        <f t="shared" ca="1" si="3"/>
        <v>5.0777623211977656E-4</v>
      </c>
      <c r="AE19" s="5">
        <f t="shared" ca="1" si="4"/>
        <v>7.0247054401077476E-4</v>
      </c>
      <c r="AF19" s="5">
        <f t="shared" ca="1" si="5"/>
        <v>1.1192570208337787E-3</v>
      </c>
      <c r="AG19" s="5">
        <f t="shared" ca="1" si="6"/>
        <v>1.5838996225019145E-3</v>
      </c>
      <c r="AH19" s="5">
        <f t="shared" ca="1" si="7"/>
        <v>1.1716521374337987E-3</v>
      </c>
      <c r="AI19" s="5">
        <f t="shared" ca="1" si="8"/>
        <v>1.2889688402756764E-3</v>
      </c>
      <c r="AJ19" s="5">
        <f t="shared" ca="1" si="9"/>
        <v>8.8983810114073424E-4</v>
      </c>
      <c r="AK19" s="5">
        <f t="shared" ca="1" si="10"/>
        <v>2.1802539421045515E-3</v>
      </c>
      <c r="AM19" s="5">
        <f t="shared" ca="1" si="13"/>
        <v>1.2612374157963499E-2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1.4287399999999999</v>
      </c>
      <c r="F20" s="5">
        <v>115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1.7751699999999999</v>
      </c>
      <c r="F21" s="5">
        <v>172</v>
      </c>
      <c r="H21" s="5" t="s">
        <v>1</v>
      </c>
      <c r="I21" s="5">
        <v>30</v>
      </c>
      <c r="J21" s="5">
        <v>0.7</v>
      </c>
      <c r="L21" s="5">
        <f t="shared" ca="1" si="11"/>
        <v>675.36989000000005</v>
      </c>
      <c r="M21" s="5">
        <f t="shared" ca="1" si="11"/>
        <v>675.36581000000001</v>
      </c>
      <c r="N21" s="5">
        <f t="shared" ca="1" si="11"/>
        <v>675.36581000000001</v>
      </c>
      <c r="O21" s="5">
        <f t="shared" ca="1" si="11"/>
        <v>675.36989000000005</v>
      </c>
      <c r="P21" s="5">
        <f t="shared" ca="1" si="11"/>
        <v>675.38611000000003</v>
      </c>
      <c r="Q21" s="5">
        <f t="shared" ca="1" si="11"/>
        <v>675.47965999999997</v>
      </c>
      <c r="R21" s="5">
        <f t="shared" ca="1" si="11"/>
        <v>675.38247999999999</v>
      </c>
      <c r="S21" s="5">
        <f t="shared" ca="1" si="11"/>
        <v>675.36581000000001</v>
      </c>
      <c r="T21" s="5">
        <f t="shared" ca="1" si="11"/>
        <v>675.36581000000001</v>
      </c>
      <c r="U21" s="5">
        <f t="shared" ca="1" si="11"/>
        <v>675.36989000000005</v>
      </c>
      <c r="W21" s="5">
        <f t="shared" ca="1" si="12"/>
        <v>675.382116</v>
      </c>
      <c r="Y21" s="5">
        <f ca="1">Total!E21</f>
        <v>675.36581000000001</v>
      </c>
      <c r="AB21" s="5">
        <f t="shared" ca="1" si="1"/>
        <v>6.0411704881010963E-6</v>
      </c>
      <c r="AC21" s="5">
        <f t="shared" ca="1" si="2"/>
        <v>0</v>
      </c>
      <c r="AD21" s="5">
        <f t="shared" ca="1" si="3"/>
        <v>0</v>
      </c>
      <c r="AE21" s="5">
        <f t="shared" ca="1" si="4"/>
        <v>6.0411704881010963E-6</v>
      </c>
      <c r="AF21" s="5">
        <f t="shared" ca="1" si="5"/>
        <v>3.0057784536087472E-5</v>
      </c>
      <c r="AG21" s="5">
        <f t="shared" ca="1" si="6"/>
        <v>1.685753088388598E-4</v>
      </c>
      <c r="AH21" s="5">
        <f t="shared" ca="1" si="7"/>
        <v>2.468291961652075E-5</v>
      </c>
      <c r="AI21" s="5">
        <f t="shared" ca="1" si="8"/>
        <v>0</v>
      </c>
      <c r="AJ21" s="5">
        <f t="shared" ca="1" si="9"/>
        <v>0</v>
      </c>
      <c r="AK21" s="5">
        <f t="shared" ca="1" si="10"/>
        <v>6.0411704881010963E-6</v>
      </c>
      <c r="AM21" s="5">
        <f t="shared" ca="1" si="13"/>
        <v>2.4143952445577132E-4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1.7741499999999999</v>
      </c>
      <c r="F22" s="5">
        <v>182</v>
      </c>
      <c r="H22" s="5" t="s">
        <v>1</v>
      </c>
      <c r="I22" s="5">
        <v>30</v>
      </c>
      <c r="J22" s="5">
        <v>1</v>
      </c>
      <c r="L22" s="5">
        <f t="shared" ca="1" si="11"/>
        <v>657.32380999999998</v>
      </c>
      <c r="M22" s="5">
        <f t="shared" ca="1" si="11"/>
        <v>659.84542999999996</v>
      </c>
      <c r="N22" s="5">
        <f t="shared" ca="1" si="11"/>
        <v>655.43295999999998</v>
      </c>
      <c r="O22" s="5">
        <f t="shared" ca="1" si="11"/>
        <v>655.43295999999998</v>
      </c>
      <c r="P22" s="5">
        <f t="shared" ca="1" si="11"/>
        <v>655.43295999999998</v>
      </c>
      <c r="Q22" s="5">
        <f t="shared" ca="1" si="11"/>
        <v>655.46475999999996</v>
      </c>
      <c r="R22" s="5">
        <f t="shared" ca="1" si="11"/>
        <v>656.34204</v>
      </c>
      <c r="S22" s="5">
        <f t="shared" ca="1" si="11"/>
        <v>657.32380999999998</v>
      </c>
      <c r="T22" s="5">
        <f t="shared" ca="1" si="11"/>
        <v>658.23289</v>
      </c>
      <c r="U22" s="5">
        <f t="shared" ca="1" si="11"/>
        <v>655.43295999999998</v>
      </c>
      <c r="W22" s="5">
        <f t="shared" ca="1" si="12"/>
        <v>656.62645799999996</v>
      </c>
      <c r="Y22" s="5">
        <f ca="1">Total!E22</f>
        <v>655.43295999999998</v>
      </c>
      <c r="AB22" s="5">
        <f t="shared" ca="1" si="1"/>
        <v>2.8848869608266272E-3</v>
      </c>
      <c r="AC22" s="5">
        <f t="shared" ca="1" si="2"/>
        <v>6.7321454203340412E-3</v>
      </c>
      <c r="AD22" s="5">
        <f t="shared" ca="1" si="3"/>
        <v>0</v>
      </c>
      <c r="AE22" s="5">
        <f t="shared" ca="1" si="4"/>
        <v>0</v>
      </c>
      <c r="AF22" s="5">
        <f t="shared" ca="1" si="5"/>
        <v>0</v>
      </c>
      <c r="AG22" s="5">
        <f t="shared" ca="1" si="6"/>
        <v>4.8517547851080951E-5</v>
      </c>
      <c r="AH22" s="5">
        <f t="shared" ca="1" si="7"/>
        <v>1.3869915849212362E-3</v>
      </c>
      <c r="AI22" s="5">
        <f t="shared" ca="1" si="8"/>
        <v>2.8848869608266272E-3</v>
      </c>
      <c r="AJ22" s="5">
        <f t="shared" ca="1" si="9"/>
        <v>4.2718785457478634E-3</v>
      </c>
      <c r="AK22" s="5">
        <f t="shared" ca="1" si="10"/>
        <v>0</v>
      </c>
      <c r="AM22" s="5">
        <f t="shared" ca="1" si="13"/>
        <v>1.8209307020507475E-2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1.7713399999999999</v>
      </c>
      <c r="F23" s="5">
        <v>174</v>
      </c>
      <c r="H23" s="5" t="s">
        <v>1</v>
      </c>
      <c r="I23" s="5">
        <v>50</v>
      </c>
      <c r="J23" s="5">
        <v>0.4</v>
      </c>
      <c r="L23" s="5">
        <f t="shared" ca="1" si="11"/>
        <v>1459.9687899999999</v>
      </c>
      <c r="M23" s="5">
        <f t="shared" ca="1" si="11"/>
        <v>1459.9687899999999</v>
      </c>
      <c r="N23" s="5">
        <f t="shared" ca="1" si="11"/>
        <v>1459.9687899999999</v>
      </c>
      <c r="O23" s="5">
        <f t="shared" ca="1" si="11"/>
        <v>1459.9687899999999</v>
      </c>
      <c r="P23" s="5">
        <f t="shared" ca="1" si="11"/>
        <v>1459.9687899999999</v>
      </c>
      <c r="Q23" s="5">
        <f t="shared" ca="1" si="11"/>
        <v>1468.7979600000001</v>
      </c>
      <c r="R23" s="5">
        <f t="shared" ca="1" si="11"/>
        <v>1459.9687899999999</v>
      </c>
      <c r="S23" s="5">
        <f t="shared" ca="1" si="11"/>
        <v>1459.9687899999999</v>
      </c>
      <c r="T23" s="5">
        <f t="shared" ca="1" si="11"/>
        <v>1459.9687899999999</v>
      </c>
      <c r="U23" s="5">
        <f t="shared" ca="1" si="11"/>
        <v>1459.9687899999999</v>
      </c>
      <c r="W23" s="5">
        <f t="shared" ca="1" si="12"/>
        <v>1460.8517069999998</v>
      </c>
      <c r="Y23" s="5">
        <f ca="1">Total!E23</f>
        <v>1459.9687899999999</v>
      </c>
      <c r="AB23" s="5">
        <f t="shared" ca="1" si="1"/>
        <v>0</v>
      </c>
      <c r="AC23" s="5">
        <f t="shared" ca="1" si="2"/>
        <v>0</v>
      </c>
      <c r="AD23" s="5">
        <f t="shared" ca="1" si="3"/>
        <v>0</v>
      </c>
      <c r="AE23" s="5">
        <f t="shared" ca="1" si="4"/>
        <v>0</v>
      </c>
      <c r="AF23" s="5">
        <f t="shared" ca="1" si="5"/>
        <v>0</v>
      </c>
      <c r="AG23" s="5">
        <f t="shared" ca="1" si="6"/>
        <v>6.0475059881247217E-3</v>
      </c>
      <c r="AH23" s="5">
        <f t="shared" ca="1" si="7"/>
        <v>0</v>
      </c>
      <c r="AI23" s="5">
        <f t="shared" ca="1" si="8"/>
        <v>0</v>
      </c>
      <c r="AJ23" s="5">
        <f t="shared" ca="1" si="9"/>
        <v>0</v>
      </c>
      <c r="AK23" s="5">
        <f t="shared" ca="1" si="10"/>
        <v>0</v>
      </c>
      <c r="AM23" s="5">
        <f t="shared" ca="1" si="13"/>
        <v>6.0475059881247217E-3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1.7721100000000001</v>
      </c>
      <c r="F24" s="5">
        <v>178</v>
      </c>
      <c r="H24" s="5" t="s">
        <v>1</v>
      </c>
      <c r="I24" s="5">
        <v>50</v>
      </c>
      <c r="J24" s="5">
        <v>0.7</v>
      </c>
      <c r="L24" s="5">
        <f t="shared" ca="1" si="11"/>
        <v>1012.7716799999999</v>
      </c>
      <c r="M24" s="5">
        <f t="shared" ca="1" si="11"/>
        <v>1016.2274200000001</v>
      </c>
      <c r="N24" s="5">
        <f t="shared" ca="1" si="11"/>
        <v>1023.64931</v>
      </c>
      <c r="O24" s="5">
        <f t="shared" ca="1" si="11"/>
        <v>1010.34509</v>
      </c>
      <c r="P24" s="5">
        <f t="shared" ca="1" si="11"/>
        <v>1014.14</v>
      </c>
      <c r="Q24" s="5">
        <f t="shared" ca="1" si="11"/>
        <v>1010.23572</v>
      </c>
      <c r="R24" s="5">
        <f t="shared" ca="1" si="11"/>
        <v>1012.12906</v>
      </c>
      <c r="S24" s="5">
        <f t="shared" ca="1" si="11"/>
        <v>1019.42881</v>
      </c>
      <c r="T24" s="5">
        <f t="shared" ca="1" si="11"/>
        <v>1015.7268299999999</v>
      </c>
      <c r="U24" s="5">
        <f t="shared" ca="1" si="11"/>
        <v>1012.33525</v>
      </c>
      <c r="W24" s="5">
        <f t="shared" ca="1" si="12"/>
        <v>1014.6989170000001</v>
      </c>
      <c r="Y24" s="5">
        <f ca="1">Total!E24</f>
        <v>1005.95063</v>
      </c>
      <c r="AB24" s="5">
        <f t="shared" ca="1" si="1"/>
        <v>6.7807005598275729E-3</v>
      </c>
      <c r="AC24" s="5">
        <f t="shared" ca="1" si="2"/>
        <v>1.021599837359812E-2</v>
      </c>
      <c r="AD24" s="5">
        <f t="shared" ca="1" si="3"/>
        <v>1.7593984706784235E-2</v>
      </c>
      <c r="AE24" s="5">
        <f t="shared" ca="1" si="4"/>
        <v>4.3684648818202746E-3</v>
      </c>
      <c r="AF24" s="5">
        <f t="shared" ca="1" si="5"/>
        <v>8.140926359378034E-3</v>
      </c>
      <c r="AG24" s="5">
        <f t="shared" ca="1" si="6"/>
        <v>4.2597418523411708E-3</v>
      </c>
      <c r="AH24" s="5">
        <f t="shared" ca="1" si="7"/>
        <v>6.1418819331122984E-3</v>
      </c>
      <c r="AI24" s="5">
        <f t="shared" ca="1" si="8"/>
        <v>1.3398450776853683E-2</v>
      </c>
      <c r="AJ24" s="5">
        <f t="shared" ca="1" si="9"/>
        <v>9.7183695784353787E-3</v>
      </c>
      <c r="AK24" s="5">
        <f t="shared" ca="1" si="10"/>
        <v>6.3468522307102955E-3</v>
      </c>
      <c r="AM24" s="5">
        <f t="shared" ca="1" si="13"/>
        <v>8.6965371252861051E-2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1.77196</v>
      </c>
      <c r="F25" s="5">
        <v>169</v>
      </c>
      <c r="H25" s="5" t="s">
        <v>1</v>
      </c>
      <c r="I25" s="5">
        <v>50</v>
      </c>
      <c r="J25" s="5">
        <v>1</v>
      </c>
      <c r="L25" s="5">
        <f t="shared" ca="1" si="11"/>
        <v>998.70889999999997</v>
      </c>
      <c r="M25" s="5">
        <f t="shared" ca="1" si="11"/>
        <v>994.66965000000005</v>
      </c>
      <c r="N25" s="5">
        <f t="shared" ca="1" si="11"/>
        <v>996.25809000000004</v>
      </c>
      <c r="O25" s="5">
        <f t="shared" ca="1" si="11"/>
        <v>1002.04984</v>
      </c>
      <c r="P25" s="5">
        <f t="shared" ca="1" si="11"/>
        <v>997.52890000000002</v>
      </c>
      <c r="Q25" s="5">
        <f t="shared" ca="1" si="11"/>
        <v>991.63333</v>
      </c>
      <c r="R25" s="5">
        <f t="shared" ca="1" si="11"/>
        <v>998.05631000000005</v>
      </c>
      <c r="S25" s="5">
        <f t="shared" ca="1" si="11"/>
        <v>991.54796999999996</v>
      </c>
      <c r="T25" s="5">
        <f t="shared" ca="1" si="11"/>
        <v>995.86120000000005</v>
      </c>
      <c r="U25" s="5">
        <f t="shared" ca="1" si="11"/>
        <v>992.6431</v>
      </c>
      <c r="W25" s="5">
        <f t="shared" ca="1" si="12"/>
        <v>995.89572899999985</v>
      </c>
      <c r="Y25" s="5">
        <f ca="1">Total!E25</f>
        <v>990.69820000000004</v>
      </c>
      <c r="AB25" s="5">
        <f t="shared" ca="1" si="1"/>
        <v>8.0859135506655081E-3</v>
      </c>
      <c r="AC25" s="5">
        <f t="shared" ca="1" si="2"/>
        <v>4.008738483627006E-3</v>
      </c>
      <c r="AD25" s="5">
        <f t="shared" ca="1" si="3"/>
        <v>5.6120925625987765E-3</v>
      </c>
      <c r="AE25" s="5">
        <f t="shared" ca="1" si="4"/>
        <v>1.1458222090238959E-2</v>
      </c>
      <c r="AF25" s="5">
        <f t="shared" ca="1" si="5"/>
        <v>6.8948343703460636E-3</v>
      </c>
      <c r="AG25" s="5">
        <f t="shared" ca="1" si="6"/>
        <v>9.4391006262044101E-4</v>
      </c>
      <c r="AH25" s="5">
        <f t="shared" ca="1" si="7"/>
        <v>7.4271962944921169E-3</v>
      </c>
      <c r="AI25" s="5">
        <f t="shared" ca="1" si="8"/>
        <v>8.577486059830544E-4</v>
      </c>
      <c r="AJ25" s="5">
        <f t="shared" ca="1" si="9"/>
        <v>5.2114761084657369E-3</v>
      </c>
      <c r="AK25" s="5">
        <f t="shared" ca="1" si="10"/>
        <v>1.9631609303418147E-3</v>
      </c>
      <c r="AM25" s="5">
        <f t="shared" ca="1" si="13"/>
        <v>5.2463293059379475E-2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1.7713300000000001</v>
      </c>
      <c r="F26" s="5">
        <v>179</v>
      </c>
      <c r="H26" s="5" t="s">
        <v>1</v>
      </c>
      <c r="I26" s="5">
        <v>100</v>
      </c>
      <c r="J26" s="5">
        <v>0.4</v>
      </c>
      <c r="L26" s="5">
        <f t="shared" ca="1" si="11"/>
        <v>1810.31077</v>
      </c>
      <c r="M26" s="5">
        <f t="shared" ca="1" si="11"/>
        <v>1809.63202</v>
      </c>
      <c r="N26" s="5">
        <f t="shared" ca="1" si="11"/>
        <v>1825.36241</v>
      </c>
      <c r="O26" s="5">
        <f t="shared" ca="1" si="11"/>
        <v>1806.5549599999999</v>
      </c>
      <c r="P26" s="5">
        <f t="shared" ca="1" si="11"/>
        <v>1824.8625300000001</v>
      </c>
      <c r="Q26" s="5">
        <f t="shared" ca="1" si="11"/>
        <v>1812.07429</v>
      </c>
      <c r="R26" s="5">
        <f t="shared" ca="1" si="11"/>
        <v>1808.83104</v>
      </c>
      <c r="S26" s="5">
        <f t="shared" ca="1" si="11"/>
        <v>1836.1492599999999</v>
      </c>
      <c r="T26" s="5">
        <f t="shared" ca="1" si="11"/>
        <v>1849.4666099999999</v>
      </c>
      <c r="U26" s="5">
        <f t="shared" ca="1" si="11"/>
        <v>1827.96541</v>
      </c>
      <c r="W26" s="5">
        <f t="shared" ca="1" si="12"/>
        <v>1821.1209299999998</v>
      </c>
      <c r="Y26" s="5">
        <f ca="1">Total!E26</f>
        <v>1786.3248599999999</v>
      </c>
      <c r="AB26" s="5">
        <f t="shared" ca="1" si="1"/>
        <v>1.3427518441410541E-2</v>
      </c>
      <c r="AC26" s="5">
        <f t="shared" ca="1" si="2"/>
        <v>1.3047548361388234E-2</v>
      </c>
      <c r="AD26" s="5">
        <f t="shared" ca="1" si="3"/>
        <v>2.1853555797236125E-2</v>
      </c>
      <c r="AE26" s="5">
        <f t="shared" ca="1" si="4"/>
        <v>1.1324983743438466E-2</v>
      </c>
      <c r="AF26" s="5">
        <f t="shared" ca="1" si="5"/>
        <v>2.1573718679591215E-2</v>
      </c>
      <c r="AG26" s="5">
        <f t="shared" ca="1" si="6"/>
        <v>1.4414752084903568E-2</v>
      </c>
      <c r="AH26" s="5">
        <f t="shared" ca="1" si="7"/>
        <v>1.2599152877489533E-2</v>
      </c>
      <c r="AI26" s="5">
        <f t="shared" ca="1" si="8"/>
        <v>2.7892127079281633E-2</v>
      </c>
      <c r="AJ26" s="5">
        <f t="shared" ca="1" si="9"/>
        <v>3.534729399668099E-2</v>
      </c>
      <c r="AK26" s="5">
        <f t="shared" ca="1" si="10"/>
        <v>2.3310737555317949E-2</v>
      </c>
      <c r="AM26" s="5">
        <f t="shared" ca="1" si="13"/>
        <v>0.19479138861673825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1.7699499999999999</v>
      </c>
      <c r="F27" s="5">
        <v>183</v>
      </c>
      <c r="H27" s="5" t="s">
        <v>1</v>
      </c>
      <c r="I27" s="5">
        <v>100</v>
      </c>
      <c r="J27" s="5">
        <v>0.7</v>
      </c>
      <c r="L27" s="5">
        <f t="shared" ca="1" si="11"/>
        <v>1782.6394</v>
      </c>
      <c r="M27" s="5">
        <f t="shared" ca="1" si="11"/>
        <v>1768.7857899999999</v>
      </c>
      <c r="N27" s="5">
        <f t="shared" ca="1" si="11"/>
        <v>1769.67723</v>
      </c>
      <c r="O27" s="5">
        <f t="shared" ca="1" si="11"/>
        <v>1777.04333</v>
      </c>
      <c r="P27" s="5">
        <f t="shared" ca="1" si="11"/>
        <v>1775.6249700000001</v>
      </c>
      <c r="Q27" s="5">
        <f t="shared" ca="1" si="11"/>
        <v>1777.9515799999999</v>
      </c>
      <c r="R27" s="5">
        <f t="shared" ca="1" si="11"/>
        <v>1776.61969</v>
      </c>
      <c r="S27" s="5">
        <f t="shared" ca="1" si="11"/>
        <v>1780.74667</v>
      </c>
      <c r="T27" s="5">
        <f t="shared" ca="1" si="11"/>
        <v>1782.75333</v>
      </c>
      <c r="U27" s="5">
        <f t="shared" ca="1" si="11"/>
        <v>1766.6027899999999</v>
      </c>
      <c r="W27" s="5">
        <f t="shared" ca="1" si="12"/>
        <v>1775.8444780000002</v>
      </c>
      <c r="Y27" s="5">
        <f ca="1">Total!E27</f>
        <v>1761.02206</v>
      </c>
      <c r="AB27" s="5">
        <f t="shared" ca="1" si="1"/>
        <v>1.2275450995770043E-2</v>
      </c>
      <c r="AC27" s="5">
        <f t="shared" ca="1" si="2"/>
        <v>4.4086500540486675E-3</v>
      </c>
      <c r="AD27" s="5">
        <f t="shared" ca="1" si="3"/>
        <v>4.914856092149123E-3</v>
      </c>
      <c r="AE27" s="5">
        <f t="shared" ca="1" si="4"/>
        <v>9.0977111325907852E-3</v>
      </c>
      <c r="AF27" s="5">
        <f t="shared" ca="1" si="5"/>
        <v>8.2922924883746581E-3</v>
      </c>
      <c r="AG27" s="5">
        <f t="shared" ca="1" si="6"/>
        <v>9.6134627637770257E-3</v>
      </c>
      <c r="AH27" s="5">
        <f t="shared" ca="1" si="7"/>
        <v>8.8571462869692728E-3</v>
      </c>
      <c r="AI27" s="5">
        <f t="shared" ca="1" si="8"/>
        <v>1.1200660371057467E-2</v>
      </c>
      <c r="AJ27" s="5">
        <f t="shared" ca="1" si="9"/>
        <v>1.2340146380676228E-2</v>
      </c>
      <c r="AK27" s="5">
        <f t="shared" ca="1" si="10"/>
        <v>3.1690290126177652E-3</v>
      </c>
      <c r="AM27" s="5">
        <f t="shared" ca="1" si="13"/>
        <v>8.4169405578031042E-2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1.77118</v>
      </c>
      <c r="F28" s="5">
        <v>162</v>
      </c>
      <c r="H28" s="5" t="s">
        <v>1</v>
      </c>
      <c r="I28" s="5">
        <v>100</v>
      </c>
      <c r="J28" s="5">
        <v>1</v>
      </c>
      <c r="L28" s="5">
        <f t="shared" ca="1" si="11"/>
        <v>1757.49667</v>
      </c>
      <c r="M28" s="5">
        <f t="shared" ca="1" si="11"/>
        <v>1758.21667</v>
      </c>
      <c r="N28" s="5">
        <f t="shared" ca="1" si="11"/>
        <v>1758.5833299999999</v>
      </c>
      <c r="O28" s="5">
        <f t="shared" ca="1" si="11"/>
        <v>1754.94685</v>
      </c>
      <c r="P28" s="5">
        <f t="shared" ca="1" si="11"/>
        <v>1757.5702000000001</v>
      </c>
      <c r="Q28" s="5">
        <f t="shared" ca="1" si="11"/>
        <v>1758.1198199999999</v>
      </c>
      <c r="R28" s="5">
        <f t="shared" ca="1" si="11"/>
        <v>1753.74333</v>
      </c>
      <c r="S28" s="5">
        <f t="shared" ca="1" si="11"/>
        <v>1759.36</v>
      </c>
      <c r="T28" s="5">
        <f t="shared" ca="1" si="11"/>
        <v>1758.085</v>
      </c>
      <c r="U28" s="5">
        <f t="shared" ca="1" si="11"/>
        <v>1753.1198199999999</v>
      </c>
      <c r="W28" s="5">
        <f t="shared" ca="1" si="12"/>
        <v>1756.9241689999999</v>
      </c>
      <c r="Y28" s="5">
        <f ca="1">Total!E28</f>
        <v>1753.1198199999999</v>
      </c>
      <c r="AB28" s="5">
        <f t="shared" ca="1" si="1"/>
        <v>2.4966063072631877E-3</v>
      </c>
      <c r="AC28" s="5">
        <f t="shared" ca="1" si="2"/>
        <v>2.9073027079233702E-3</v>
      </c>
      <c r="AD28" s="5">
        <f t="shared" ca="1" si="3"/>
        <v>3.1164498499595098E-3</v>
      </c>
      <c r="AE28" s="5">
        <f t="shared" ca="1" si="4"/>
        <v>1.042159229025287E-3</v>
      </c>
      <c r="AF28" s="5">
        <f t="shared" ca="1" si="5"/>
        <v>2.5385486771806751E-3</v>
      </c>
      <c r="AG28" s="5">
        <f t="shared" ca="1" si="6"/>
        <v>2.8520583379178272E-3</v>
      </c>
      <c r="AH28" s="5">
        <f t="shared" ca="1" si="7"/>
        <v>3.5565737885509958E-4</v>
      </c>
      <c r="AI28" s="5">
        <f t="shared" ca="1" si="8"/>
        <v>3.5594714798216189E-3</v>
      </c>
      <c r="AJ28" s="5">
        <f t="shared" ca="1" si="9"/>
        <v>2.8321966036526504E-3</v>
      </c>
      <c r="AK28" s="5">
        <f t="shared" ca="1" si="10"/>
        <v>0</v>
      </c>
      <c r="AM28" s="5">
        <f t="shared" ca="1" si="13"/>
        <v>2.1700450571599226E-2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1.77379</v>
      </c>
      <c r="F29" s="5">
        <v>184</v>
      </c>
      <c r="H29" s="5" t="s">
        <v>0</v>
      </c>
      <c r="I29" s="5">
        <v>25</v>
      </c>
      <c r="J29" s="5">
        <v>0.4</v>
      </c>
      <c r="L29" s="5">
        <f t="shared" ca="1" si="11"/>
        <v>42.424349999999997</v>
      </c>
      <c r="M29" s="5">
        <f t="shared" ca="1" si="11"/>
        <v>42.424349999999997</v>
      </c>
      <c r="N29" s="5">
        <f t="shared" ca="1" si="11"/>
        <v>41.318849999999998</v>
      </c>
      <c r="O29" s="5">
        <f t="shared" ca="1" si="11"/>
        <v>42.003419999999998</v>
      </c>
      <c r="P29" s="5">
        <f t="shared" ca="1" si="11"/>
        <v>41.318849999999998</v>
      </c>
      <c r="Q29" s="5">
        <f t="shared" ca="1" si="11"/>
        <v>42.424349999999997</v>
      </c>
      <c r="R29" s="5">
        <f t="shared" ca="1" si="11"/>
        <v>40.897550000000003</v>
      </c>
      <c r="S29" s="5">
        <f t="shared" ca="1" si="11"/>
        <v>41.318849999999998</v>
      </c>
      <c r="T29" s="5">
        <f t="shared" ca="1" si="11"/>
        <v>41.318849999999998</v>
      </c>
      <c r="U29" s="5">
        <f t="shared" ca="1" si="11"/>
        <v>41.318849999999998</v>
      </c>
      <c r="W29" s="5">
        <f t="shared" ca="1" si="12"/>
        <v>41.676826999999996</v>
      </c>
      <c r="Y29" s="5">
        <f ca="1">Total!E29</f>
        <v>40.897550000000003</v>
      </c>
      <c r="AB29" s="5">
        <f t="shared" ca="1" si="1"/>
        <v>3.7332309637129711E-2</v>
      </c>
      <c r="AC29" s="5">
        <f t="shared" ca="1" si="2"/>
        <v>3.7332309637129711E-2</v>
      </c>
      <c r="AD29" s="5">
        <f t="shared" ca="1" si="3"/>
        <v>1.0301350569899543E-2</v>
      </c>
      <c r="AE29" s="5">
        <f t="shared" ca="1" si="4"/>
        <v>2.7040006063932823E-2</v>
      </c>
      <c r="AF29" s="5">
        <f t="shared" ca="1" si="5"/>
        <v>1.0301350569899543E-2</v>
      </c>
      <c r="AG29" s="5">
        <f t="shared" ca="1" si="6"/>
        <v>3.7332309637129711E-2</v>
      </c>
      <c r="AH29" s="5">
        <f t="shared" ca="1" si="7"/>
        <v>0</v>
      </c>
      <c r="AI29" s="5">
        <f t="shared" ca="1" si="8"/>
        <v>1.0301350569899543E-2</v>
      </c>
      <c r="AJ29" s="5">
        <f t="shared" ca="1" si="9"/>
        <v>1.0301350569899543E-2</v>
      </c>
      <c r="AK29" s="5">
        <f t="shared" ca="1" si="10"/>
        <v>1.0301350569899543E-2</v>
      </c>
      <c r="AM29" s="5">
        <f t="shared" ca="1" si="13"/>
        <v>0.19054368782481965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1.7720400000000001</v>
      </c>
      <c r="F30" s="5">
        <v>173</v>
      </c>
      <c r="H30" s="5" t="s">
        <v>0</v>
      </c>
      <c r="I30" s="5">
        <v>25</v>
      </c>
      <c r="J30" s="5">
        <v>0.7</v>
      </c>
      <c r="L30" s="5">
        <f t="shared" ca="1" si="11"/>
        <v>28.682030000000001</v>
      </c>
      <c r="M30" s="5">
        <f t="shared" ca="1" si="11"/>
        <v>28.65436</v>
      </c>
      <c r="N30" s="5">
        <f t="shared" ca="1" si="11"/>
        <v>28.65436</v>
      </c>
      <c r="O30" s="5">
        <f t="shared" ca="1" si="11"/>
        <v>28.65436</v>
      </c>
      <c r="P30" s="5">
        <f t="shared" ca="1" si="11"/>
        <v>28.65436</v>
      </c>
      <c r="Q30" s="5">
        <f t="shared" ca="1" si="11"/>
        <v>28.65436</v>
      </c>
      <c r="R30" s="5">
        <f t="shared" ca="1" si="11"/>
        <v>28.65436</v>
      </c>
      <c r="S30" s="5">
        <f t="shared" ca="1" si="11"/>
        <v>28.65624</v>
      </c>
      <c r="T30" s="5">
        <f t="shared" ca="1" si="11"/>
        <v>28.65436</v>
      </c>
      <c r="U30" s="5">
        <f t="shared" ca="1" si="11"/>
        <v>28.65624</v>
      </c>
      <c r="W30" s="5">
        <f t="shared" ca="1" si="12"/>
        <v>28.657503000000002</v>
      </c>
      <c r="Y30" s="5">
        <f ca="1">Total!E30</f>
        <v>28.65436</v>
      </c>
      <c r="AB30" s="5">
        <f t="shared" ca="1" si="1"/>
        <v>9.6564711269072235E-4</v>
      </c>
      <c r="AC30" s="5">
        <f t="shared" ca="1" si="2"/>
        <v>0</v>
      </c>
      <c r="AD30" s="5">
        <f t="shared" ca="1" si="3"/>
        <v>0</v>
      </c>
      <c r="AE30" s="5">
        <f t="shared" ca="1" si="4"/>
        <v>0</v>
      </c>
      <c r="AF30" s="5">
        <f t="shared" ca="1" si="5"/>
        <v>0</v>
      </c>
      <c r="AG30" s="5">
        <f t="shared" ca="1" si="6"/>
        <v>0</v>
      </c>
      <c r="AH30" s="5">
        <f t="shared" ca="1" si="7"/>
        <v>0</v>
      </c>
      <c r="AI30" s="5">
        <f t="shared" ca="1" si="8"/>
        <v>6.5609561686245368E-5</v>
      </c>
      <c r="AJ30" s="5">
        <f t="shared" ca="1" si="9"/>
        <v>0</v>
      </c>
      <c r="AK30" s="5">
        <f t="shared" ca="1" si="10"/>
        <v>6.5609561686245368E-5</v>
      </c>
      <c r="AM30" s="5">
        <f t="shared" ca="1" si="13"/>
        <v>1.0968662360632132E-3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1.21807</v>
      </c>
      <c r="F31" s="5">
        <v>41</v>
      </c>
      <c r="H31" s="5" t="s">
        <v>0</v>
      </c>
      <c r="I31" s="5">
        <v>25</v>
      </c>
      <c r="J31" s="5">
        <v>1</v>
      </c>
      <c r="L31" s="5">
        <f t="shared" ca="1" si="11"/>
        <v>28.592030000000001</v>
      </c>
      <c r="M31" s="5">
        <f t="shared" ca="1" si="11"/>
        <v>28.592030000000001</v>
      </c>
      <c r="N31" s="5">
        <f t="shared" ca="1" si="11"/>
        <v>28.602029999999999</v>
      </c>
      <c r="O31" s="5">
        <f t="shared" ca="1" si="11"/>
        <v>28.592030000000001</v>
      </c>
      <c r="P31" s="5">
        <f t="shared" ca="1" si="11"/>
        <v>28.546240000000001</v>
      </c>
      <c r="Q31" s="5">
        <f t="shared" ca="1" si="11"/>
        <v>28.587009999999999</v>
      </c>
      <c r="R31" s="5">
        <f t="shared" ca="1" si="11"/>
        <v>28.592030000000001</v>
      </c>
      <c r="S31" s="5">
        <f t="shared" ca="1" si="11"/>
        <v>28.592030000000001</v>
      </c>
      <c r="T31" s="5">
        <f t="shared" ca="1" si="11"/>
        <v>28.546240000000001</v>
      </c>
      <c r="U31" s="5">
        <f t="shared" ca="1" si="11"/>
        <v>28.592030000000001</v>
      </c>
      <c r="W31" s="5">
        <f t="shared" ca="1" si="12"/>
        <v>28.583370000000002</v>
      </c>
      <c r="Y31" s="5">
        <f ca="1">Total!E31</f>
        <v>28.504100000000001</v>
      </c>
      <c r="AB31" s="5">
        <f t="shared" ca="1" si="1"/>
        <v>3.0848193768615766E-3</v>
      </c>
      <c r="AC31" s="5">
        <f t="shared" ca="1" si="2"/>
        <v>3.0848193768615766E-3</v>
      </c>
      <c r="AD31" s="5">
        <f t="shared" ca="1" si="3"/>
        <v>3.4356461000346642E-3</v>
      </c>
      <c r="AE31" s="5">
        <f t="shared" ca="1" si="4"/>
        <v>3.0848193768615766E-3</v>
      </c>
      <c r="AF31" s="5">
        <f t="shared" ca="1" si="5"/>
        <v>1.4783838114516804E-3</v>
      </c>
      <c r="AG31" s="5">
        <f t="shared" ca="1" si="6"/>
        <v>2.9087043618285882E-3</v>
      </c>
      <c r="AH31" s="5">
        <f t="shared" ca="1" si="7"/>
        <v>3.0848193768615766E-3</v>
      </c>
      <c r="AI31" s="5">
        <f t="shared" ca="1" si="8"/>
        <v>3.0848193768615766E-3</v>
      </c>
      <c r="AJ31" s="5">
        <f t="shared" ca="1" si="9"/>
        <v>1.4783838114516804E-3</v>
      </c>
      <c r="AK31" s="5">
        <f t="shared" ca="1" si="10"/>
        <v>3.0848193768615766E-3</v>
      </c>
      <c r="AM31" s="5">
        <f t="shared" ca="1" si="13"/>
        <v>2.7810034345936069E-2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1.2014100000000001</v>
      </c>
      <c r="F32" s="5">
        <v>42</v>
      </c>
      <c r="H32" s="5" t="s">
        <v>0</v>
      </c>
      <c r="I32" s="5">
        <v>50</v>
      </c>
      <c r="J32" s="5">
        <v>0.4</v>
      </c>
      <c r="L32" s="5">
        <f t="shared" ca="1" si="11"/>
        <v>59.04618</v>
      </c>
      <c r="M32" s="5">
        <f t="shared" ca="1" si="11"/>
        <v>56.861339999999998</v>
      </c>
      <c r="N32" s="5">
        <f t="shared" ca="1" si="11"/>
        <v>57.732329999999997</v>
      </c>
      <c r="O32" s="5">
        <f t="shared" ca="1" si="11"/>
        <v>56.901339999999998</v>
      </c>
      <c r="P32" s="5">
        <f t="shared" ca="1" si="11"/>
        <v>58.742089999999997</v>
      </c>
      <c r="Q32" s="5">
        <f t="shared" ca="1" si="11"/>
        <v>59.089509999999997</v>
      </c>
      <c r="R32" s="5">
        <f t="shared" ca="1" si="11"/>
        <v>56.971339999999998</v>
      </c>
      <c r="S32" s="5">
        <f t="shared" ca="1" si="11"/>
        <v>58.040109999999999</v>
      </c>
      <c r="T32" s="5">
        <f t="shared" ca="1" si="11"/>
        <v>58.837319999999998</v>
      </c>
      <c r="U32" s="5">
        <f t="shared" ca="1" si="11"/>
        <v>59.072850000000003</v>
      </c>
      <c r="W32" s="5">
        <f t="shared" ca="1" si="12"/>
        <v>58.129441</v>
      </c>
      <c r="Y32" s="5">
        <f ca="1">Total!E32</f>
        <v>56.511339999999997</v>
      </c>
      <c r="AB32" s="5">
        <f t="shared" ca="1" si="1"/>
        <v>4.4855421938322516E-2</v>
      </c>
      <c r="AC32" s="5">
        <f t="shared" ca="1" si="2"/>
        <v>6.1934471913071155E-3</v>
      </c>
      <c r="AD32" s="5">
        <f t="shared" ca="1" si="3"/>
        <v>2.1606105960325847E-2</v>
      </c>
      <c r="AE32" s="5">
        <f t="shared" ca="1" si="4"/>
        <v>6.901269727456482E-3</v>
      </c>
      <c r="AF32" s="5">
        <f t="shared" ca="1" si="5"/>
        <v>3.9474378062880844E-2</v>
      </c>
      <c r="AG32" s="5">
        <f t="shared" ca="1" si="6"/>
        <v>4.5622170700606292E-2</v>
      </c>
      <c r="AH32" s="5">
        <f t="shared" ca="1" si="7"/>
        <v>8.1399591657179051E-3</v>
      </c>
      <c r="AI32" s="5">
        <f t="shared" ca="1" si="8"/>
        <v>2.7052446464727285E-2</v>
      </c>
      <c r="AJ32" s="5">
        <f t="shared" ca="1" si="9"/>
        <v>4.1159526565818498E-2</v>
      </c>
      <c r="AK32" s="5">
        <f t="shared" ca="1" si="10"/>
        <v>4.5327362614300169E-2</v>
      </c>
      <c r="AM32" s="5">
        <f t="shared" ca="1" si="13"/>
        <v>0.28633208839146296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1.2096</v>
      </c>
      <c r="F33" s="5">
        <v>39</v>
      </c>
      <c r="H33" s="5" t="s">
        <v>0</v>
      </c>
      <c r="I33" s="5">
        <v>50</v>
      </c>
      <c r="J33" s="5">
        <v>0.7</v>
      </c>
      <c r="L33" s="5">
        <f t="shared" ca="1" si="11"/>
        <v>53.505070000000003</v>
      </c>
      <c r="M33" s="5">
        <f t="shared" ca="1" si="11"/>
        <v>54.338070000000002</v>
      </c>
      <c r="N33" s="5">
        <f t="shared" ca="1" si="11"/>
        <v>53.896079999999998</v>
      </c>
      <c r="O33" s="5">
        <f t="shared" ca="1" si="11"/>
        <v>53.759219999999999</v>
      </c>
      <c r="P33" s="5">
        <f t="shared" ca="1" si="11"/>
        <v>53.874980000000001</v>
      </c>
      <c r="Q33" s="5">
        <f t="shared" ca="1" si="11"/>
        <v>53.505070000000003</v>
      </c>
      <c r="R33" s="5">
        <f t="shared" ca="1" si="11"/>
        <v>53.474980000000002</v>
      </c>
      <c r="S33" s="5">
        <f t="shared" ca="1" si="11"/>
        <v>53.474980000000002</v>
      </c>
      <c r="T33" s="5">
        <f t="shared" ca="1" si="11"/>
        <v>53.232660000000003</v>
      </c>
      <c r="U33" s="5">
        <f t="shared" ca="1" si="11"/>
        <v>53.846080000000001</v>
      </c>
      <c r="W33" s="5">
        <f t="shared" ca="1" si="12"/>
        <v>53.690719000000001</v>
      </c>
      <c r="Y33" s="5">
        <f ca="1">Total!E33</f>
        <v>53.115070000000003</v>
      </c>
      <c r="AB33" s="5">
        <f t="shared" ca="1" si="1"/>
        <v>7.342548922556264E-3</v>
      </c>
      <c r="AC33" s="5">
        <f t="shared" ca="1" si="2"/>
        <v>2.3025480339195617E-2</v>
      </c>
      <c r="AD33" s="5">
        <f t="shared" ca="1" si="3"/>
        <v>1.4704113164116978E-2</v>
      </c>
      <c r="AE33" s="5">
        <f t="shared" ca="1" si="4"/>
        <v>1.212744330375534E-2</v>
      </c>
      <c r="AF33" s="5">
        <f t="shared" ca="1" si="5"/>
        <v>1.4306862440358222E-2</v>
      </c>
      <c r="AG33" s="5">
        <f t="shared" ca="1" si="6"/>
        <v>7.342548922556264E-3</v>
      </c>
      <c r="AH33" s="5">
        <f t="shared" ca="1" si="7"/>
        <v>6.7760430326082458E-3</v>
      </c>
      <c r="AI33" s="5">
        <f t="shared" ca="1" si="8"/>
        <v>6.7760430326082458E-3</v>
      </c>
      <c r="AJ33" s="5">
        <f t="shared" ca="1" si="9"/>
        <v>2.2138726353933048E-3</v>
      </c>
      <c r="AK33" s="5">
        <f t="shared" ca="1" si="10"/>
        <v>1.3762760738148283E-2</v>
      </c>
      <c r="AM33" s="5">
        <f t="shared" ca="1" si="13"/>
        <v>0.10837771653129676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1.2027699999999999</v>
      </c>
      <c r="F34" s="5">
        <v>40</v>
      </c>
      <c r="H34" s="5" t="s">
        <v>0</v>
      </c>
      <c r="I34" s="5">
        <v>50</v>
      </c>
      <c r="J34" s="5">
        <v>1</v>
      </c>
      <c r="L34" s="5">
        <f t="shared" ca="1" si="11"/>
        <v>53.217489999999998</v>
      </c>
      <c r="M34" s="5">
        <f t="shared" ca="1" si="11"/>
        <v>53.38749</v>
      </c>
      <c r="N34" s="5">
        <f t="shared" ca="1" si="11"/>
        <v>53.38749</v>
      </c>
      <c r="O34" s="5">
        <f t="shared" ca="1" si="11"/>
        <v>53.217489999999998</v>
      </c>
      <c r="P34" s="5">
        <f t="shared" ca="1" si="11"/>
        <v>53.257489999999997</v>
      </c>
      <c r="Q34" s="5">
        <f t="shared" ca="1" si="11"/>
        <v>53.126739999999998</v>
      </c>
      <c r="R34" s="5">
        <f t="shared" ca="1" si="11"/>
        <v>53.288319999999999</v>
      </c>
      <c r="S34" s="5">
        <f t="shared" ca="1" si="11"/>
        <v>53.502189999999999</v>
      </c>
      <c r="T34" s="5">
        <f t="shared" ca="1" si="11"/>
        <v>53.307569999999998</v>
      </c>
      <c r="U34" s="5">
        <f t="shared" ca="1" si="11"/>
        <v>53.487490000000001</v>
      </c>
      <c r="W34" s="5">
        <f t="shared" ca="1" si="12"/>
        <v>53.317976000000002</v>
      </c>
      <c r="Y34" s="5">
        <f ca="1">Total!E34</f>
        <v>53.003740000000001</v>
      </c>
      <c r="AB34" s="5">
        <f t="shared" ca="1" si="1"/>
        <v>4.0327342938441223E-3</v>
      </c>
      <c r="AC34" s="5">
        <f t="shared" ca="1" si="2"/>
        <v>7.2400551357319149E-3</v>
      </c>
      <c r="AD34" s="5">
        <f t="shared" ca="1" si="3"/>
        <v>7.2400551357319149E-3</v>
      </c>
      <c r="AE34" s="5">
        <f t="shared" ca="1" si="4"/>
        <v>4.0327342938441223E-3</v>
      </c>
      <c r="AF34" s="5">
        <f t="shared" ca="1" si="5"/>
        <v>4.7873980213471081E-3</v>
      </c>
      <c r="AG34" s="5">
        <f t="shared" ca="1" si="6"/>
        <v>2.3205909620716871E-3</v>
      </c>
      <c r="AH34" s="5">
        <f t="shared" ca="1" si="7"/>
        <v>5.3690550893200793E-3</v>
      </c>
      <c r="AI34" s="5">
        <f t="shared" ca="1" si="8"/>
        <v>9.4040533743467592E-3</v>
      </c>
      <c r="AJ34" s="5">
        <f t="shared" ca="1" si="9"/>
        <v>5.7322370081808911E-3</v>
      </c>
      <c r="AK34" s="5">
        <f t="shared" ca="1" si="10"/>
        <v>9.1267144544894489E-3</v>
      </c>
      <c r="AM34" s="5">
        <f t="shared" ca="1" si="13"/>
        <v>5.9285627768908049E-2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1.2169300000000001</v>
      </c>
      <c r="F35" s="5">
        <v>43</v>
      </c>
      <c r="H35" s="5" t="s">
        <v>0</v>
      </c>
      <c r="I35" s="5">
        <v>100</v>
      </c>
      <c r="J35" s="5">
        <v>0.4</v>
      </c>
      <c r="L35" s="5">
        <f t="shared" ca="1" si="11"/>
        <v>148.16319999999999</v>
      </c>
      <c r="M35" s="5">
        <f t="shared" ca="1" si="11"/>
        <v>148.17402999999999</v>
      </c>
      <c r="N35" s="5">
        <f t="shared" ca="1" si="11"/>
        <v>148.21950000000001</v>
      </c>
      <c r="O35" s="5">
        <f t="shared" ca="1" si="11"/>
        <v>148.14320000000001</v>
      </c>
      <c r="P35" s="5">
        <f t="shared" ca="1" si="11"/>
        <v>148.29698999999999</v>
      </c>
      <c r="Q35" s="5">
        <f t="shared" ca="1" si="11"/>
        <v>148.20547999999999</v>
      </c>
      <c r="R35" s="5">
        <f t="shared" ca="1" si="11"/>
        <v>148.15478999999999</v>
      </c>
      <c r="S35" s="5">
        <f t="shared" ca="1" si="11"/>
        <v>148.89247</v>
      </c>
      <c r="T35" s="5">
        <f t="shared" ca="1" si="11"/>
        <v>148.17902000000001</v>
      </c>
      <c r="U35" s="5">
        <f t="shared" ca="1" si="11"/>
        <v>148.14698999999999</v>
      </c>
      <c r="W35" s="5">
        <f t="shared" ca="1" si="12"/>
        <v>148.25756699999999</v>
      </c>
      <c r="Y35" s="5">
        <f ca="1">Total!E35</f>
        <v>147.96312</v>
      </c>
      <c r="AB35" s="5">
        <f t="shared" ca="1" si="1"/>
        <v>1.352228852703198E-3</v>
      </c>
      <c r="AC35" s="5">
        <f t="shared" ca="1" si="2"/>
        <v>1.4254227675111484E-3</v>
      </c>
      <c r="AD35" s="5">
        <f t="shared" ca="1" si="3"/>
        <v>1.7327290746505424E-3</v>
      </c>
      <c r="AE35" s="5">
        <f t="shared" ca="1" si="4"/>
        <v>1.2170600349600887E-3</v>
      </c>
      <c r="AF35" s="5">
        <f t="shared" ca="1" si="5"/>
        <v>2.2564406589965819E-3</v>
      </c>
      <c r="AG35" s="5">
        <f t="shared" ca="1" si="6"/>
        <v>1.6379757334124259E-3</v>
      </c>
      <c r="AH35" s="5">
        <f t="shared" ca="1" si="7"/>
        <v>1.2953903648421836E-3</v>
      </c>
      <c r="AI35" s="5">
        <f t="shared" ca="1" si="8"/>
        <v>6.2809570384836401E-3</v>
      </c>
      <c r="AJ35" s="5">
        <f t="shared" ca="1" si="9"/>
        <v>1.4591473875382249E-3</v>
      </c>
      <c r="AK35" s="5">
        <f t="shared" ca="1" si="10"/>
        <v>1.2426745259223018E-3</v>
      </c>
      <c r="AM35" s="5">
        <f t="shared" ca="1" si="13"/>
        <v>1.9900026439020335E-2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1.20113</v>
      </c>
      <c r="F36" s="5">
        <v>39</v>
      </c>
      <c r="H36" s="5" t="s">
        <v>0</v>
      </c>
      <c r="I36" s="5">
        <v>100</v>
      </c>
      <c r="J36" s="5">
        <v>0.7</v>
      </c>
      <c r="L36" s="5">
        <f t="shared" ca="1" si="11"/>
        <v>108.03496</v>
      </c>
      <c r="M36" s="5">
        <f t="shared" ca="1" si="11"/>
        <v>108.63903999999999</v>
      </c>
      <c r="N36" s="5">
        <f t="shared" ca="1" si="11"/>
        <v>117.49449</v>
      </c>
      <c r="O36" s="5">
        <f t="shared" ca="1" si="11"/>
        <v>107.9008</v>
      </c>
      <c r="P36" s="5">
        <f t="shared" ca="1" si="11"/>
        <v>107.85163</v>
      </c>
      <c r="Q36" s="5">
        <f t="shared" ca="1" si="11"/>
        <v>107.99247</v>
      </c>
      <c r="R36" s="5">
        <f t="shared" ca="1" si="11"/>
        <v>116.84323000000001</v>
      </c>
      <c r="S36" s="5">
        <f t="shared" ca="1" si="11"/>
        <v>108.002</v>
      </c>
      <c r="T36" s="5">
        <f t="shared" ca="1" si="11"/>
        <v>108.96677</v>
      </c>
      <c r="U36" s="5">
        <f t="shared" ca="1" si="11"/>
        <v>108.40312</v>
      </c>
      <c r="W36" s="5">
        <f t="shared" ca="1" si="12"/>
        <v>110.012851</v>
      </c>
      <c r="Y36" s="5">
        <f ca="1">Total!E36</f>
        <v>107.28163000000001</v>
      </c>
      <c r="AB36" s="5">
        <f t="shared" ca="1" si="1"/>
        <v>7.0219850313608312E-3</v>
      </c>
      <c r="AC36" s="5">
        <f t="shared" ca="1" si="2"/>
        <v>1.26527719610523E-2</v>
      </c>
      <c r="AD36" s="5">
        <f t="shared" ca="1" si="3"/>
        <v>9.5196726597088346E-2</v>
      </c>
      <c r="AE36" s="5">
        <f t="shared" ca="1" si="4"/>
        <v>5.7714447478100107E-3</v>
      </c>
      <c r="AF36" s="5">
        <f t="shared" ca="1" si="5"/>
        <v>5.3131183782348674E-3</v>
      </c>
      <c r="AG36" s="5">
        <f t="shared" ca="1" si="6"/>
        <v>6.6259246806745047E-3</v>
      </c>
      <c r="AH36" s="5">
        <f t="shared" ca="1" si="7"/>
        <v>8.912616260584405E-2</v>
      </c>
      <c r="AI36" s="5">
        <f t="shared" ca="1" si="8"/>
        <v>6.7147562914544488E-3</v>
      </c>
      <c r="AJ36" s="5">
        <f t="shared" ca="1" si="9"/>
        <v>1.5707628603331154E-2</v>
      </c>
      <c r="AK36" s="5">
        <f t="shared" ca="1" si="10"/>
        <v>1.0453700228081866E-2</v>
      </c>
      <c r="AM36" s="5">
        <f t="shared" ca="1" si="13"/>
        <v>0.2545842191249324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1.2057899999999999</v>
      </c>
      <c r="F37" s="5">
        <v>41</v>
      </c>
      <c r="H37" s="5" t="s">
        <v>0</v>
      </c>
      <c r="I37" s="5">
        <v>100</v>
      </c>
      <c r="J37" s="5">
        <v>1</v>
      </c>
      <c r="L37" s="5">
        <f t="shared" ca="1" si="11"/>
        <v>104.13247</v>
      </c>
      <c r="M37" s="5">
        <f t="shared" ca="1" si="11"/>
        <v>103.31371</v>
      </c>
      <c r="N37" s="5">
        <f t="shared" ca="1" si="11"/>
        <v>103.93496</v>
      </c>
      <c r="O37" s="5">
        <f t="shared" ca="1" si="11"/>
        <v>104.06663</v>
      </c>
      <c r="P37" s="5">
        <f t="shared" ca="1" si="11"/>
        <v>104.02253</v>
      </c>
      <c r="Q37" s="5">
        <f t="shared" ca="1" si="11"/>
        <v>103.21266</v>
      </c>
      <c r="R37" s="5">
        <f t="shared" ca="1" si="11"/>
        <v>104.13496000000001</v>
      </c>
      <c r="S37" s="5">
        <f t="shared" ca="1" si="11"/>
        <v>103.90503</v>
      </c>
      <c r="T37" s="5">
        <f t="shared" ca="1" si="11"/>
        <v>103.77919</v>
      </c>
      <c r="U37" s="5">
        <f t="shared" ca="1" si="11"/>
        <v>104.15419</v>
      </c>
      <c r="W37" s="5">
        <f t="shared" ca="1" si="12"/>
        <v>103.865633</v>
      </c>
      <c r="Y37" s="5">
        <f ca="1">Total!E37</f>
        <v>103.21266</v>
      </c>
      <c r="AB37" s="5">
        <f t="shared" ca="1" si="1"/>
        <v>8.911794347708878E-3</v>
      </c>
      <c r="AC37" s="5">
        <f t="shared" ca="1" si="2"/>
        <v>9.7904656269880803E-4</v>
      </c>
      <c r="AD37" s="5">
        <f t="shared" ca="1" si="3"/>
        <v>6.9981725110078953E-3</v>
      </c>
      <c r="AE37" s="5">
        <f t="shared" ca="1" si="4"/>
        <v>8.273888106362183E-3</v>
      </c>
      <c r="AF37" s="5">
        <f t="shared" ca="1" si="5"/>
        <v>7.8466149404540463E-3</v>
      </c>
      <c r="AG37" s="5">
        <f t="shared" ca="1" si="6"/>
        <v>0</v>
      </c>
      <c r="AH37" s="5">
        <f t="shared" ca="1" si="7"/>
        <v>8.9359192951718042E-3</v>
      </c>
      <c r="AI37" s="5">
        <f t="shared" ca="1" si="8"/>
        <v>6.7081887047576996E-3</v>
      </c>
      <c r="AJ37" s="5">
        <f t="shared" ca="1" si="9"/>
        <v>5.4889584281618189E-3</v>
      </c>
      <c r="AK37" s="5">
        <f t="shared" ca="1" si="10"/>
        <v>9.1222336484690948E-3</v>
      </c>
      <c r="AM37" s="5">
        <f t="shared" ca="1" si="13"/>
        <v>6.3264816544792227E-2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1.212</v>
      </c>
      <c r="F38" s="5">
        <v>42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1.21105</v>
      </c>
      <c r="F39" s="5">
        <v>39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1.20085</v>
      </c>
      <c r="F40" s="5">
        <v>41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2.9071099999999999</v>
      </c>
      <c r="F41" s="5">
        <v>120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2.8896000000000002</v>
      </c>
      <c r="F42" s="5">
        <v>122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2.9076200000000001</v>
      </c>
      <c r="F43" s="5">
        <v>125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2.8987099999999999</v>
      </c>
      <c r="F44" s="5">
        <v>121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2.88957</v>
      </c>
      <c r="F45" s="5">
        <v>121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2.88916</v>
      </c>
      <c r="F46" s="5">
        <v>123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2.8970199999999999</v>
      </c>
      <c r="F47" s="5">
        <v>125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2.8951799999999999</v>
      </c>
      <c r="F48" s="5">
        <v>121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2.8908700000000001</v>
      </c>
      <c r="F49" s="5">
        <v>120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2.90788</v>
      </c>
      <c r="F50" s="5">
        <v>126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182.34583000000001</v>
      </c>
      <c r="E51" s="5">
        <v>4.5933999999999999</v>
      </c>
      <c r="F51" s="5">
        <v>191</v>
      </c>
    </row>
    <row r="52" spans="1:6" x14ac:dyDescent="0.25">
      <c r="A52" s="5" t="s">
        <v>27</v>
      </c>
      <c r="B52" s="5">
        <v>50</v>
      </c>
      <c r="C52" s="5">
        <v>1</v>
      </c>
      <c r="D52" s="5">
        <v>180.48813000000001</v>
      </c>
      <c r="E52" s="5">
        <v>4.5980699999999999</v>
      </c>
      <c r="F52" s="5">
        <v>193</v>
      </c>
    </row>
    <row r="53" spans="1:6" x14ac:dyDescent="0.25">
      <c r="A53" s="5" t="s">
        <v>27</v>
      </c>
      <c r="B53" s="5">
        <v>50</v>
      </c>
      <c r="C53" s="5">
        <v>1</v>
      </c>
      <c r="D53" s="5">
        <v>181.92667</v>
      </c>
      <c r="E53" s="5">
        <v>4.6100599999999998</v>
      </c>
      <c r="F53" s="5">
        <v>194</v>
      </c>
    </row>
    <row r="54" spans="1:6" x14ac:dyDescent="0.25">
      <c r="A54" s="5" t="s">
        <v>27</v>
      </c>
      <c r="B54" s="5">
        <v>50</v>
      </c>
      <c r="C54" s="5">
        <v>1</v>
      </c>
      <c r="D54" s="5">
        <v>181.40834000000001</v>
      </c>
      <c r="E54" s="5">
        <v>4.6050199999999997</v>
      </c>
      <c r="F54" s="5">
        <v>192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182.00667000000001</v>
      </c>
      <c r="E55" s="5">
        <v>4.5986500000000001</v>
      </c>
      <c r="F55" s="5">
        <v>193</v>
      </c>
    </row>
    <row r="56" spans="1:6" x14ac:dyDescent="0.25">
      <c r="A56" s="5" t="s">
        <v>27</v>
      </c>
      <c r="B56" s="5">
        <v>50</v>
      </c>
      <c r="C56" s="5">
        <v>1</v>
      </c>
      <c r="D56" s="5">
        <v>181.40834000000001</v>
      </c>
      <c r="E56" s="5">
        <v>4.6029099999999996</v>
      </c>
      <c r="F56" s="5">
        <v>189</v>
      </c>
    </row>
    <row r="57" spans="1:6" x14ac:dyDescent="0.25">
      <c r="A57" s="5" t="s">
        <v>27</v>
      </c>
      <c r="B57" s="5">
        <v>50</v>
      </c>
      <c r="C57" s="5">
        <v>1</v>
      </c>
      <c r="D57" s="5">
        <v>181.89</v>
      </c>
      <c r="E57" s="5">
        <v>4.5986599999999997</v>
      </c>
      <c r="F57" s="5">
        <v>193</v>
      </c>
    </row>
    <row r="58" spans="1:6" x14ac:dyDescent="0.25">
      <c r="A58" s="5" t="s">
        <v>27</v>
      </c>
      <c r="B58" s="5">
        <v>50</v>
      </c>
      <c r="C58" s="5">
        <v>1</v>
      </c>
      <c r="D58" s="5">
        <v>183.6148</v>
      </c>
      <c r="E58" s="5">
        <v>4.6285999999999996</v>
      </c>
      <c r="F58" s="5">
        <v>195</v>
      </c>
    </row>
    <row r="59" spans="1:6" x14ac:dyDescent="0.25">
      <c r="A59" s="5" t="s">
        <v>27</v>
      </c>
      <c r="B59" s="5">
        <v>50</v>
      </c>
      <c r="C59" s="5">
        <v>1</v>
      </c>
      <c r="D59" s="5">
        <v>181.15479999999999</v>
      </c>
      <c r="E59" s="5">
        <v>4.6059700000000001</v>
      </c>
      <c r="F59" s="5">
        <v>193</v>
      </c>
    </row>
    <row r="60" spans="1:6" x14ac:dyDescent="0.25">
      <c r="A60" s="5" t="s">
        <v>27</v>
      </c>
      <c r="B60" s="5">
        <v>50</v>
      </c>
      <c r="C60" s="5">
        <v>1</v>
      </c>
      <c r="D60" s="5">
        <v>179.67332999999999</v>
      </c>
      <c r="E60" s="5">
        <v>4.5966800000000001</v>
      </c>
      <c r="F60" s="5">
        <v>190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5.6527200000000004</v>
      </c>
      <c r="F61" s="5">
        <v>64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5.6651400000000001</v>
      </c>
      <c r="F62" s="5">
        <v>65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5.6857600000000001</v>
      </c>
      <c r="F63" s="5">
        <v>64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5.6366800000000001</v>
      </c>
      <c r="F64" s="5">
        <v>65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5.6392699999999998</v>
      </c>
      <c r="F65" s="5">
        <v>65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5.6110600000000002</v>
      </c>
      <c r="F66" s="5">
        <v>64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5.6403499999999998</v>
      </c>
      <c r="F67" s="5">
        <v>65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5.6328800000000001</v>
      </c>
      <c r="F68" s="5">
        <v>65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5.6514499999999996</v>
      </c>
      <c r="F69" s="5">
        <v>65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5.6350199999999999</v>
      </c>
      <c r="F70" s="5">
        <v>65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255.98354</v>
      </c>
      <c r="E71" s="5">
        <v>11.67352</v>
      </c>
      <c r="F71" s="5">
        <v>126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259.24196999999998</v>
      </c>
      <c r="E72" s="5">
        <v>11.64996</v>
      </c>
      <c r="F72" s="5">
        <v>129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258.15670999999998</v>
      </c>
      <c r="E73" s="5">
        <v>11.71016</v>
      </c>
      <c r="F73" s="5">
        <v>127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257.27942999999999</v>
      </c>
      <c r="E74" s="5">
        <v>11.673489999999999</v>
      </c>
      <c r="F74" s="5">
        <v>125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257.48757000000001</v>
      </c>
      <c r="E75" s="5">
        <v>11.66567</v>
      </c>
      <c r="F75" s="5">
        <v>125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259.42732000000001</v>
      </c>
      <c r="E76" s="5">
        <v>11.66334</v>
      </c>
      <c r="F76" s="5">
        <v>124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257.59732000000002</v>
      </c>
      <c r="E77" s="5">
        <v>11.673349999999999</v>
      </c>
      <c r="F77" s="5">
        <v>126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256.45499999999998</v>
      </c>
      <c r="E78" s="5">
        <v>11.672169999999999</v>
      </c>
      <c r="F78" s="5">
        <v>126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258.73732000000001</v>
      </c>
      <c r="E79" s="5">
        <v>11.71035</v>
      </c>
      <c r="F79" s="5">
        <v>127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256.58735999999999</v>
      </c>
      <c r="E80" s="5">
        <v>11.647500000000001</v>
      </c>
      <c r="F80" s="5">
        <v>125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239.13825</v>
      </c>
      <c r="E81" s="5">
        <v>30.20187</v>
      </c>
      <c r="F81" s="5">
        <v>318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240.33256</v>
      </c>
      <c r="E82" s="5">
        <v>30.17906</v>
      </c>
      <c r="F82" s="5">
        <v>317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239.81666999999999</v>
      </c>
      <c r="E83" s="5">
        <v>30.177510000000002</v>
      </c>
      <c r="F83" s="5">
        <v>316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239.79822999999999</v>
      </c>
      <c r="E84" s="5">
        <v>30.199770000000001</v>
      </c>
      <c r="F84" s="5">
        <v>314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242.53380000000001</v>
      </c>
      <c r="E85" s="5">
        <v>30.161429999999999</v>
      </c>
      <c r="F85" s="5">
        <v>313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240.73558</v>
      </c>
      <c r="E86" s="5">
        <v>30.203029999999998</v>
      </c>
      <c r="F86" s="5">
        <v>311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240.70332999999999</v>
      </c>
      <c r="E87" s="5">
        <v>30.16395</v>
      </c>
      <c r="F87" s="5">
        <v>319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240.30938</v>
      </c>
      <c r="E88" s="5">
        <v>30.14837</v>
      </c>
      <c r="F88" s="5">
        <v>317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241.36645999999999</v>
      </c>
      <c r="E89" s="5">
        <v>30.159369999999999</v>
      </c>
      <c r="F89" s="5">
        <v>316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241.35571999999999</v>
      </c>
      <c r="E90" s="5">
        <v>30.184480000000001</v>
      </c>
      <c r="F90" s="5">
        <v>317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0.58228999999999997</v>
      </c>
      <c r="F91" s="5">
        <v>101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0.58164000000000005</v>
      </c>
      <c r="F92" s="5">
        <v>84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0.58286000000000004</v>
      </c>
      <c r="F93" s="5">
        <v>95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0.58408000000000004</v>
      </c>
      <c r="F94" s="5">
        <v>96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0.58499000000000001</v>
      </c>
      <c r="F95" s="5">
        <v>100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0.58487</v>
      </c>
      <c r="F96" s="5">
        <v>97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0.58398000000000005</v>
      </c>
      <c r="F97" s="5">
        <v>91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0.58345000000000002</v>
      </c>
      <c r="F98" s="5">
        <v>101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0.58135999999999999</v>
      </c>
      <c r="F99" s="5">
        <v>101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0.58308000000000004</v>
      </c>
      <c r="F100" s="5">
        <v>97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0.73414000000000001</v>
      </c>
      <c r="F101" s="5">
        <v>118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0.73709000000000002</v>
      </c>
      <c r="F102" s="5">
        <v>121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0.73507</v>
      </c>
      <c r="F103" s="5">
        <v>124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0.73641999999999996</v>
      </c>
      <c r="F104" s="5">
        <v>123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0.74248000000000003</v>
      </c>
      <c r="F105" s="5">
        <v>110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0.73448000000000002</v>
      </c>
      <c r="F106" s="5">
        <v>120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0.73536000000000001</v>
      </c>
      <c r="F107" s="5">
        <v>125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0.73633000000000004</v>
      </c>
      <c r="F108" s="5">
        <v>123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0.73819000000000001</v>
      </c>
      <c r="F109" s="5">
        <v>126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0.73765000000000003</v>
      </c>
      <c r="F110" s="5">
        <v>126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1.2777700000000001</v>
      </c>
      <c r="F111" s="5">
        <v>202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1.27878</v>
      </c>
      <c r="F112" s="5">
        <v>191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1.2766500000000001</v>
      </c>
      <c r="F113" s="5">
        <v>210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1.2772600000000001</v>
      </c>
      <c r="F114" s="5">
        <v>215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1.2754000000000001</v>
      </c>
      <c r="F115" s="5">
        <v>196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1.27674</v>
      </c>
      <c r="F116" s="5">
        <v>207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1.27501</v>
      </c>
      <c r="F117" s="5">
        <v>205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1.2768999999999999</v>
      </c>
      <c r="F118" s="5">
        <v>190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1.2749200000000001</v>
      </c>
      <c r="F119" s="5">
        <v>202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1.27877</v>
      </c>
      <c r="F120" s="5">
        <v>208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4348.0289499999999</v>
      </c>
      <c r="E121" s="5">
        <v>1.99847</v>
      </c>
      <c r="F121" s="5">
        <v>104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4348.0289499999999</v>
      </c>
      <c r="E122" s="5">
        <v>1.99576</v>
      </c>
      <c r="F122" s="5">
        <v>106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4348.0289499999999</v>
      </c>
      <c r="E123" s="5">
        <v>1.99169</v>
      </c>
      <c r="F123" s="5">
        <v>104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4348.0289499999999</v>
      </c>
      <c r="E124" s="5">
        <v>1.99644</v>
      </c>
      <c r="F124" s="5">
        <v>108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4348.9064200000003</v>
      </c>
      <c r="E125" s="5">
        <v>1.9983500000000001</v>
      </c>
      <c r="F125" s="5">
        <v>106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4348.0289499999999</v>
      </c>
      <c r="E126" s="5">
        <v>2.0039799999999999</v>
      </c>
      <c r="F126" s="5">
        <v>109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1.9977400000000001</v>
      </c>
      <c r="F127" s="5">
        <v>103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2.0068199999999998</v>
      </c>
      <c r="F128" s="5">
        <v>109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2.0072700000000001</v>
      </c>
      <c r="F129" s="5">
        <v>105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4348.0289499999999</v>
      </c>
      <c r="E130" s="5">
        <v>2.00203</v>
      </c>
      <c r="F130" s="5">
        <v>108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2.8740100000000002</v>
      </c>
      <c r="F131" s="5">
        <v>146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2.8751600000000002</v>
      </c>
      <c r="F132" s="5">
        <v>148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2.8650500000000001</v>
      </c>
      <c r="F133" s="5">
        <v>144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2.8648699999999998</v>
      </c>
      <c r="F134" s="5">
        <v>148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2.8704399999999999</v>
      </c>
      <c r="F135" s="5">
        <v>145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2.8687800000000001</v>
      </c>
      <c r="F136" s="5">
        <v>145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2.8736799999999998</v>
      </c>
      <c r="F137" s="5">
        <v>149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2.8758599999999999</v>
      </c>
      <c r="F138" s="5">
        <v>147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2.8666700000000001</v>
      </c>
      <c r="F139" s="5">
        <v>148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2.8661699999999999</v>
      </c>
      <c r="F140" s="5">
        <v>147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3.5284</v>
      </c>
      <c r="F141" s="5">
        <v>182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3.5190100000000002</v>
      </c>
      <c r="F142" s="5">
        <v>185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3.5156900000000002</v>
      </c>
      <c r="F143" s="5">
        <v>180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3.5190299999999999</v>
      </c>
      <c r="F144" s="5">
        <v>178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3.5142600000000002</v>
      </c>
      <c r="F145" s="5">
        <v>178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3.5149599999999999</v>
      </c>
      <c r="F146" s="5">
        <v>183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3.54834</v>
      </c>
      <c r="F147" s="5">
        <v>179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3.5198100000000001</v>
      </c>
      <c r="F148" s="5">
        <v>183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3.51464</v>
      </c>
      <c r="F149" s="5">
        <v>177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3.5234700000000001</v>
      </c>
      <c r="F150" s="5">
        <v>181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42986.345820000002</v>
      </c>
      <c r="E151" s="5">
        <v>4.9119900000000003</v>
      </c>
      <c r="F151" s="5">
        <v>59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42986.403050000001</v>
      </c>
      <c r="E152" s="5">
        <v>4.92333</v>
      </c>
      <c r="F152" s="5">
        <v>59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42986.673049999998</v>
      </c>
      <c r="E153" s="5">
        <v>4.9048100000000003</v>
      </c>
      <c r="F153" s="5">
        <v>59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42986.403050000001</v>
      </c>
      <c r="E154" s="5">
        <v>4.9487800000000002</v>
      </c>
      <c r="F154" s="5">
        <v>59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42986.673049999998</v>
      </c>
      <c r="E155" s="5">
        <v>4.9205699999999997</v>
      </c>
      <c r="F155" s="5">
        <v>59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42986.57692</v>
      </c>
      <c r="E156" s="5">
        <v>4.8998299999999997</v>
      </c>
      <c r="F156" s="5">
        <v>59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42986.673049999998</v>
      </c>
      <c r="E157" s="5">
        <v>4.9166999999999996</v>
      </c>
      <c r="F157" s="5">
        <v>59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42986.403050000001</v>
      </c>
      <c r="E158" s="5">
        <v>4.9218799999999998</v>
      </c>
      <c r="F158" s="5">
        <v>59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42986.403050000001</v>
      </c>
      <c r="E159" s="5">
        <v>4.92361</v>
      </c>
      <c r="F159" s="5">
        <v>59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42986.403050000001</v>
      </c>
      <c r="E160" s="5">
        <v>4.9196</v>
      </c>
      <c r="F160" s="5">
        <v>59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35701.504520000002</v>
      </c>
      <c r="E161" s="5">
        <v>12.74118</v>
      </c>
      <c r="F161" s="5">
        <v>146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35652.211219999997</v>
      </c>
      <c r="E162" s="5">
        <v>12.738569999999999</v>
      </c>
      <c r="F162" s="5">
        <v>142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35791.418080000003</v>
      </c>
      <c r="E163" s="5">
        <v>12.710850000000001</v>
      </c>
      <c r="F163" s="5">
        <v>143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35451.923340000001</v>
      </c>
      <c r="E164" s="5">
        <v>12.75428</v>
      </c>
      <c r="F164" s="5">
        <v>142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35606.554730000003</v>
      </c>
      <c r="E165" s="5">
        <v>12.754379999999999</v>
      </c>
      <c r="F165" s="5">
        <v>143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35653.122960000001</v>
      </c>
      <c r="E166" s="5">
        <v>12.7141</v>
      </c>
      <c r="F166" s="5">
        <v>143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35494.588159999999</v>
      </c>
      <c r="E167" s="5">
        <v>12.76798</v>
      </c>
      <c r="F167" s="5">
        <v>143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35628.985930000003</v>
      </c>
      <c r="E168" s="5">
        <v>12.75789</v>
      </c>
      <c r="F168" s="5">
        <v>142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35727.484389999998</v>
      </c>
      <c r="E169" s="5">
        <v>12.746600000000001</v>
      </c>
      <c r="F169" s="5">
        <v>144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35744.829270000002</v>
      </c>
      <c r="E170" s="5">
        <v>12.729620000000001</v>
      </c>
      <c r="F170" s="5">
        <v>142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35273.663</v>
      </c>
      <c r="E171" s="5">
        <v>28.54242</v>
      </c>
      <c r="F171" s="5">
        <v>341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35245.578540000002</v>
      </c>
      <c r="E172" s="5">
        <v>28.532710000000002</v>
      </c>
      <c r="F172" s="5">
        <v>334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35221.729010000003</v>
      </c>
      <c r="E173" s="5">
        <v>28.543489999999998</v>
      </c>
      <c r="F173" s="5">
        <v>339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35228.582999999999</v>
      </c>
      <c r="E174" s="5">
        <v>28.502669999999998</v>
      </c>
      <c r="F174" s="5">
        <v>334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35243.255490000003</v>
      </c>
      <c r="E175" s="5">
        <v>28.495930000000001</v>
      </c>
      <c r="F175" s="5">
        <v>339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35259.612699999998</v>
      </c>
      <c r="E176" s="5">
        <v>28.511949999999999</v>
      </c>
      <c r="F176" s="5">
        <v>334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35245.1</v>
      </c>
      <c r="E177" s="5">
        <v>28.539090000000002</v>
      </c>
      <c r="F177" s="5">
        <v>332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35249.230000000003</v>
      </c>
      <c r="E178" s="5">
        <v>28.48658</v>
      </c>
      <c r="F178" s="5">
        <v>331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35235.179060000002</v>
      </c>
      <c r="E179" s="5">
        <v>28.528790000000001</v>
      </c>
      <c r="F179" s="5">
        <v>328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35280.606670000001</v>
      </c>
      <c r="E180" s="5">
        <v>28.55331</v>
      </c>
      <c r="F180" s="5">
        <v>323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0.73262000000000005</v>
      </c>
      <c r="F181" s="5">
        <v>77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0.73685999999999996</v>
      </c>
      <c r="F182" s="5">
        <v>82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0.73543999999999998</v>
      </c>
      <c r="F183" s="5">
        <v>82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0.73073999999999995</v>
      </c>
      <c r="F184" s="5">
        <v>76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0.73294000000000004</v>
      </c>
      <c r="F185" s="5">
        <v>77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0.73770999999999998</v>
      </c>
      <c r="F186" s="5">
        <v>83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0.73499000000000003</v>
      </c>
      <c r="F187" s="5">
        <v>82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0.73302</v>
      </c>
      <c r="F188" s="5">
        <v>81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0.73394999999999999</v>
      </c>
      <c r="F189" s="5">
        <v>82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0.73172000000000004</v>
      </c>
      <c r="F190" s="5">
        <v>73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675.36989000000005</v>
      </c>
      <c r="E191" s="5">
        <v>1.1379300000000001</v>
      </c>
      <c r="F191" s="5">
        <v>112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675.36581000000001</v>
      </c>
      <c r="E192" s="5">
        <v>1.1367700000000001</v>
      </c>
      <c r="F192" s="5">
        <v>126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675.36581000000001</v>
      </c>
      <c r="E193" s="5">
        <v>1.1379999999999999</v>
      </c>
      <c r="F193" s="5">
        <v>125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675.36989000000005</v>
      </c>
      <c r="E194" s="5">
        <v>1.1376299999999999</v>
      </c>
      <c r="F194" s="5">
        <v>116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675.38611000000003</v>
      </c>
      <c r="E195" s="5">
        <v>1.1386799999999999</v>
      </c>
      <c r="F195" s="5">
        <v>124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675.47965999999997</v>
      </c>
      <c r="E196" s="5">
        <v>1.1372500000000001</v>
      </c>
      <c r="F196" s="5">
        <v>126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675.38247999999999</v>
      </c>
      <c r="E197" s="5">
        <v>1.1359600000000001</v>
      </c>
      <c r="F197" s="5">
        <v>124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675.36581000000001</v>
      </c>
      <c r="E198" s="5">
        <v>1.14049</v>
      </c>
      <c r="F198" s="5">
        <v>120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675.36581000000001</v>
      </c>
      <c r="E199" s="5">
        <v>1.1354200000000001</v>
      </c>
      <c r="F199" s="5">
        <v>125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675.36989000000005</v>
      </c>
      <c r="E200" s="5">
        <v>1.1424000000000001</v>
      </c>
      <c r="F200" s="5">
        <v>127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657.32380999999998</v>
      </c>
      <c r="E201" s="5">
        <v>2.06874</v>
      </c>
      <c r="F201" s="5">
        <v>216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659.84542999999996</v>
      </c>
      <c r="E202" s="5">
        <v>2.0694699999999999</v>
      </c>
      <c r="F202" s="5">
        <v>225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655.43295999999998</v>
      </c>
      <c r="E203" s="5">
        <v>2.07159</v>
      </c>
      <c r="F203" s="5">
        <v>214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655.43295999999998</v>
      </c>
      <c r="E204" s="5">
        <v>2.06995</v>
      </c>
      <c r="F204" s="5">
        <v>221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655.43295999999998</v>
      </c>
      <c r="E205" s="5">
        <v>2.0680999999999998</v>
      </c>
      <c r="F205" s="5">
        <v>211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655.46475999999996</v>
      </c>
      <c r="E206" s="5">
        <v>2.0722800000000001</v>
      </c>
      <c r="F206" s="5">
        <v>224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656.34204</v>
      </c>
      <c r="E207" s="5">
        <v>2.06995</v>
      </c>
      <c r="F207" s="5">
        <v>213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657.32380999999998</v>
      </c>
      <c r="E208" s="5">
        <v>2.0717099999999999</v>
      </c>
      <c r="F208" s="5">
        <v>226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658.23289</v>
      </c>
      <c r="E209" s="5">
        <v>2.06724</v>
      </c>
      <c r="F209" s="5">
        <v>215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655.43295999999998</v>
      </c>
      <c r="E210" s="5">
        <v>2.0693100000000002</v>
      </c>
      <c r="F210" s="5">
        <v>219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1459.9687899999999</v>
      </c>
      <c r="E211" s="5">
        <v>1.58666</v>
      </c>
      <c r="F211" s="5">
        <v>74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1459.9687899999999</v>
      </c>
      <c r="E212" s="5">
        <v>1.59795</v>
      </c>
      <c r="F212" s="5">
        <v>80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1459.9687899999999</v>
      </c>
      <c r="E213" s="5">
        <v>1.59711</v>
      </c>
      <c r="F213" s="5">
        <v>80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1459.9687899999999</v>
      </c>
      <c r="E214" s="5">
        <v>1.59849</v>
      </c>
      <c r="F214" s="5">
        <v>76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1459.9687899999999</v>
      </c>
      <c r="E215" s="5">
        <v>1.5959000000000001</v>
      </c>
      <c r="F215" s="5">
        <v>79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1468.7979600000001</v>
      </c>
      <c r="E216" s="5">
        <v>1.5942400000000001</v>
      </c>
      <c r="F216" s="5">
        <v>74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1459.9687899999999</v>
      </c>
      <c r="E217" s="5">
        <v>1.6023799999999999</v>
      </c>
      <c r="F217" s="5">
        <v>81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1459.9687899999999</v>
      </c>
      <c r="E218" s="5">
        <v>1.6026400000000001</v>
      </c>
      <c r="F218" s="5">
        <v>81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1459.9687899999999</v>
      </c>
      <c r="E219" s="5">
        <v>1.5880099999999999</v>
      </c>
      <c r="F219" s="5">
        <v>76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1459.9687899999999</v>
      </c>
      <c r="E220" s="5">
        <v>1.58924</v>
      </c>
      <c r="F220" s="5">
        <v>80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1012.7716799999999</v>
      </c>
      <c r="E221" s="5">
        <v>4.5432800000000002</v>
      </c>
      <c r="F221" s="5">
        <v>221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1016.2274200000001</v>
      </c>
      <c r="E222" s="5">
        <v>4.5580800000000004</v>
      </c>
      <c r="F222" s="5">
        <v>220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1023.64931</v>
      </c>
      <c r="E223" s="5">
        <v>4.5536000000000003</v>
      </c>
      <c r="F223" s="5">
        <v>219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1010.34509</v>
      </c>
      <c r="E224" s="5">
        <v>4.55999</v>
      </c>
      <c r="F224" s="5">
        <v>223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1014.14</v>
      </c>
      <c r="E225" s="5">
        <v>4.5454100000000004</v>
      </c>
      <c r="F225" s="5">
        <v>223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1010.23572</v>
      </c>
      <c r="E226" s="5">
        <v>4.5546899999999999</v>
      </c>
      <c r="F226" s="5">
        <v>219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1012.12906</v>
      </c>
      <c r="E227" s="5">
        <v>4.5473800000000004</v>
      </c>
      <c r="F227" s="5">
        <v>225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1019.42881</v>
      </c>
      <c r="E228" s="5">
        <v>4.5555700000000003</v>
      </c>
      <c r="F228" s="5">
        <v>219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1015.7268299999999</v>
      </c>
      <c r="E229" s="5">
        <v>4.5415599999999996</v>
      </c>
      <c r="F229" s="5">
        <v>219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1012.33525</v>
      </c>
      <c r="E230" s="5">
        <v>4.5518000000000001</v>
      </c>
      <c r="F230" s="5">
        <v>223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998.70889999999997</v>
      </c>
      <c r="E231" s="5">
        <v>8.3954000000000004</v>
      </c>
      <c r="F231" s="5">
        <v>407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994.66965000000005</v>
      </c>
      <c r="E232" s="5">
        <v>8.4003899999999998</v>
      </c>
      <c r="F232" s="5">
        <v>403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996.25809000000004</v>
      </c>
      <c r="E233" s="5">
        <v>8.38734</v>
      </c>
      <c r="F233" s="5">
        <v>395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1002.04984</v>
      </c>
      <c r="E234" s="5">
        <v>8.3974600000000006</v>
      </c>
      <c r="F234" s="5">
        <v>405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997.52890000000002</v>
      </c>
      <c r="E235" s="5">
        <v>8.3876399999999993</v>
      </c>
      <c r="F235" s="5">
        <v>399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991.63333</v>
      </c>
      <c r="E236" s="5">
        <v>8.39114</v>
      </c>
      <c r="F236" s="5">
        <v>397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998.05631000000005</v>
      </c>
      <c r="E237" s="5">
        <v>8.3956099999999996</v>
      </c>
      <c r="F237" s="5">
        <v>402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991.54796999999996</v>
      </c>
      <c r="E238" s="5">
        <v>8.3920999999999992</v>
      </c>
      <c r="F238" s="5">
        <v>399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995.86120000000005</v>
      </c>
      <c r="E239" s="5">
        <v>8.3891799999999996</v>
      </c>
      <c r="F239" s="5">
        <v>409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992.6431</v>
      </c>
      <c r="E240" s="5">
        <v>8.3992799999999992</v>
      </c>
      <c r="F240" s="5">
        <v>400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1810.31077</v>
      </c>
      <c r="E241" s="5">
        <v>5.0449900000000003</v>
      </c>
      <c r="F241" s="5">
        <v>67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1809.63202</v>
      </c>
      <c r="E242" s="5">
        <v>5.0736699999999999</v>
      </c>
      <c r="F242" s="5">
        <v>68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1825.36241</v>
      </c>
      <c r="E243" s="5">
        <v>5.0944900000000004</v>
      </c>
      <c r="F243" s="5">
        <v>69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1806.5549599999999</v>
      </c>
      <c r="E244" s="5">
        <v>5.0824400000000001</v>
      </c>
      <c r="F244" s="5">
        <v>68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1824.8625300000001</v>
      </c>
      <c r="E245" s="5">
        <v>5.1017299999999999</v>
      </c>
      <c r="F245" s="5">
        <v>69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1812.07429</v>
      </c>
      <c r="E246" s="5">
        <v>5.04155</v>
      </c>
      <c r="F246" s="5">
        <v>68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1808.83104</v>
      </c>
      <c r="E247" s="5">
        <v>5.0537799999999997</v>
      </c>
      <c r="F247" s="5">
        <v>69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1836.1492599999999</v>
      </c>
      <c r="E248" s="5">
        <v>5.0643200000000004</v>
      </c>
      <c r="F248" s="5">
        <v>68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1849.4666099999999</v>
      </c>
      <c r="E249" s="5">
        <v>5.0885499999999997</v>
      </c>
      <c r="F249" s="5">
        <v>67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1827.96541</v>
      </c>
      <c r="E250" s="5">
        <v>5.0568</v>
      </c>
      <c r="F250" s="5">
        <v>69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1782.6394</v>
      </c>
      <c r="E251" s="5">
        <v>9.3920700000000004</v>
      </c>
      <c r="F251" s="5">
        <v>121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1768.7857899999999</v>
      </c>
      <c r="E252" s="5">
        <v>9.4111200000000004</v>
      </c>
      <c r="F252" s="5">
        <v>123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1769.67723</v>
      </c>
      <c r="E253" s="5">
        <v>9.4051600000000004</v>
      </c>
      <c r="F253" s="5">
        <v>123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1777.04333</v>
      </c>
      <c r="E254" s="5">
        <v>9.4295100000000005</v>
      </c>
      <c r="F254" s="5">
        <v>122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1775.6249700000001</v>
      </c>
      <c r="E255" s="5">
        <v>9.4028600000000004</v>
      </c>
      <c r="F255" s="5">
        <v>121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1777.9515799999999</v>
      </c>
      <c r="E256" s="5">
        <v>9.41052</v>
      </c>
      <c r="F256" s="5">
        <v>122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1776.61969</v>
      </c>
      <c r="E257" s="5">
        <v>9.4293499999999995</v>
      </c>
      <c r="F257" s="5">
        <v>121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1780.74667</v>
      </c>
      <c r="E258" s="5">
        <v>9.4227699999999999</v>
      </c>
      <c r="F258" s="5">
        <v>122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1782.75333</v>
      </c>
      <c r="E259" s="5">
        <v>9.4161599999999996</v>
      </c>
      <c r="F259" s="5">
        <v>120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1766.6027899999999</v>
      </c>
      <c r="E260" s="5">
        <v>9.4100800000000007</v>
      </c>
      <c r="F260" s="5">
        <v>123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1757.49667</v>
      </c>
      <c r="E261" s="5">
        <v>15.346109999999999</v>
      </c>
      <c r="F261" s="5">
        <v>197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1758.21667</v>
      </c>
      <c r="E262" s="5">
        <v>15.38791</v>
      </c>
      <c r="F262" s="5">
        <v>194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1758.5833299999999</v>
      </c>
      <c r="E263" s="5">
        <v>15.34041</v>
      </c>
      <c r="F263" s="5">
        <v>195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1754.94685</v>
      </c>
      <c r="E264" s="5">
        <v>15.3965</v>
      </c>
      <c r="F264" s="5">
        <v>196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1757.5702000000001</v>
      </c>
      <c r="E265" s="5">
        <v>15.388170000000001</v>
      </c>
      <c r="F265" s="5">
        <v>197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1758.1198199999999</v>
      </c>
      <c r="E266" s="5">
        <v>15.38058</v>
      </c>
      <c r="F266" s="5">
        <v>194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1753.74333</v>
      </c>
      <c r="E267" s="5">
        <v>15.34808</v>
      </c>
      <c r="F267" s="5">
        <v>199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1759.36</v>
      </c>
      <c r="E268" s="5">
        <v>15.370430000000001</v>
      </c>
      <c r="F268" s="5">
        <v>192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1758.085</v>
      </c>
      <c r="E269" s="5">
        <v>15.35688</v>
      </c>
      <c r="F269" s="5">
        <v>196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1753.1198199999999</v>
      </c>
      <c r="E270" s="5">
        <v>15.385770000000001</v>
      </c>
      <c r="F270" s="5">
        <v>202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42.424349999999997</v>
      </c>
      <c r="E271" s="5">
        <v>0.58508000000000004</v>
      </c>
      <c r="F271" s="5">
        <v>78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42.424349999999997</v>
      </c>
      <c r="E272" s="5">
        <v>0.58833999999999997</v>
      </c>
      <c r="F272" s="5">
        <v>77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41.318849999999998</v>
      </c>
      <c r="E273" s="5">
        <v>0.58962000000000003</v>
      </c>
      <c r="F273" s="5">
        <v>72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42.003419999999998</v>
      </c>
      <c r="E274" s="5">
        <v>0.58552999999999999</v>
      </c>
      <c r="F274" s="5">
        <v>79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41.318849999999998</v>
      </c>
      <c r="E275" s="5">
        <v>0.59036999999999995</v>
      </c>
      <c r="F275" s="5">
        <v>78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42.424349999999997</v>
      </c>
      <c r="E276" s="5">
        <v>0.58706999999999998</v>
      </c>
      <c r="F276" s="5">
        <v>76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40.897550000000003</v>
      </c>
      <c r="E277" s="5">
        <v>0.58980999999999995</v>
      </c>
      <c r="F277" s="5">
        <v>79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41.318849999999998</v>
      </c>
      <c r="E278" s="5">
        <v>0.58950999999999998</v>
      </c>
      <c r="F278" s="5">
        <v>78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41.318849999999998</v>
      </c>
      <c r="E279" s="5">
        <v>0.58762999999999999</v>
      </c>
      <c r="F279" s="5">
        <v>79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41.318849999999998</v>
      </c>
      <c r="E280" s="5">
        <v>0.58620000000000005</v>
      </c>
      <c r="F280" s="5">
        <v>66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28.682030000000001</v>
      </c>
      <c r="E281" s="5">
        <v>0.87392999999999998</v>
      </c>
      <c r="F281" s="5">
        <v>127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0.87729000000000001</v>
      </c>
      <c r="F282" s="5">
        <v>131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28.65436</v>
      </c>
      <c r="E283" s="5">
        <v>0.87663999999999997</v>
      </c>
      <c r="F283" s="5">
        <v>119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0.874</v>
      </c>
      <c r="F284" s="5">
        <v>135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0.87656999999999996</v>
      </c>
      <c r="F285" s="5">
        <v>132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28.65436</v>
      </c>
      <c r="E286" s="5">
        <v>0.87766</v>
      </c>
      <c r="F286" s="5">
        <v>134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28.65436</v>
      </c>
      <c r="E287" s="5">
        <v>0.87546999999999997</v>
      </c>
      <c r="F287" s="5">
        <v>127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28.65624</v>
      </c>
      <c r="E288" s="5">
        <v>0.87404000000000004</v>
      </c>
      <c r="F288" s="5">
        <v>127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28.65436</v>
      </c>
      <c r="E289" s="5">
        <v>0.87355000000000005</v>
      </c>
      <c r="F289" s="5">
        <v>131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28.65624</v>
      </c>
      <c r="E290" s="5">
        <v>0.87324000000000002</v>
      </c>
      <c r="F290" s="5">
        <v>132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28.592030000000001</v>
      </c>
      <c r="E291" s="5">
        <v>1.13121</v>
      </c>
      <c r="F291" s="5">
        <v>140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28.592030000000001</v>
      </c>
      <c r="E292" s="5">
        <v>1.1359399999999999</v>
      </c>
      <c r="F292" s="5">
        <v>169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28.602029999999999</v>
      </c>
      <c r="E293" s="5">
        <v>1.13357</v>
      </c>
      <c r="F293" s="5">
        <v>165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28.592030000000001</v>
      </c>
      <c r="E294" s="5">
        <v>1.13466</v>
      </c>
      <c r="F294" s="5">
        <v>166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28.546240000000001</v>
      </c>
      <c r="E295" s="5">
        <v>1.1333500000000001</v>
      </c>
      <c r="F295" s="5">
        <v>152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28.587009999999999</v>
      </c>
      <c r="E296" s="5">
        <v>1.13367</v>
      </c>
      <c r="F296" s="5">
        <v>170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28.592030000000001</v>
      </c>
      <c r="E297" s="5">
        <v>1.1321000000000001</v>
      </c>
      <c r="F297" s="5">
        <v>168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28.592030000000001</v>
      </c>
      <c r="E298" s="5">
        <v>1.1422099999999999</v>
      </c>
      <c r="F298" s="5">
        <v>155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28.546240000000001</v>
      </c>
      <c r="E299" s="5">
        <v>1.13232</v>
      </c>
      <c r="F299" s="5">
        <v>164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28.592030000000001</v>
      </c>
      <c r="E300" s="5">
        <v>1.13426</v>
      </c>
      <c r="F300" s="5">
        <v>169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59.04618</v>
      </c>
      <c r="E301" s="5">
        <v>1.9237299999999999</v>
      </c>
      <c r="F301" s="5">
        <v>86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56.861339999999998</v>
      </c>
      <c r="E302" s="5">
        <v>1.9235500000000001</v>
      </c>
      <c r="F302" s="5">
        <v>93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57.732329999999997</v>
      </c>
      <c r="E303" s="5">
        <v>1.93005</v>
      </c>
      <c r="F303" s="5">
        <v>89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56.901339999999998</v>
      </c>
      <c r="E304" s="5">
        <v>1.9255599999999999</v>
      </c>
      <c r="F304" s="5">
        <v>92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58.742089999999997</v>
      </c>
      <c r="E305" s="5">
        <v>1.93353</v>
      </c>
      <c r="F305" s="5">
        <v>90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59.089509999999997</v>
      </c>
      <c r="E306" s="5">
        <v>1.9363999999999999</v>
      </c>
      <c r="F306" s="5">
        <v>96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56.971339999999998</v>
      </c>
      <c r="E307" s="5">
        <v>1.9277299999999999</v>
      </c>
      <c r="F307" s="5">
        <v>93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58.040109999999999</v>
      </c>
      <c r="E308" s="5">
        <v>1.9242999999999999</v>
      </c>
      <c r="F308" s="5">
        <v>91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58.837319999999998</v>
      </c>
      <c r="E309" s="5">
        <v>1.92885</v>
      </c>
      <c r="F309" s="5">
        <v>93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59.072850000000003</v>
      </c>
      <c r="E310" s="5">
        <v>1.93665</v>
      </c>
      <c r="F310" s="5">
        <v>90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53.505070000000003</v>
      </c>
      <c r="E311" s="5">
        <v>3.76004</v>
      </c>
      <c r="F311" s="5">
        <v>175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54.338070000000002</v>
      </c>
      <c r="E312" s="5">
        <v>3.7539400000000001</v>
      </c>
      <c r="F312" s="5">
        <v>179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53.896079999999998</v>
      </c>
      <c r="E313" s="5">
        <v>3.7574100000000001</v>
      </c>
      <c r="F313" s="5">
        <v>174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53.759219999999999</v>
      </c>
      <c r="E314" s="5">
        <v>3.7562199999999999</v>
      </c>
      <c r="F314" s="5">
        <v>174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53.874980000000001</v>
      </c>
      <c r="E315" s="5">
        <v>3.7673299999999998</v>
      </c>
      <c r="F315" s="5">
        <v>175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53.505070000000003</v>
      </c>
      <c r="E316" s="5">
        <v>3.7582599999999999</v>
      </c>
      <c r="F316" s="5">
        <v>176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53.474980000000002</v>
      </c>
      <c r="E317" s="5">
        <v>3.7594400000000001</v>
      </c>
      <c r="F317" s="5">
        <v>174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53.474980000000002</v>
      </c>
      <c r="E318" s="5">
        <v>3.76396</v>
      </c>
      <c r="F318" s="5">
        <v>174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53.232660000000003</v>
      </c>
      <c r="E319" s="5">
        <v>3.7612399999999999</v>
      </c>
      <c r="F319" s="5">
        <v>173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53.846080000000001</v>
      </c>
      <c r="E320" s="5">
        <v>3.75583</v>
      </c>
      <c r="F320" s="5">
        <v>175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53.217489999999998</v>
      </c>
      <c r="E321" s="5">
        <v>6.0893600000000001</v>
      </c>
      <c r="F321" s="5">
        <v>269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53.38749</v>
      </c>
      <c r="E322" s="5">
        <v>6.0839299999999996</v>
      </c>
      <c r="F322" s="5">
        <v>272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53.38749</v>
      </c>
      <c r="E323" s="5">
        <v>6.0897300000000003</v>
      </c>
      <c r="F323" s="5">
        <v>266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53.217489999999998</v>
      </c>
      <c r="E324" s="5">
        <v>6.0877499999999998</v>
      </c>
      <c r="F324" s="5">
        <v>275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53.257489999999997</v>
      </c>
      <c r="E325" s="5">
        <v>6.0824499999999997</v>
      </c>
      <c r="F325" s="5">
        <v>268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53.126739999999998</v>
      </c>
      <c r="E326" s="5">
        <v>6.09023</v>
      </c>
      <c r="F326" s="5">
        <v>270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53.288319999999999</v>
      </c>
      <c r="E327" s="5">
        <v>6.0741399999999999</v>
      </c>
      <c r="F327" s="5">
        <v>265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53.502189999999999</v>
      </c>
      <c r="E328" s="5">
        <v>6.0773200000000003</v>
      </c>
      <c r="F328" s="5">
        <v>270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53.307569999999998</v>
      </c>
      <c r="E329" s="5">
        <v>6.0760199999999998</v>
      </c>
      <c r="F329" s="5">
        <v>275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53.487490000000001</v>
      </c>
      <c r="E330" s="5">
        <v>6.0864500000000001</v>
      </c>
      <c r="F330" s="5">
        <v>264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148.16319999999999</v>
      </c>
      <c r="E331" s="5">
        <v>7.0326000000000004</v>
      </c>
      <c r="F331" s="5">
        <v>90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148.17402999999999</v>
      </c>
      <c r="E332" s="5">
        <v>7.07796</v>
      </c>
      <c r="F332" s="5">
        <v>93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148.21950000000001</v>
      </c>
      <c r="E333" s="5">
        <v>7.0393499999999998</v>
      </c>
      <c r="F333" s="5">
        <v>90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148.14320000000001</v>
      </c>
      <c r="E334" s="5">
        <v>7.0475099999999999</v>
      </c>
      <c r="F334" s="5">
        <v>90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148.29698999999999</v>
      </c>
      <c r="E335" s="5">
        <v>7.0638100000000001</v>
      </c>
      <c r="F335" s="5">
        <v>89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148.20547999999999</v>
      </c>
      <c r="E336" s="5">
        <v>7.0465200000000001</v>
      </c>
      <c r="F336" s="5">
        <v>92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148.15478999999999</v>
      </c>
      <c r="E337" s="5">
        <v>7.0877499999999998</v>
      </c>
      <c r="F337" s="5">
        <v>92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148.89247</v>
      </c>
      <c r="E338" s="5">
        <v>7.0295800000000002</v>
      </c>
      <c r="F338" s="5">
        <v>90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148.17902000000001</v>
      </c>
      <c r="E339" s="5">
        <v>7.0316000000000001</v>
      </c>
      <c r="F339" s="5">
        <v>92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148.14698999999999</v>
      </c>
      <c r="E340" s="5">
        <v>7.0736699999999999</v>
      </c>
      <c r="F340" s="5">
        <v>93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108.03496</v>
      </c>
      <c r="E341" s="5">
        <v>16.837319999999998</v>
      </c>
      <c r="F341" s="5">
        <v>207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108.63903999999999</v>
      </c>
      <c r="E342" s="5">
        <v>16.806439999999998</v>
      </c>
      <c r="F342" s="5">
        <v>206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117.49449</v>
      </c>
      <c r="E343" s="5">
        <v>16.78969</v>
      </c>
      <c r="F343" s="5">
        <v>206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107.9008</v>
      </c>
      <c r="E344" s="5">
        <v>16.84469</v>
      </c>
      <c r="F344" s="5">
        <v>207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107.85163</v>
      </c>
      <c r="E345" s="5">
        <v>16.789090000000002</v>
      </c>
      <c r="F345" s="5">
        <v>207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107.99247</v>
      </c>
      <c r="E346" s="5">
        <v>16.82272</v>
      </c>
      <c r="F346" s="5">
        <v>205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116.84323000000001</v>
      </c>
      <c r="E347" s="5">
        <v>16.83615</v>
      </c>
      <c r="F347" s="5">
        <v>207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108.002</v>
      </c>
      <c r="E348" s="5">
        <v>16.820460000000001</v>
      </c>
      <c r="F348" s="5">
        <v>207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108.96677</v>
      </c>
      <c r="E349" s="5">
        <v>16.848500000000001</v>
      </c>
      <c r="F349" s="5">
        <v>205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108.40312</v>
      </c>
      <c r="E350" s="5">
        <v>16.80311</v>
      </c>
      <c r="F350" s="5">
        <v>205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104.13247</v>
      </c>
      <c r="E351" s="5">
        <v>29.363230000000001</v>
      </c>
      <c r="F351" s="5">
        <v>343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103.31371</v>
      </c>
      <c r="E352" s="5">
        <v>29.397790000000001</v>
      </c>
      <c r="F352" s="5">
        <v>339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103.93496</v>
      </c>
      <c r="E353" s="5">
        <v>29.345030000000001</v>
      </c>
      <c r="F353" s="5">
        <v>343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104.06663</v>
      </c>
      <c r="E354" s="5">
        <v>29.33765</v>
      </c>
      <c r="F354" s="5">
        <v>344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104.02253</v>
      </c>
      <c r="E355" s="5">
        <v>29.339919999999999</v>
      </c>
      <c r="F355" s="5">
        <v>339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103.21266</v>
      </c>
      <c r="E356" s="5">
        <v>29.369039999999998</v>
      </c>
      <c r="F356" s="5">
        <v>340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104.13496000000001</v>
      </c>
      <c r="E357" s="5">
        <v>29.357659999999999</v>
      </c>
      <c r="F357" s="5">
        <v>345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103.90503</v>
      </c>
      <c r="E358" s="5">
        <v>29.36393</v>
      </c>
      <c r="F358" s="5">
        <v>347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103.77919</v>
      </c>
      <c r="E359" s="5">
        <v>29.341329999999999</v>
      </c>
      <c r="F359" s="5">
        <v>342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104.15419</v>
      </c>
      <c r="E360" s="5">
        <v>29.402380000000001</v>
      </c>
      <c r="F360" s="5">
        <v>344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0.54823999999999995</v>
      </c>
      <c r="F361" s="5">
        <v>59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0.54281000000000001</v>
      </c>
      <c r="F362" s="5">
        <v>53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0.54407000000000005</v>
      </c>
      <c r="F363" s="5">
        <v>58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0.54373000000000005</v>
      </c>
      <c r="F364" s="5">
        <v>58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0.54786000000000001</v>
      </c>
      <c r="F365" s="5">
        <v>59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0.54779</v>
      </c>
      <c r="F366" s="5">
        <v>50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0.54135</v>
      </c>
      <c r="F367" s="5">
        <v>57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0.54566000000000003</v>
      </c>
      <c r="F368" s="5">
        <v>59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0.54668000000000005</v>
      </c>
      <c r="F369" s="5">
        <v>59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0.54507000000000005</v>
      </c>
      <c r="F370" s="5">
        <v>59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0.87710999999999995</v>
      </c>
      <c r="F371" s="5">
        <v>93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0.87244999999999995</v>
      </c>
      <c r="F372" s="5">
        <v>95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0.87217999999999996</v>
      </c>
      <c r="F373" s="5">
        <v>99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0.87921000000000005</v>
      </c>
      <c r="F374" s="5">
        <v>92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0.87236999999999998</v>
      </c>
      <c r="F375" s="5">
        <v>99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0.87805999999999995</v>
      </c>
      <c r="F376" s="5">
        <v>104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0.87295999999999996</v>
      </c>
      <c r="F377" s="5">
        <v>104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0.87524999999999997</v>
      </c>
      <c r="F378" s="5">
        <v>104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0.87580999999999998</v>
      </c>
      <c r="F379" s="5">
        <v>95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0.87622999999999995</v>
      </c>
      <c r="F380" s="5">
        <v>105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1.15126</v>
      </c>
      <c r="F381" s="5">
        <v>123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1.1486799999999999</v>
      </c>
      <c r="F382" s="5">
        <v>123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1.1492100000000001</v>
      </c>
      <c r="F383" s="5">
        <v>131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1.15069</v>
      </c>
      <c r="F384" s="5">
        <v>129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1.15344</v>
      </c>
      <c r="F385" s="5">
        <v>121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1.14991</v>
      </c>
      <c r="F386" s="5">
        <v>130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1.14819</v>
      </c>
      <c r="F387" s="5">
        <v>130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1.15123</v>
      </c>
      <c r="F388" s="5">
        <v>132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1.15011</v>
      </c>
      <c r="F389" s="5">
        <v>124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1.15374</v>
      </c>
      <c r="F390" s="5">
        <v>131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1.1305700000000001</v>
      </c>
      <c r="F391" s="5">
        <v>40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1.1216999999999999</v>
      </c>
      <c r="F392" s="5">
        <v>41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1.1182000000000001</v>
      </c>
      <c r="F393" s="5">
        <v>39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1.1140600000000001</v>
      </c>
      <c r="F394" s="5">
        <v>41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1.12239</v>
      </c>
      <c r="F395" s="5">
        <v>41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1.12744</v>
      </c>
      <c r="F396" s="5">
        <v>38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1.11121</v>
      </c>
      <c r="F397" s="5">
        <v>41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1.1180000000000001</v>
      </c>
      <c r="F398" s="5">
        <v>41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1.11459</v>
      </c>
      <c r="F399" s="5">
        <v>41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1.10883</v>
      </c>
      <c r="F400" s="5">
        <v>38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2.5061200000000001</v>
      </c>
      <c r="F401" s="5">
        <v>88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2.5073599999999998</v>
      </c>
      <c r="F402" s="5">
        <v>87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2.4903300000000002</v>
      </c>
      <c r="F403" s="5">
        <v>91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2.4981599999999999</v>
      </c>
      <c r="F404" s="5">
        <v>88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2.4871099999999999</v>
      </c>
      <c r="F405" s="5">
        <v>88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2.5032399999999999</v>
      </c>
      <c r="F406" s="5">
        <v>90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2.5077099999999999</v>
      </c>
      <c r="F407" s="5">
        <v>89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2.5061599999999999</v>
      </c>
      <c r="F408" s="5">
        <v>90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2.4973200000000002</v>
      </c>
      <c r="F409" s="5">
        <v>88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2.5063499999999999</v>
      </c>
      <c r="F410" s="5">
        <v>89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2.72858</v>
      </c>
      <c r="F411" s="5">
        <v>93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2.7444500000000001</v>
      </c>
      <c r="F412" s="5">
        <v>96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2.7344900000000001</v>
      </c>
      <c r="F413" s="5">
        <v>96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2.7324099999999998</v>
      </c>
      <c r="F414" s="5">
        <v>93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2.7314600000000002</v>
      </c>
      <c r="F415" s="5">
        <v>96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2.7229999999999999</v>
      </c>
      <c r="F416" s="5">
        <v>94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2.7292399999999999</v>
      </c>
      <c r="F417" s="5">
        <v>94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2.74404</v>
      </c>
      <c r="F418" s="5">
        <v>97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2.72316</v>
      </c>
      <c r="F419" s="5">
        <v>94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2.7305899999999999</v>
      </c>
      <c r="F420" s="5">
        <v>94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3.0173800000000002</v>
      </c>
      <c r="F421" s="5">
        <v>41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3.03037</v>
      </c>
      <c r="F422" s="5">
        <v>42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3.00414</v>
      </c>
      <c r="F423" s="5">
        <v>42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2.9848499999999998</v>
      </c>
      <c r="F424" s="5">
        <v>42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2.9861599999999999</v>
      </c>
      <c r="F425" s="5">
        <v>41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2.9653999999999998</v>
      </c>
      <c r="F426" s="5">
        <v>41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3.0239400000000001</v>
      </c>
      <c r="F427" s="5">
        <v>43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2.9960200000000001</v>
      </c>
      <c r="F428" s="5">
        <v>41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2.9770799999999999</v>
      </c>
      <c r="F429" s="5">
        <v>41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3.0129899999999998</v>
      </c>
      <c r="F430" s="5">
        <v>42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3.8188499999999999</v>
      </c>
      <c r="F431" s="5">
        <v>53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3.8096100000000002</v>
      </c>
      <c r="F432" s="5">
        <v>52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3.82924</v>
      </c>
      <c r="F433" s="5">
        <v>52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3.8117700000000001</v>
      </c>
      <c r="F434" s="5">
        <v>52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3.8239800000000002</v>
      </c>
      <c r="F435" s="5">
        <v>52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3.7902200000000001</v>
      </c>
      <c r="F436" s="5">
        <v>51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3.8083200000000001</v>
      </c>
      <c r="F437" s="5">
        <v>52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3.79922</v>
      </c>
      <c r="F438" s="5">
        <v>52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3.8054700000000001</v>
      </c>
      <c r="F439" s="5">
        <v>52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3.79901</v>
      </c>
      <c r="F440" s="5">
        <v>52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5.5194900000000002</v>
      </c>
      <c r="F441" s="5">
        <v>70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5.4820900000000004</v>
      </c>
      <c r="F442" s="5">
        <v>71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5.5167599999999997</v>
      </c>
      <c r="F443" s="5">
        <v>70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5.48264</v>
      </c>
      <c r="F444" s="5">
        <v>70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5.4902199999999999</v>
      </c>
      <c r="F445" s="5">
        <v>71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5.4585400000000002</v>
      </c>
      <c r="F446" s="5">
        <v>69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5.4894100000000003</v>
      </c>
      <c r="F447" s="5">
        <v>71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5.46584</v>
      </c>
      <c r="F448" s="5">
        <v>70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5.5248699999999999</v>
      </c>
      <c r="F449" s="5">
        <v>70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5.4789300000000001</v>
      </c>
      <c r="F450" s="5">
        <v>71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S1"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0.56079999999999997</v>
      </c>
      <c r="F1" s="5">
        <v>41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0.54427000000000003</v>
      </c>
      <c r="F2" s="5">
        <v>48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0.54456000000000004</v>
      </c>
      <c r="F3" s="5">
        <v>52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170.35004000000001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0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0.54779</v>
      </c>
      <c r="F4" s="5">
        <v>48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0.54483999999999999</v>
      </c>
      <c r="F5" s="5">
        <v>51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0.54764999999999997</v>
      </c>
      <c r="F6" s="5">
        <v>51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0.56379999999999997</v>
      </c>
      <c r="F7" s="5">
        <v>42</v>
      </c>
      <c r="H7" s="5" t="s">
        <v>27</v>
      </c>
      <c r="I7" s="5">
        <v>50</v>
      </c>
      <c r="J7" s="5">
        <v>1</v>
      </c>
      <c r="L7" s="5">
        <f t="shared" ca="1" si="11"/>
        <v>182.31979000000001</v>
      </c>
      <c r="M7" s="5">
        <f t="shared" ca="1" si="0"/>
        <v>179.93769</v>
      </c>
      <c r="N7" s="5">
        <f t="shared" ca="1" si="0"/>
        <v>182.51284999999999</v>
      </c>
      <c r="O7" s="5">
        <f t="shared" ca="1" si="0"/>
        <v>181.91</v>
      </c>
      <c r="P7" s="5">
        <f t="shared" ca="1" si="0"/>
        <v>180.05332999999999</v>
      </c>
      <c r="Q7" s="5">
        <f t="shared" ca="1" si="0"/>
        <v>180.43666999999999</v>
      </c>
      <c r="R7" s="5">
        <f t="shared" ca="1" si="0"/>
        <v>179.67332999999999</v>
      </c>
      <c r="S7" s="5">
        <f t="shared" ca="1" si="0"/>
        <v>181.40834000000001</v>
      </c>
      <c r="T7" s="5">
        <f t="shared" ca="1" si="0"/>
        <v>180.25</v>
      </c>
      <c r="U7" s="5">
        <f t="shared" ca="1" si="0"/>
        <v>180.10775000000001</v>
      </c>
      <c r="W7" s="5">
        <f t="shared" ca="1" si="12"/>
        <v>180.860975</v>
      </c>
      <c r="Y7" s="5">
        <f ca="1">Total!E7</f>
        <v>179.67332999999999</v>
      </c>
      <c r="AB7" s="5">
        <f t="shared" ca="1" si="1"/>
        <v>1.4729286756136923E-2</v>
      </c>
      <c r="AC7" s="5">
        <f t="shared" ca="1" si="2"/>
        <v>1.4713368979136225E-3</v>
      </c>
      <c r="AD7" s="5">
        <f t="shared" ca="1" si="3"/>
        <v>1.5803792360279588E-2</v>
      </c>
      <c r="AE7" s="5">
        <f t="shared" ca="1" si="4"/>
        <v>1.2448536463369403E-2</v>
      </c>
      <c r="AF7" s="5">
        <f t="shared" ca="1" si="5"/>
        <v>2.1149493917655754E-3</v>
      </c>
      <c r="AG7" s="5">
        <f t="shared" ca="1" si="6"/>
        <v>4.248488075553559E-3</v>
      </c>
      <c r="AH7" s="5">
        <f t="shared" ca="1" si="7"/>
        <v>0</v>
      </c>
      <c r="AI7" s="5">
        <f t="shared" ca="1" si="8"/>
        <v>9.6564693268612369E-3</v>
      </c>
      <c r="AJ7" s="5">
        <f t="shared" ca="1" si="9"/>
        <v>3.209547015130221E-3</v>
      </c>
      <c r="AK7" s="5">
        <f t="shared" ca="1" si="10"/>
        <v>2.4178324072917064E-3</v>
      </c>
      <c r="AM7" s="5">
        <f t="shared" ca="1" si="13"/>
        <v>6.6100238694301844E-2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0.55071000000000003</v>
      </c>
      <c r="F8" s="5">
        <v>47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0.55057</v>
      </c>
      <c r="F9" s="5">
        <v>48</v>
      </c>
      <c r="H9" s="5" t="s">
        <v>27</v>
      </c>
      <c r="I9" s="5">
        <v>100</v>
      </c>
      <c r="J9" s="5">
        <v>0.7</v>
      </c>
      <c r="L9" s="5">
        <f t="shared" ca="1" si="11"/>
        <v>255.72535999999999</v>
      </c>
      <c r="M9" s="5">
        <f t="shared" ca="1" si="0"/>
        <v>259.25398000000001</v>
      </c>
      <c r="N9" s="5">
        <f t="shared" ca="1" si="0"/>
        <v>258.35185000000001</v>
      </c>
      <c r="O9" s="5">
        <f t="shared" ca="1" si="0"/>
        <v>257.55671000000001</v>
      </c>
      <c r="P9" s="5">
        <f t="shared" ca="1" si="0"/>
        <v>255.95363</v>
      </c>
      <c r="Q9" s="5">
        <f t="shared" ca="1" si="0"/>
        <v>257.35665</v>
      </c>
      <c r="R9" s="5">
        <f t="shared" ca="1" si="0"/>
        <v>256.53282999999999</v>
      </c>
      <c r="S9" s="5">
        <f t="shared" ca="1" si="0"/>
        <v>257.47998000000001</v>
      </c>
      <c r="T9" s="5">
        <f t="shared" ca="1" si="0"/>
        <v>257.65129000000002</v>
      </c>
      <c r="U9" s="5">
        <f t="shared" ca="1" si="0"/>
        <v>258.25882000000001</v>
      </c>
      <c r="W9" s="5">
        <f t="shared" ca="1" si="12"/>
        <v>257.41211000000004</v>
      </c>
      <c r="Y9" s="5">
        <f ca="1">Total!E9</f>
        <v>255.18879999999999</v>
      </c>
      <c r="AB9" s="5">
        <f t="shared" ca="1" si="1"/>
        <v>2.1026001141116247E-3</v>
      </c>
      <c r="AC9" s="5">
        <f t="shared" ca="1" si="2"/>
        <v>1.5930087840845784E-2</v>
      </c>
      <c r="AD9" s="5">
        <f t="shared" ca="1" si="3"/>
        <v>1.2394940530305511E-2</v>
      </c>
      <c r="AE9" s="5">
        <f t="shared" ca="1" si="4"/>
        <v>9.279051431724368E-3</v>
      </c>
      <c r="AF9" s="5">
        <f t="shared" ca="1" si="5"/>
        <v>2.9971142934173355E-3</v>
      </c>
      <c r="AG9" s="5">
        <f t="shared" ca="1" si="6"/>
        <v>8.4950828563009652E-3</v>
      </c>
      <c r="AH9" s="5">
        <f t="shared" ca="1" si="7"/>
        <v>5.2668063802173279E-3</v>
      </c>
      <c r="AI9" s="5">
        <f t="shared" ca="1" si="8"/>
        <v>8.9783720915652468E-3</v>
      </c>
      <c r="AJ9" s="5">
        <f t="shared" ca="1" si="9"/>
        <v>9.6496789827767958E-3</v>
      </c>
      <c r="AK9" s="5">
        <f t="shared" ca="1" si="10"/>
        <v>1.2030386913532365E-2</v>
      </c>
      <c r="AM9" s="5">
        <f t="shared" ca="1" si="13"/>
        <v>8.7124121434797336E-2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0.54630999999999996</v>
      </c>
      <c r="F10" s="5">
        <v>50</v>
      </c>
      <c r="H10" s="5" t="s">
        <v>27</v>
      </c>
      <c r="I10" s="5">
        <v>100</v>
      </c>
      <c r="J10" s="5">
        <v>1</v>
      </c>
      <c r="L10" s="5">
        <f t="shared" ca="1" si="11"/>
        <v>239.35667000000001</v>
      </c>
      <c r="M10" s="5">
        <f t="shared" ca="1" si="0"/>
        <v>239.68</v>
      </c>
      <c r="N10" s="5">
        <f t="shared" ca="1" si="0"/>
        <v>240.19</v>
      </c>
      <c r="O10" s="5">
        <f t="shared" ca="1" si="0"/>
        <v>239.2</v>
      </c>
      <c r="P10" s="5">
        <f t="shared" ca="1" si="0"/>
        <v>238.89373000000001</v>
      </c>
      <c r="Q10" s="5">
        <f t="shared" ca="1" si="0"/>
        <v>239.17930000000001</v>
      </c>
      <c r="R10" s="5">
        <f t="shared" ca="1" si="0"/>
        <v>239.49823000000001</v>
      </c>
      <c r="S10" s="5">
        <f t="shared" ca="1" si="0"/>
        <v>239.57873000000001</v>
      </c>
      <c r="T10" s="5">
        <f t="shared" ca="1" si="0"/>
        <v>239.72053</v>
      </c>
      <c r="U10" s="5">
        <f t="shared" ca="1" si="0"/>
        <v>241.11418</v>
      </c>
      <c r="W10" s="5">
        <f t="shared" ca="1" si="12"/>
        <v>239.64113699999999</v>
      </c>
      <c r="Y10" s="5">
        <f ca="1">Total!E10</f>
        <v>238.77667</v>
      </c>
      <c r="AB10" s="5">
        <f t="shared" ca="1" si="1"/>
        <v>2.4290480305300031E-3</v>
      </c>
      <c r="AC10" s="5">
        <f t="shared" ca="1" si="2"/>
        <v>3.7831585472735299E-3</v>
      </c>
      <c r="AD10" s="5">
        <f t="shared" ca="1" si="3"/>
        <v>5.9190456086015523E-3</v>
      </c>
      <c r="AE10" s="5">
        <f t="shared" ca="1" si="4"/>
        <v>1.7729119013176324E-3</v>
      </c>
      <c r="AF10" s="5">
        <f t="shared" ca="1" si="5"/>
        <v>4.9024890078251475E-4</v>
      </c>
      <c r="AG10" s="5">
        <f t="shared" ca="1" si="6"/>
        <v>1.6862200147108855E-3</v>
      </c>
      <c r="AH10" s="5">
        <f t="shared" ca="1" si="7"/>
        <v>3.0219032705331339E-3</v>
      </c>
      <c r="AI10" s="5">
        <f t="shared" ca="1" si="8"/>
        <v>3.3590383851153111E-3</v>
      </c>
      <c r="AJ10" s="5">
        <f t="shared" ca="1" si="9"/>
        <v>3.9528987484413816E-3</v>
      </c>
      <c r="AK10" s="5">
        <f t="shared" ca="1" si="10"/>
        <v>9.7895242445587699E-3</v>
      </c>
      <c r="AM10" s="5">
        <f t="shared" ca="1" si="13"/>
        <v>3.620399765186471E-2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1.4236599999999999</v>
      </c>
      <c r="F11" s="5">
        <v>146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1.42492</v>
      </c>
      <c r="F12" s="5">
        <v>99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1.4252100000000001</v>
      </c>
      <c r="F13" s="5">
        <v>138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1.4258200000000001</v>
      </c>
      <c r="F14" s="5">
        <v>146</v>
      </c>
      <c r="H14" s="5" t="s">
        <v>2</v>
      </c>
      <c r="I14" s="5">
        <v>47</v>
      </c>
      <c r="J14" s="5">
        <v>0.4</v>
      </c>
      <c r="L14" s="5">
        <f t="shared" ca="1" si="11"/>
        <v>4350.8413700000001</v>
      </c>
      <c r="M14" s="5">
        <f t="shared" ca="1" si="0"/>
        <v>4348.0289499999999</v>
      </c>
      <c r="N14" s="5">
        <f t="shared" ca="1" si="0"/>
        <v>4350.8413700000001</v>
      </c>
      <c r="O14" s="5">
        <f t="shared" ca="1" si="0"/>
        <v>4348.0289499999999</v>
      </c>
      <c r="P14" s="5">
        <f t="shared" ca="1" si="0"/>
        <v>4348.0289499999999</v>
      </c>
      <c r="Q14" s="5">
        <f t="shared" ca="1" si="0"/>
        <v>4350.8413700000001</v>
      </c>
      <c r="R14" s="5">
        <f t="shared" ca="1" si="0"/>
        <v>4348.0289499999999</v>
      </c>
      <c r="S14" s="5">
        <f t="shared" ca="1" si="0"/>
        <v>4348.0289499999999</v>
      </c>
      <c r="T14" s="5">
        <f t="shared" ca="1" si="0"/>
        <v>4350.8413700000001</v>
      </c>
      <c r="U14" s="5">
        <f t="shared" ca="1" si="0"/>
        <v>4348.0289499999999</v>
      </c>
      <c r="W14" s="5">
        <f t="shared" ca="1" si="12"/>
        <v>4349.153918</v>
      </c>
      <c r="Y14" s="5">
        <f ca="1">Total!E14</f>
        <v>4348.0289499999999</v>
      </c>
      <c r="AB14" s="5">
        <f t="shared" ca="1" si="1"/>
        <v>6.4682642004952661E-4</v>
      </c>
      <c r="AC14" s="5">
        <f t="shared" ca="1" si="2"/>
        <v>0</v>
      </c>
      <c r="AD14" s="5">
        <f t="shared" ca="1" si="3"/>
        <v>6.4682642004952661E-4</v>
      </c>
      <c r="AE14" s="5">
        <f t="shared" ca="1" si="4"/>
        <v>0</v>
      </c>
      <c r="AF14" s="5">
        <f t="shared" ca="1" si="5"/>
        <v>0</v>
      </c>
      <c r="AG14" s="5">
        <f t="shared" ca="1" si="6"/>
        <v>6.4682642004952661E-4</v>
      </c>
      <c r="AH14" s="5">
        <f t="shared" ca="1" si="7"/>
        <v>0</v>
      </c>
      <c r="AI14" s="5">
        <f t="shared" ca="1" si="8"/>
        <v>0</v>
      </c>
      <c r="AJ14" s="5">
        <f t="shared" ca="1" si="9"/>
        <v>6.4682642004952661E-4</v>
      </c>
      <c r="AK14" s="5">
        <f t="shared" ca="1" si="10"/>
        <v>0</v>
      </c>
      <c r="AM14" s="5">
        <f t="shared" ca="1" si="13"/>
        <v>2.5873056801981064E-3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1.4227300000000001</v>
      </c>
      <c r="F15" s="5">
        <v>130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1.4213100000000001</v>
      </c>
      <c r="F16" s="5">
        <v>122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1.44472</v>
      </c>
      <c r="F17" s="5">
        <v>97</v>
      </c>
      <c r="H17" s="5" t="s">
        <v>2</v>
      </c>
      <c r="I17" s="5">
        <v>100</v>
      </c>
      <c r="J17" s="5">
        <v>0.4</v>
      </c>
      <c r="L17" s="5">
        <f t="shared" ca="1" si="11"/>
        <v>42986.345820000002</v>
      </c>
      <c r="M17" s="5">
        <f t="shared" ca="1" si="0"/>
        <v>42986.403050000001</v>
      </c>
      <c r="N17" s="5">
        <f t="shared" ca="1" si="0"/>
        <v>42986.403050000001</v>
      </c>
      <c r="O17" s="5">
        <f t="shared" ca="1" si="0"/>
        <v>42986.345820000002</v>
      </c>
      <c r="P17" s="5">
        <f t="shared" ca="1" si="0"/>
        <v>42986.853589999999</v>
      </c>
      <c r="Q17" s="5">
        <f t="shared" ca="1" si="0"/>
        <v>42986.673049999998</v>
      </c>
      <c r="R17" s="5">
        <f t="shared" ca="1" si="0"/>
        <v>42986.495300000002</v>
      </c>
      <c r="S17" s="5">
        <f t="shared" ca="1" si="0"/>
        <v>42986.403050000001</v>
      </c>
      <c r="T17" s="5">
        <f t="shared" ca="1" si="0"/>
        <v>42986.403050000001</v>
      </c>
      <c r="U17" s="5">
        <f t="shared" ca="1" si="0"/>
        <v>42986.743049999997</v>
      </c>
      <c r="W17" s="5">
        <f t="shared" ca="1" si="12"/>
        <v>42986.506883000009</v>
      </c>
      <c r="Y17" s="5">
        <f ca="1">Total!E17</f>
        <v>42986.193919999998</v>
      </c>
      <c r="AB17" s="5">
        <f t="shared" ca="1" si="1"/>
        <v>3.5336927081072652E-6</v>
      </c>
      <c r="AC17" s="5">
        <f t="shared" ca="1" si="2"/>
        <v>4.8650504018131747E-6</v>
      </c>
      <c r="AD17" s="5">
        <f t="shared" ca="1" si="3"/>
        <v>4.8650504018131747E-6</v>
      </c>
      <c r="AE17" s="5">
        <f t="shared" ca="1" si="4"/>
        <v>3.5336927081072652E-6</v>
      </c>
      <c r="AF17" s="5">
        <f t="shared" ca="1" si="5"/>
        <v>1.5346089984812385E-5</v>
      </c>
      <c r="AG17" s="5">
        <f t="shared" ca="1" si="6"/>
        <v>1.1146136847830832E-5</v>
      </c>
      <c r="AH17" s="5">
        <f t="shared" ca="1" si="7"/>
        <v>7.0110882709298597E-6</v>
      </c>
      <c r="AI17" s="5">
        <f t="shared" ca="1" si="8"/>
        <v>4.8650504018131747E-6</v>
      </c>
      <c r="AJ17" s="5">
        <f t="shared" ca="1" si="9"/>
        <v>4.8650504018131747E-6</v>
      </c>
      <c r="AK17" s="5">
        <f t="shared" ca="1" si="10"/>
        <v>1.2774566667181279E-5</v>
      </c>
      <c r="AM17" s="5">
        <f t="shared" ca="1" si="13"/>
        <v>7.2805468794221587E-5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1.4349700000000001</v>
      </c>
      <c r="F18" s="5">
        <v>51</v>
      </c>
      <c r="H18" s="5" t="s">
        <v>2</v>
      </c>
      <c r="I18" s="5">
        <v>100</v>
      </c>
      <c r="J18" s="5">
        <v>0.7</v>
      </c>
      <c r="L18" s="5">
        <f t="shared" ca="1" si="11"/>
        <v>35598.938000000002</v>
      </c>
      <c r="M18" s="5">
        <f t="shared" ca="1" si="11"/>
        <v>35414.87859</v>
      </c>
      <c r="N18" s="5">
        <f t="shared" ca="1" si="11"/>
        <v>35578.95119</v>
      </c>
      <c r="O18" s="5">
        <f t="shared" ca="1" si="11"/>
        <v>35698.000209999998</v>
      </c>
      <c r="P18" s="5">
        <f t="shared" ca="1" si="11"/>
        <v>35695.83973</v>
      </c>
      <c r="Q18" s="5">
        <f t="shared" ca="1" si="11"/>
        <v>35804.209009999999</v>
      </c>
      <c r="R18" s="5">
        <f t="shared" ca="1" si="11"/>
        <v>35819.721460000001</v>
      </c>
      <c r="S18" s="5">
        <f t="shared" ca="1" si="11"/>
        <v>35604.511749999998</v>
      </c>
      <c r="T18" s="5">
        <f t="shared" ca="1" si="11"/>
        <v>35451.082040000001</v>
      </c>
      <c r="U18" s="5">
        <f t="shared" ca="1" si="11"/>
        <v>35651.674140000003</v>
      </c>
      <c r="W18" s="5">
        <f t="shared" ca="1" si="12"/>
        <v>35631.780612000002</v>
      </c>
      <c r="Y18" s="5">
        <f ca="1">Total!E18</f>
        <v>35336.072039999999</v>
      </c>
      <c r="AB18" s="5">
        <f t="shared" ca="1" si="1"/>
        <v>7.4390260383905091E-3</v>
      </c>
      <c r="AC18" s="5">
        <f t="shared" ca="1" si="2"/>
        <v>2.2302011924470017E-3</v>
      </c>
      <c r="AD18" s="5">
        <f t="shared" ca="1" si="3"/>
        <v>6.8734054460004622E-3</v>
      </c>
      <c r="AE18" s="5">
        <f t="shared" ca="1" si="4"/>
        <v>1.0242456195762251E-2</v>
      </c>
      <c r="AF18" s="5">
        <f t="shared" ca="1" si="5"/>
        <v>1.018131527445235E-2</v>
      </c>
      <c r="AG18" s="5">
        <f t="shared" ca="1" si="6"/>
        <v>1.3248132658040607E-2</v>
      </c>
      <c r="AH18" s="5">
        <f t="shared" ca="1" si="7"/>
        <v>1.3687130234863579E-2</v>
      </c>
      <c r="AI18" s="5">
        <f t="shared" ca="1" si="8"/>
        <v>7.5967614537384995E-3</v>
      </c>
      <c r="AJ18" s="5">
        <f t="shared" ca="1" si="9"/>
        <v>3.2547477226617643E-3</v>
      </c>
      <c r="AK18" s="5">
        <f t="shared" ca="1" si="10"/>
        <v>8.9314426244871247E-3</v>
      </c>
      <c r="AM18" s="5">
        <f t="shared" ca="1" si="13"/>
        <v>8.3684618840844147E-2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1.4366099999999999</v>
      </c>
      <c r="F19" s="5">
        <v>108</v>
      </c>
      <c r="H19" s="5" t="s">
        <v>2</v>
      </c>
      <c r="I19" s="5">
        <v>100</v>
      </c>
      <c r="J19" s="5">
        <v>1</v>
      </c>
      <c r="L19" s="5">
        <f t="shared" ca="1" si="11"/>
        <v>35259.227590000002</v>
      </c>
      <c r="M19" s="5">
        <f t="shared" ca="1" si="11"/>
        <v>35261.767249999997</v>
      </c>
      <c r="N19" s="5">
        <f t="shared" ca="1" si="11"/>
        <v>35343.042999999998</v>
      </c>
      <c r="O19" s="5">
        <f t="shared" ca="1" si="11"/>
        <v>35272.784820000001</v>
      </c>
      <c r="P19" s="5">
        <f t="shared" ca="1" si="11"/>
        <v>35219.694430000003</v>
      </c>
      <c r="Q19" s="5">
        <f t="shared" ca="1" si="11"/>
        <v>35341.355009999999</v>
      </c>
      <c r="R19" s="5">
        <f t="shared" ca="1" si="11"/>
        <v>35295.894059999999</v>
      </c>
      <c r="S19" s="5">
        <f t="shared" ca="1" si="11"/>
        <v>35269.434200000003</v>
      </c>
      <c r="T19" s="5">
        <f t="shared" ca="1" si="11"/>
        <v>35228.188099999999</v>
      </c>
      <c r="U19" s="5">
        <f t="shared" ca="1" si="11"/>
        <v>35281.120770000001</v>
      </c>
      <c r="W19" s="5">
        <f t="shared" ca="1" si="12"/>
        <v>35277.250923</v>
      </c>
      <c r="Y19" s="5">
        <f ca="1">Total!E19</f>
        <v>35203.853329999998</v>
      </c>
      <c r="AB19" s="5">
        <f t="shared" ca="1" si="1"/>
        <v>1.5729601950368126E-3</v>
      </c>
      <c r="AC19" s="5">
        <f t="shared" ca="1" si="2"/>
        <v>1.6451017295497593E-3</v>
      </c>
      <c r="AD19" s="5">
        <f t="shared" ca="1" si="3"/>
        <v>3.9538191656248375E-3</v>
      </c>
      <c r="AE19" s="5">
        <f t="shared" ca="1" si="4"/>
        <v>1.9580666171353654E-3</v>
      </c>
      <c r="AF19" s="5">
        <f t="shared" ca="1" si="5"/>
        <v>4.4998199065059846E-4</v>
      </c>
      <c r="AG19" s="5">
        <f t="shared" ca="1" si="6"/>
        <v>3.90587015322056E-3</v>
      </c>
      <c r="AH19" s="5">
        <f t="shared" ca="1" si="7"/>
        <v>2.6145072568395634E-3</v>
      </c>
      <c r="AI19" s="5">
        <f t="shared" ca="1" si="8"/>
        <v>1.8628889680130148E-3</v>
      </c>
      <c r="AJ19" s="5">
        <f t="shared" ca="1" si="9"/>
        <v>6.9125302198846819E-4</v>
      </c>
      <c r="AK19" s="5">
        <f t="shared" ca="1" si="10"/>
        <v>2.1948574570999461E-3</v>
      </c>
      <c r="AM19" s="5">
        <f t="shared" ca="1" si="13"/>
        <v>2.0849306555158924E-2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1.4526600000000001</v>
      </c>
      <c r="F20" s="5">
        <v>86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1.7751300000000001</v>
      </c>
      <c r="F21" s="5">
        <v>206</v>
      </c>
      <c r="H21" s="5" t="s">
        <v>1</v>
      </c>
      <c r="I21" s="5">
        <v>30</v>
      </c>
      <c r="J21" s="5">
        <v>0.7</v>
      </c>
      <c r="L21" s="5">
        <f t="shared" ca="1" si="11"/>
        <v>675.36581000000001</v>
      </c>
      <c r="M21" s="5">
        <f t="shared" ca="1" si="11"/>
        <v>675.36989000000005</v>
      </c>
      <c r="N21" s="5">
        <f t="shared" ca="1" si="11"/>
        <v>675.36989000000005</v>
      </c>
      <c r="O21" s="5">
        <f t="shared" ca="1" si="11"/>
        <v>675.36989000000005</v>
      </c>
      <c r="P21" s="5">
        <f t="shared" ca="1" si="11"/>
        <v>675.36581000000001</v>
      </c>
      <c r="Q21" s="5">
        <f t="shared" ca="1" si="11"/>
        <v>675.36989000000005</v>
      </c>
      <c r="R21" s="5">
        <f t="shared" ca="1" si="11"/>
        <v>675.36989000000005</v>
      </c>
      <c r="S21" s="5">
        <f t="shared" ca="1" si="11"/>
        <v>675.36989000000005</v>
      </c>
      <c r="T21" s="5">
        <f t="shared" ca="1" si="11"/>
        <v>675.36989000000005</v>
      </c>
      <c r="U21" s="5">
        <f t="shared" ca="1" si="11"/>
        <v>675.36989000000005</v>
      </c>
      <c r="W21" s="5">
        <f t="shared" ca="1" si="12"/>
        <v>675.36907399999996</v>
      </c>
      <c r="Y21" s="5">
        <f ca="1">Total!E21</f>
        <v>675.36581000000001</v>
      </c>
      <c r="AB21" s="5">
        <f t="shared" ca="1" si="1"/>
        <v>0</v>
      </c>
      <c r="AC21" s="5">
        <f t="shared" ca="1" si="2"/>
        <v>6.0411704881010963E-6</v>
      </c>
      <c r="AD21" s="5">
        <f t="shared" ca="1" si="3"/>
        <v>6.0411704881010963E-6</v>
      </c>
      <c r="AE21" s="5">
        <f t="shared" ca="1" si="4"/>
        <v>6.0411704881010963E-6</v>
      </c>
      <c r="AF21" s="5">
        <f t="shared" ca="1" si="5"/>
        <v>0</v>
      </c>
      <c r="AG21" s="5">
        <f t="shared" ca="1" si="6"/>
        <v>6.0411704881010963E-6</v>
      </c>
      <c r="AH21" s="5">
        <f t="shared" ca="1" si="7"/>
        <v>6.0411704881010963E-6</v>
      </c>
      <c r="AI21" s="5">
        <f t="shared" ca="1" si="8"/>
        <v>6.0411704881010963E-6</v>
      </c>
      <c r="AJ21" s="5">
        <f t="shared" ca="1" si="9"/>
        <v>6.0411704881010963E-6</v>
      </c>
      <c r="AK21" s="5">
        <f t="shared" ca="1" si="10"/>
        <v>6.0411704881010963E-6</v>
      </c>
      <c r="AM21" s="5">
        <f t="shared" ca="1" si="13"/>
        <v>4.832936390480877E-5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1.77216</v>
      </c>
      <c r="F22" s="5">
        <v>203</v>
      </c>
      <c r="H22" s="5" t="s">
        <v>1</v>
      </c>
      <c r="I22" s="5">
        <v>30</v>
      </c>
      <c r="J22" s="5">
        <v>1</v>
      </c>
      <c r="L22" s="5">
        <f t="shared" ca="1" si="11"/>
        <v>655.43295999999998</v>
      </c>
      <c r="M22" s="5">
        <f t="shared" ca="1" si="11"/>
        <v>657.48895000000005</v>
      </c>
      <c r="N22" s="5">
        <f t="shared" ca="1" si="11"/>
        <v>657.32992999999999</v>
      </c>
      <c r="O22" s="5">
        <f t="shared" ca="1" si="11"/>
        <v>657.95457999999996</v>
      </c>
      <c r="P22" s="5">
        <f t="shared" ca="1" si="11"/>
        <v>655.43295999999998</v>
      </c>
      <c r="Q22" s="5">
        <f t="shared" ca="1" si="11"/>
        <v>657.32380999999998</v>
      </c>
      <c r="R22" s="5">
        <f t="shared" ca="1" si="11"/>
        <v>657.48895000000005</v>
      </c>
      <c r="S22" s="5">
        <f t="shared" ca="1" si="11"/>
        <v>656.34204</v>
      </c>
      <c r="T22" s="5">
        <f t="shared" ca="1" si="11"/>
        <v>655.43295999999998</v>
      </c>
      <c r="U22" s="5">
        <f t="shared" ca="1" si="11"/>
        <v>658.23289</v>
      </c>
      <c r="W22" s="5">
        <f t="shared" ca="1" si="12"/>
        <v>656.84600300000011</v>
      </c>
      <c r="Y22" s="5">
        <f ca="1">Total!E22</f>
        <v>655.43295999999998</v>
      </c>
      <c r="AB22" s="5">
        <f t="shared" ca="1" si="1"/>
        <v>0</v>
      </c>
      <c r="AC22" s="5">
        <f t="shared" ca="1" si="2"/>
        <v>3.1368425536611177E-3</v>
      </c>
      <c r="AD22" s="5">
        <f t="shared" ca="1" si="3"/>
        <v>2.8942243002244047E-3</v>
      </c>
      <c r="AE22" s="5">
        <f t="shared" ca="1" si="4"/>
        <v>3.847258459507414E-3</v>
      </c>
      <c r="AF22" s="5">
        <f t="shared" ca="1" si="5"/>
        <v>0</v>
      </c>
      <c r="AG22" s="5">
        <f t="shared" ca="1" si="6"/>
        <v>2.8848869608266272E-3</v>
      </c>
      <c r="AH22" s="5">
        <f t="shared" ca="1" si="7"/>
        <v>3.1368425536611177E-3</v>
      </c>
      <c r="AI22" s="5">
        <f t="shared" ca="1" si="8"/>
        <v>1.3869915849212362E-3</v>
      </c>
      <c r="AJ22" s="5">
        <f t="shared" ca="1" si="9"/>
        <v>0</v>
      </c>
      <c r="AK22" s="5">
        <f t="shared" ca="1" si="10"/>
        <v>4.2718785457478634E-3</v>
      </c>
      <c r="AM22" s="5">
        <f t="shared" ca="1" si="13"/>
        <v>2.1558924958549781E-2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1.77417</v>
      </c>
      <c r="F23" s="5">
        <v>213</v>
      </c>
      <c r="H23" s="5" t="s">
        <v>1</v>
      </c>
      <c r="I23" s="5">
        <v>50</v>
      </c>
      <c r="J23" s="5">
        <v>0.4</v>
      </c>
      <c r="L23" s="5">
        <f t="shared" ca="1" si="11"/>
        <v>1459.9687899999999</v>
      </c>
      <c r="M23" s="5">
        <f t="shared" ca="1" si="11"/>
        <v>1460.80863</v>
      </c>
      <c r="N23" s="5">
        <f t="shared" ca="1" si="11"/>
        <v>1459.9687899999999</v>
      </c>
      <c r="O23" s="5">
        <f t="shared" ca="1" si="11"/>
        <v>1459.9687899999999</v>
      </c>
      <c r="P23" s="5">
        <f t="shared" ca="1" si="11"/>
        <v>1459.9687899999999</v>
      </c>
      <c r="Q23" s="5">
        <f t="shared" ca="1" si="11"/>
        <v>1459.9687899999999</v>
      </c>
      <c r="R23" s="5">
        <f t="shared" ca="1" si="11"/>
        <v>1459.9687899999999</v>
      </c>
      <c r="S23" s="5">
        <f t="shared" ca="1" si="11"/>
        <v>1459.9687899999999</v>
      </c>
      <c r="T23" s="5">
        <f t="shared" ca="1" si="11"/>
        <v>1459.9687899999999</v>
      </c>
      <c r="U23" s="5">
        <f t="shared" ca="1" si="11"/>
        <v>1459.9687899999999</v>
      </c>
      <c r="W23" s="5">
        <f t="shared" ca="1" si="12"/>
        <v>1460.0527739999993</v>
      </c>
      <c r="Y23" s="5">
        <f ca="1">Total!E23</f>
        <v>1459.9687899999999</v>
      </c>
      <c r="AB23" s="5">
        <f t="shared" ca="1" si="1"/>
        <v>0</v>
      </c>
      <c r="AC23" s="5">
        <f t="shared" ca="1" si="2"/>
        <v>5.7524517356298749E-4</v>
      </c>
      <c r="AD23" s="5">
        <f t="shared" ca="1" si="3"/>
        <v>0</v>
      </c>
      <c r="AE23" s="5">
        <f t="shared" ca="1" si="4"/>
        <v>0</v>
      </c>
      <c r="AF23" s="5">
        <f t="shared" ca="1" si="5"/>
        <v>0</v>
      </c>
      <c r="AG23" s="5">
        <f t="shared" ca="1" si="6"/>
        <v>0</v>
      </c>
      <c r="AH23" s="5">
        <f t="shared" ca="1" si="7"/>
        <v>0</v>
      </c>
      <c r="AI23" s="5">
        <f t="shared" ca="1" si="8"/>
        <v>0</v>
      </c>
      <c r="AJ23" s="5">
        <f t="shared" ca="1" si="9"/>
        <v>0</v>
      </c>
      <c r="AK23" s="5">
        <f t="shared" ca="1" si="10"/>
        <v>0</v>
      </c>
      <c r="AM23" s="5">
        <f t="shared" ca="1" si="13"/>
        <v>5.7524517356298749E-4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1.7715399999999999</v>
      </c>
      <c r="F24" s="5">
        <v>212</v>
      </c>
      <c r="H24" s="5" t="s">
        <v>1</v>
      </c>
      <c r="I24" s="5">
        <v>50</v>
      </c>
      <c r="J24" s="5">
        <v>0.7</v>
      </c>
      <c r="L24" s="5">
        <f t="shared" ca="1" si="11"/>
        <v>1013.64643</v>
      </c>
      <c r="M24" s="5">
        <f t="shared" ca="1" si="11"/>
        <v>1013.51351</v>
      </c>
      <c r="N24" s="5">
        <f t="shared" ca="1" si="11"/>
        <v>1028.07708</v>
      </c>
      <c r="O24" s="5">
        <f t="shared" ca="1" si="11"/>
        <v>1012.78238</v>
      </c>
      <c r="P24" s="5">
        <f t="shared" ca="1" si="11"/>
        <v>1012.4457200000001</v>
      </c>
      <c r="Q24" s="5">
        <f t="shared" ca="1" si="11"/>
        <v>1019.09028</v>
      </c>
      <c r="R24" s="5">
        <f t="shared" ca="1" si="11"/>
        <v>1019.0323100000001</v>
      </c>
      <c r="S24" s="5">
        <f t="shared" ca="1" si="11"/>
        <v>1013.68703</v>
      </c>
      <c r="T24" s="5">
        <f t="shared" ca="1" si="11"/>
        <v>1006.93814</v>
      </c>
      <c r="U24" s="5">
        <f t="shared" ca="1" si="11"/>
        <v>1019.2804599999999</v>
      </c>
      <c r="W24" s="5">
        <f t="shared" ca="1" si="12"/>
        <v>1015.8493339999999</v>
      </c>
      <c r="Y24" s="5">
        <f ca="1">Total!E24</f>
        <v>1005.95063</v>
      </c>
      <c r="AB24" s="5">
        <f t="shared" ca="1" si="1"/>
        <v>7.65027603790055E-3</v>
      </c>
      <c r="AC24" s="5">
        <f t="shared" ca="1" si="2"/>
        <v>7.5181423167854167E-3</v>
      </c>
      <c r="AD24" s="5">
        <f t="shared" ca="1" si="3"/>
        <v>2.199556254564896E-2</v>
      </c>
      <c r="AE24" s="5">
        <f t="shared" ca="1" si="4"/>
        <v>6.7913372647323087E-3</v>
      </c>
      <c r="AF24" s="5">
        <f t="shared" ca="1" si="5"/>
        <v>6.4566687532170482E-3</v>
      </c>
      <c r="AG24" s="5">
        <f t="shared" ca="1" si="6"/>
        <v>1.3061923327191475E-2</v>
      </c>
      <c r="AH24" s="5">
        <f t="shared" ca="1" si="7"/>
        <v>1.3004296244637776E-2</v>
      </c>
      <c r="AI24" s="5">
        <f t="shared" ca="1" si="8"/>
        <v>7.690635871464192E-3</v>
      </c>
      <c r="AJ24" s="5">
        <f t="shared" ca="1" si="9"/>
        <v>9.8166845424603921E-4</v>
      </c>
      <c r="AK24" s="5">
        <f t="shared" ca="1" si="10"/>
        <v>1.3250978330815202E-2</v>
      </c>
      <c r="AM24" s="5">
        <f t="shared" ca="1" si="13"/>
        <v>9.8401489146638974E-2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1.77461</v>
      </c>
      <c r="F25" s="5">
        <v>202</v>
      </c>
      <c r="H25" s="5" t="s">
        <v>1</v>
      </c>
      <c r="I25" s="5">
        <v>50</v>
      </c>
      <c r="J25" s="5">
        <v>1</v>
      </c>
      <c r="L25" s="5">
        <f t="shared" ca="1" si="11"/>
        <v>1002.75758</v>
      </c>
      <c r="M25" s="5">
        <f t="shared" ca="1" si="11"/>
        <v>995.64125000000001</v>
      </c>
      <c r="N25" s="5">
        <f t="shared" ca="1" si="11"/>
        <v>996.13378</v>
      </c>
      <c r="O25" s="5">
        <f t="shared" ca="1" si="11"/>
        <v>998.97</v>
      </c>
      <c r="P25" s="5">
        <f t="shared" ca="1" si="11"/>
        <v>998.97820000000002</v>
      </c>
      <c r="Q25" s="5">
        <f t="shared" ca="1" si="11"/>
        <v>993.10820000000001</v>
      </c>
      <c r="R25" s="5">
        <f t="shared" ca="1" si="11"/>
        <v>996.08038999999997</v>
      </c>
      <c r="S25" s="5">
        <f t="shared" ca="1" si="11"/>
        <v>993.52212999999995</v>
      </c>
      <c r="T25" s="5">
        <f t="shared" ca="1" si="11"/>
        <v>998.04965000000004</v>
      </c>
      <c r="U25" s="5">
        <f t="shared" ca="1" si="11"/>
        <v>994.85870999999997</v>
      </c>
      <c r="W25" s="5">
        <f t="shared" ca="1" si="12"/>
        <v>996.80998900000009</v>
      </c>
      <c r="Y25" s="5">
        <f ca="1">Total!E25</f>
        <v>990.69820000000004</v>
      </c>
      <c r="AB25" s="5">
        <f t="shared" ca="1" si="1"/>
        <v>1.2172607157255275E-2</v>
      </c>
      <c r="AC25" s="5">
        <f t="shared" ca="1" si="2"/>
        <v>4.9894609680324149E-3</v>
      </c>
      <c r="AD25" s="5">
        <f t="shared" ca="1" si="3"/>
        <v>5.4866153991194886E-3</v>
      </c>
      <c r="AE25" s="5">
        <f t="shared" ca="1" si="4"/>
        <v>8.3494650540396499E-3</v>
      </c>
      <c r="AF25" s="5">
        <f t="shared" ca="1" si="5"/>
        <v>8.3577420449537226E-3</v>
      </c>
      <c r="AG25" s="5">
        <f t="shared" ca="1" si="6"/>
        <v>2.4326278174321586E-3</v>
      </c>
      <c r="AH25" s="5">
        <f t="shared" ca="1" si="7"/>
        <v>5.4327241131556748E-3</v>
      </c>
      <c r="AI25" s="5">
        <f t="shared" ca="1" si="8"/>
        <v>2.8504442624402715E-3</v>
      </c>
      <c r="AJ25" s="5">
        <f t="shared" ca="1" si="9"/>
        <v>7.4204737628472519E-3</v>
      </c>
      <c r="AK25" s="5">
        <f t="shared" ca="1" si="10"/>
        <v>4.1995735936533763E-3</v>
      </c>
      <c r="AM25" s="5">
        <f t="shared" ca="1" si="13"/>
        <v>6.169173417292928E-2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1.7741100000000001</v>
      </c>
      <c r="F26" s="5">
        <v>213</v>
      </c>
      <c r="H26" s="5" t="s">
        <v>1</v>
      </c>
      <c r="I26" s="5">
        <v>100</v>
      </c>
      <c r="J26" s="5">
        <v>0.4</v>
      </c>
      <c r="L26" s="5">
        <f t="shared" ca="1" si="11"/>
        <v>1850.33176</v>
      </c>
      <c r="M26" s="5">
        <f t="shared" ca="1" si="11"/>
        <v>1797.87572</v>
      </c>
      <c r="N26" s="5">
        <f t="shared" ca="1" si="11"/>
        <v>1851.7485300000001</v>
      </c>
      <c r="O26" s="5">
        <f t="shared" ca="1" si="11"/>
        <v>1824.0861299999999</v>
      </c>
      <c r="P26" s="5">
        <f t="shared" ca="1" si="11"/>
        <v>1862.6506199999999</v>
      </c>
      <c r="Q26" s="5">
        <f t="shared" ca="1" si="11"/>
        <v>1851.2022300000001</v>
      </c>
      <c r="R26" s="5">
        <f t="shared" ca="1" si="11"/>
        <v>1850.9135100000001</v>
      </c>
      <c r="S26" s="5">
        <f t="shared" ca="1" si="11"/>
        <v>1828.51133</v>
      </c>
      <c r="T26" s="5">
        <f t="shared" ca="1" si="11"/>
        <v>1845.9298100000001</v>
      </c>
      <c r="U26" s="5">
        <f t="shared" ca="1" si="11"/>
        <v>1867.80657</v>
      </c>
      <c r="W26" s="5">
        <f t="shared" ca="1" si="12"/>
        <v>1843.1056210000002</v>
      </c>
      <c r="Y26" s="5">
        <f ca="1">Total!E26</f>
        <v>1786.3248599999999</v>
      </c>
      <c r="AB26" s="5">
        <f t="shared" ca="1" si="1"/>
        <v>3.5831612397758429E-2</v>
      </c>
      <c r="AC26" s="5">
        <f t="shared" ca="1" si="2"/>
        <v>6.4662706423959512E-3</v>
      </c>
      <c r="AD26" s="5">
        <f t="shared" ca="1" si="3"/>
        <v>3.6624732412893886E-2</v>
      </c>
      <c r="AE26" s="5">
        <f t="shared" ca="1" si="4"/>
        <v>2.1139083290818653E-2</v>
      </c>
      <c r="AF26" s="5">
        <f t="shared" ca="1" si="5"/>
        <v>4.2727816036776174E-2</v>
      </c>
      <c r="AG26" s="5">
        <f t="shared" ca="1" si="6"/>
        <v>3.6318908980531209E-2</v>
      </c>
      <c r="AH26" s="5">
        <f t="shared" ca="1" si="7"/>
        <v>3.6157281044613659E-2</v>
      </c>
      <c r="AI26" s="5">
        <f t="shared" ca="1" si="8"/>
        <v>2.3616348260416697E-2</v>
      </c>
      <c r="AJ26" s="5">
        <f t="shared" ca="1" si="9"/>
        <v>3.3367362977862913E-2</v>
      </c>
      <c r="AK26" s="5">
        <f t="shared" ca="1" si="10"/>
        <v>4.5614161133042744E-2</v>
      </c>
      <c r="AM26" s="5">
        <f t="shared" ca="1" si="13"/>
        <v>0.31786357717711033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1.7723100000000001</v>
      </c>
      <c r="F27" s="5">
        <v>203</v>
      </c>
      <c r="H27" s="5" t="s">
        <v>1</v>
      </c>
      <c r="I27" s="5">
        <v>100</v>
      </c>
      <c r="J27" s="5">
        <v>0.7</v>
      </c>
      <c r="L27" s="5">
        <f t="shared" ca="1" si="11"/>
        <v>1776.0915199999999</v>
      </c>
      <c r="M27" s="5">
        <f t="shared" ca="1" si="11"/>
        <v>1785.1077499999999</v>
      </c>
      <c r="N27" s="5">
        <f t="shared" ca="1" si="11"/>
        <v>1777.9576300000001</v>
      </c>
      <c r="O27" s="5">
        <f t="shared" ca="1" si="11"/>
        <v>1776.9869100000001</v>
      </c>
      <c r="P27" s="5">
        <f t="shared" ca="1" si="11"/>
        <v>1783.5934299999999</v>
      </c>
      <c r="Q27" s="5">
        <f t="shared" ca="1" si="11"/>
        <v>1778.52187</v>
      </c>
      <c r="R27" s="5">
        <f t="shared" ca="1" si="11"/>
        <v>1779.2818600000001</v>
      </c>
      <c r="S27" s="5">
        <f t="shared" ca="1" si="11"/>
        <v>1789.7928099999999</v>
      </c>
      <c r="T27" s="5">
        <f t="shared" ca="1" si="11"/>
        <v>1778.53673</v>
      </c>
      <c r="U27" s="5">
        <f t="shared" ca="1" si="11"/>
        <v>1783.7650000000001</v>
      </c>
      <c r="W27" s="5">
        <f t="shared" ca="1" si="12"/>
        <v>1780.9635509999996</v>
      </c>
      <c r="Y27" s="5">
        <f ca="1">Total!E27</f>
        <v>1761.02206</v>
      </c>
      <c r="AB27" s="5">
        <f t="shared" ca="1" si="1"/>
        <v>8.5572238657816331E-3</v>
      </c>
      <c r="AC27" s="5">
        <f t="shared" ca="1" si="2"/>
        <v>1.367710862179653E-2</v>
      </c>
      <c r="AD27" s="5">
        <f t="shared" ca="1" si="3"/>
        <v>9.616898268724753E-3</v>
      </c>
      <c r="AE27" s="5">
        <f t="shared" ca="1" si="4"/>
        <v>9.0656729195090664E-3</v>
      </c>
      <c r="AF27" s="5">
        <f t="shared" ca="1" si="5"/>
        <v>1.2817198894146668E-2</v>
      </c>
      <c r="AG27" s="5">
        <f t="shared" ca="1" si="6"/>
        <v>9.9373031136248367E-3</v>
      </c>
      <c r="AH27" s="5">
        <f t="shared" ca="1" si="7"/>
        <v>1.0368864998772384E-2</v>
      </c>
      <c r="AI27" s="5">
        <f t="shared" ca="1" si="8"/>
        <v>1.6337529582110918E-2</v>
      </c>
      <c r="AJ27" s="5">
        <f t="shared" ca="1" si="9"/>
        <v>9.945741395198663E-3</v>
      </c>
      <c r="AK27" s="5">
        <f t="shared" ca="1" si="10"/>
        <v>1.2914625271644858E-2</v>
      </c>
      <c r="AM27" s="5">
        <f t="shared" ca="1" si="13"/>
        <v>0.11323816693131031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1.7736700000000001</v>
      </c>
      <c r="F28" s="5">
        <v>212</v>
      </c>
      <c r="H28" s="5" t="s">
        <v>1</v>
      </c>
      <c r="I28" s="5">
        <v>100</v>
      </c>
      <c r="J28" s="5">
        <v>1</v>
      </c>
      <c r="L28" s="5">
        <f t="shared" ca="1" si="11"/>
        <v>1755.5866699999999</v>
      </c>
      <c r="M28" s="5">
        <f t="shared" ca="1" si="11"/>
        <v>1753.4166700000001</v>
      </c>
      <c r="N28" s="5">
        <f t="shared" ca="1" si="11"/>
        <v>1757.9333300000001</v>
      </c>
      <c r="O28" s="5">
        <f t="shared" ca="1" si="11"/>
        <v>1756.58</v>
      </c>
      <c r="P28" s="5">
        <f t="shared" ca="1" si="11"/>
        <v>1757.16617</v>
      </c>
      <c r="Q28" s="5">
        <f t="shared" ca="1" si="11"/>
        <v>1757.5666699999999</v>
      </c>
      <c r="R28" s="5">
        <f t="shared" ca="1" si="11"/>
        <v>1757.4629199999999</v>
      </c>
      <c r="S28" s="5">
        <f t="shared" ca="1" si="11"/>
        <v>1757.5566699999999</v>
      </c>
      <c r="T28" s="5">
        <f t="shared" ca="1" si="11"/>
        <v>1755.3633299999999</v>
      </c>
      <c r="U28" s="5">
        <f t="shared" ca="1" si="11"/>
        <v>1756.0519099999999</v>
      </c>
      <c r="W28" s="5">
        <f t="shared" ca="1" si="12"/>
        <v>1756.4684339999999</v>
      </c>
      <c r="Y28" s="5">
        <f ca="1">Total!E28</f>
        <v>1753.1198199999999</v>
      </c>
      <c r="AB28" s="5">
        <f t="shared" ca="1" si="1"/>
        <v>1.4071200221785311E-3</v>
      </c>
      <c r="AC28" s="5">
        <f t="shared" ca="1" si="2"/>
        <v>1.6932670352228226E-4</v>
      </c>
      <c r="AD28" s="5">
        <f t="shared" ca="1" si="3"/>
        <v>2.74568226603027E-3</v>
      </c>
      <c r="AE28" s="5">
        <f t="shared" ca="1" si="4"/>
        <v>1.9737270439393224E-3</v>
      </c>
      <c r="AF28" s="5">
        <f t="shared" ca="1" si="5"/>
        <v>2.3080852511268026E-3</v>
      </c>
      <c r="AG28" s="5">
        <f t="shared" ca="1" si="6"/>
        <v>2.5365351239940012E-3</v>
      </c>
      <c r="AH28" s="5">
        <f t="shared" ca="1" si="7"/>
        <v>2.4773549134822111E-3</v>
      </c>
      <c r="AI28" s="5">
        <f t="shared" ca="1" si="8"/>
        <v>2.5308310073181707E-3</v>
      </c>
      <c r="AJ28" s="5">
        <f t="shared" ca="1" si="9"/>
        <v>1.2797242803404133E-3</v>
      </c>
      <c r="AK28" s="5">
        <f t="shared" ca="1" si="10"/>
        <v>1.6724983464051057E-3</v>
      </c>
      <c r="AM28" s="5">
        <f t="shared" ca="1" si="13"/>
        <v>1.910088495833711E-2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1.7730900000000001</v>
      </c>
      <c r="F29" s="5">
        <v>198</v>
      </c>
      <c r="H29" s="5" t="s">
        <v>0</v>
      </c>
      <c r="I29" s="5">
        <v>25</v>
      </c>
      <c r="J29" s="5">
        <v>0.4</v>
      </c>
      <c r="L29" s="5">
        <f t="shared" ca="1" si="11"/>
        <v>42.424349999999997</v>
      </c>
      <c r="M29" s="5">
        <f t="shared" ca="1" si="11"/>
        <v>41.318849999999998</v>
      </c>
      <c r="N29" s="5">
        <f t="shared" ca="1" si="11"/>
        <v>41.439349999999997</v>
      </c>
      <c r="O29" s="5">
        <f t="shared" ca="1" si="11"/>
        <v>42.424349999999997</v>
      </c>
      <c r="P29" s="5">
        <f t="shared" ca="1" si="11"/>
        <v>42.424349999999997</v>
      </c>
      <c r="Q29" s="5">
        <f t="shared" ca="1" si="11"/>
        <v>42.003050000000002</v>
      </c>
      <c r="R29" s="5">
        <f t="shared" ca="1" si="11"/>
        <v>42.424349999999997</v>
      </c>
      <c r="S29" s="5">
        <f t="shared" ca="1" si="11"/>
        <v>41.318849999999998</v>
      </c>
      <c r="T29" s="5">
        <f t="shared" ca="1" si="11"/>
        <v>40.897550000000003</v>
      </c>
      <c r="U29" s="5">
        <f t="shared" ca="1" si="11"/>
        <v>42.424349999999997</v>
      </c>
      <c r="W29" s="5">
        <f t="shared" ca="1" si="12"/>
        <v>41.909939999999999</v>
      </c>
      <c r="Y29" s="5">
        <f ca="1">Total!E29</f>
        <v>40.897550000000003</v>
      </c>
      <c r="AB29" s="5">
        <f t="shared" ca="1" si="1"/>
        <v>3.7332309637129711E-2</v>
      </c>
      <c r="AC29" s="5">
        <f t="shared" ca="1" si="2"/>
        <v>1.0301350569899543E-2</v>
      </c>
      <c r="AD29" s="5">
        <f t="shared" ca="1" si="3"/>
        <v>1.324773733389885E-2</v>
      </c>
      <c r="AE29" s="5">
        <f t="shared" ca="1" si="4"/>
        <v>3.7332309637129711E-2</v>
      </c>
      <c r="AF29" s="5">
        <f t="shared" ca="1" si="5"/>
        <v>3.7332309637129711E-2</v>
      </c>
      <c r="AG29" s="5">
        <f t="shared" ca="1" si="6"/>
        <v>2.703095906723017E-2</v>
      </c>
      <c r="AH29" s="5">
        <f t="shared" ca="1" si="7"/>
        <v>3.7332309637129711E-2</v>
      </c>
      <c r="AI29" s="5">
        <f t="shared" ca="1" si="8"/>
        <v>1.0301350569899543E-2</v>
      </c>
      <c r="AJ29" s="5">
        <f t="shared" ca="1" si="9"/>
        <v>0</v>
      </c>
      <c r="AK29" s="5">
        <f t="shared" ca="1" si="10"/>
        <v>3.7332309637129711E-2</v>
      </c>
      <c r="AM29" s="5">
        <f t="shared" ca="1" si="13"/>
        <v>0.24754294572657665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1.7734700000000001</v>
      </c>
      <c r="F30" s="5">
        <v>215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1"/>
        <v>28.65436</v>
      </c>
      <c r="N30" s="5">
        <f t="shared" ca="1" si="11"/>
        <v>28.65436</v>
      </c>
      <c r="O30" s="5">
        <f t="shared" ca="1" si="11"/>
        <v>28.65436</v>
      </c>
      <c r="P30" s="5">
        <f t="shared" ca="1" si="11"/>
        <v>28.65436</v>
      </c>
      <c r="Q30" s="5">
        <f t="shared" ca="1" si="11"/>
        <v>28.65436</v>
      </c>
      <c r="R30" s="5">
        <f t="shared" ca="1" si="11"/>
        <v>28.65436</v>
      </c>
      <c r="S30" s="5">
        <f t="shared" ca="1" si="11"/>
        <v>28.65436</v>
      </c>
      <c r="T30" s="5">
        <f t="shared" ca="1" si="11"/>
        <v>28.65436</v>
      </c>
      <c r="U30" s="5">
        <f t="shared" ca="1" si="11"/>
        <v>28.65436</v>
      </c>
      <c r="W30" s="5">
        <f t="shared" ca="1" si="12"/>
        <v>28.654360000000004</v>
      </c>
      <c r="Y30" s="5">
        <f ca="1">Total!E30</f>
        <v>28.65436</v>
      </c>
      <c r="AB30" s="5">
        <f t="shared" ca="1" si="1"/>
        <v>0</v>
      </c>
      <c r="AC30" s="5">
        <f t="shared" ca="1" si="2"/>
        <v>0</v>
      </c>
      <c r="AD30" s="5">
        <f t="shared" ca="1" si="3"/>
        <v>0</v>
      </c>
      <c r="AE30" s="5">
        <f t="shared" ca="1" si="4"/>
        <v>0</v>
      </c>
      <c r="AF30" s="5">
        <f t="shared" ca="1" si="5"/>
        <v>0</v>
      </c>
      <c r="AG30" s="5">
        <f t="shared" ca="1" si="6"/>
        <v>0</v>
      </c>
      <c r="AH30" s="5">
        <f t="shared" ca="1" si="7"/>
        <v>0</v>
      </c>
      <c r="AI30" s="5">
        <f t="shared" ca="1" si="8"/>
        <v>0</v>
      </c>
      <c r="AJ30" s="5">
        <f t="shared" ca="1" si="9"/>
        <v>0</v>
      </c>
      <c r="AK30" s="5">
        <f t="shared" ca="1" si="10"/>
        <v>0</v>
      </c>
      <c r="AM30" s="5">
        <f t="shared" ca="1" si="13"/>
        <v>0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1.20313</v>
      </c>
      <c r="F31" s="5">
        <v>51</v>
      </c>
      <c r="H31" s="5" t="s">
        <v>0</v>
      </c>
      <c r="I31" s="5">
        <v>25</v>
      </c>
      <c r="J31" s="5">
        <v>1</v>
      </c>
      <c r="L31" s="5">
        <f t="shared" ca="1" si="11"/>
        <v>28.592030000000001</v>
      </c>
      <c r="M31" s="5">
        <f t="shared" ca="1" si="11"/>
        <v>28.587009999999999</v>
      </c>
      <c r="N31" s="5">
        <f t="shared" ca="1" si="11"/>
        <v>28.592030000000001</v>
      </c>
      <c r="O31" s="5">
        <f t="shared" ca="1" si="11"/>
        <v>28.546240000000001</v>
      </c>
      <c r="P31" s="5">
        <f t="shared" ca="1" si="11"/>
        <v>28.514479999999999</v>
      </c>
      <c r="Q31" s="5">
        <f t="shared" ca="1" si="11"/>
        <v>28.602029999999999</v>
      </c>
      <c r="R31" s="5">
        <f t="shared" ca="1" si="11"/>
        <v>28.546240000000001</v>
      </c>
      <c r="S31" s="5">
        <f t="shared" ca="1" si="11"/>
        <v>28.592030000000001</v>
      </c>
      <c r="T31" s="5">
        <f t="shared" ca="1" si="11"/>
        <v>28.587009999999999</v>
      </c>
      <c r="U31" s="5">
        <f t="shared" ca="1" si="11"/>
        <v>28.546240000000001</v>
      </c>
      <c r="W31" s="5">
        <f t="shared" ca="1" si="12"/>
        <v>28.570534000000002</v>
      </c>
      <c r="Y31" s="5">
        <f ca="1">Total!E31</f>
        <v>28.504100000000001</v>
      </c>
      <c r="AB31" s="5">
        <f t="shared" ca="1" si="1"/>
        <v>3.0848193768615766E-3</v>
      </c>
      <c r="AC31" s="5">
        <f t="shared" ca="1" si="2"/>
        <v>2.9087043618285882E-3</v>
      </c>
      <c r="AD31" s="5">
        <f t="shared" ca="1" si="3"/>
        <v>3.0848193768615766E-3</v>
      </c>
      <c r="AE31" s="5">
        <f t="shared" ca="1" si="4"/>
        <v>1.4783838114516804E-3</v>
      </c>
      <c r="AF31" s="5">
        <f t="shared" ca="1" si="5"/>
        <v>3.6415813865366158E-4</v>
      </c>
      <c r="AG31" s="5">
        <f t="shared" ca="1" si="6"/>
        <v>3.4356461000346642E-3</v>
      </c>
      <c r="AH31" s="5">
        <f t="shared" ca="1" si="7"/>
        <v>1.4783838114516804E-3</v>
      </c>
      <c r="AI31" s="5">
        <f t="shared" ca="1" si="8"/>
        <v>3.0848193768615766E-3</v>
      </c>
      <c r="AJ31" s="5">
        <f t="shared" ca="1" si="9"/>
        <v>2.9087043618285882E-3</v>
      </c>
      <c r="AK31" s="5">
        <f t="shared" ca="1" si="10"/>
        <v>1.4783838114516804E-3</v>
      </c>
      <c r="AM31" s="5">
        <f t="shared" ca="1" si="13"/>
        <v>2.3306822527285272E-2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1.20991</v>
      </c>
      <c r="F32" s="5">
        <v>54</v>
      </c>
      <c r="H32" s="5" t="s">
        <v>0</v>
      </c>
      <c r="I32" s="5">
        <v>50</v>
      </c>
      <c r="J32" s="5">
        <v>0.4</v>
      </c>
      <c r="L32" s="5">
        <f t="shared" ca="1" si="11"/>
        <v>56.901339999999998</v>
      </c>
      <c r="M32" s="5">
        <f t="shared" ca="1" si="11"/>
        <v>59.069510000000001</v>
      </c>
      <c r="N32" s="5">
        <f t="shared" ca="1" si="11"/>
        <v>56.791339999999998</v>
      </c>
      <c r="O32" s="5">
        <f t="shared" ca="1" si="11"/>
        <v>57.332329999999999</v>
      </c>
      <c r="P32" s="5">
        <f t="shared" ca="1" si="11"/>
        <v>58.836860000000001</v>
      </c>
      <c r="Q32" s="5">
        <f t="shared" ca="1" si="11"/>
        <v>56.901339999999998</v>
      </c>
      <c r="R32" s="5">
        <f t="shared" ca="1" si="11"/>
        <v>58.269509999999997</v>
      </c>
      <c r="S32" s="5">
        <f t="shared" ca="1" si="11"/>
        <v>59.079509999999999</v>
      </c>
      <c r="T32" s="5">
        <f t="shared" ca="1" si="11"/>
        <v>57.452330000000003</v>
      </c>
      <c r="U32" s="5">
        <f t="shared" ca="1" si="11"/>
        <v>56.901339999999998</v>
      </c>
      <c r="W32" s="5">
        <f t="shared" ca="1" si="12"/>
        <v>57.753540999999998</v>
      </c>
      <c r="Y32" s="5">
        <f ca="1">Total!E32</f>
        <v>56.511339999999997</v>
      </c>
      <c r="AB32" s="5">
        <f t="shared" ca="1" si="1"/>
        <v>6.901269727456482E-3</v>
      </c>
      <c r="AC32" s="5">
        <f t="shared" ca="1" si="2"/>
        <v>4.5268259432531668E-2</v>
      </c>
      <c r="AD32" s="5">
        <f t="shared" ca="1" si="3"/>
        <v>4.9547577530456924E-3</v>
      </c>
      <c r="AE32" s="5">
        <f t="shared" ca="1" si="4"/>
        <v>1.4527880598832057E-2</v>
      </c>
      <c r="AF32" s="5">
        <f t="shared" ca="1" si="5"/>
        <v>4.1151386606652837E-2</v>
      </c>
      <c r="AG32" s="5">
        <f t="shared" ca="1" si="6"/>
        <v>6.901269727456482E-3</v>
      </c>
      <c r="AH32" s="5">
        <f t="shared" ca="1" si="7"/>
        <v>3.111180870954396E-2</v>
      </c>
      <c r="AI32" s="5">
        <f t="shared" ca="1" si="8"/>
        <v>4.5445215066568977E-2</v>
      </c>
      <c r="AJ32" s="5">
        <f t="shared" ca="1" si="9"/>
        <v>1.6651348207280283E-2</v>
      </c>
      <c r="AK32" s="5">
        <f t="shared" ca="1" si="10"/>
        <v>6.901269727456482E-3</v>
      </c>
      <c r="AM32" s="5">
        <f t="shared" ca="1" si="13"/>
        <v>0.21981446555682493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1.2084600000000001</v>
      </c>
      <c r="F33" s="5">
        <v>52</v>
      </c>
      <c r="H33" s="5" t="s">
        <v>0</v>
      </c>
      <c r="I33" s="5">
        <v>50</v>
      </c>
      <c r="J33" s="5">
        <v>0.7</v>
      </c>
      <c r="L33" s="5">
        <f t="shared" ca="1" si="11"/>
        <v>53.312750000000001</v>
      </c>
      <c r="M33" s="5">
        <f t="shared" ca="1" si="11"/>
        <v>53.476080000000003</v>
      </c>
      <c r="N33" s="5">
        <f t="shared" ca="1" si="11"/>
        <v>54.098869999999998</v>
      </c>
      <c r="O33" s="5">
        <f t="shared" ca="1" si="11"/>
        <v>53.472659999999998</v>
      </c>
      <c r="P33" s="5">
        <f t="shared" ca="1" si="11"/>
        <v>53.505189999999999</v>
      </c>
      <c r="Q33" s="5">
        <f t="shared" ca="1" si="11"/>
        <v>53.60266</v>
      </c>
      <c r="R33" s="5">
        <f t="shared" ca="1" si="11"/>
        <v>53.496079999999999</v>
      </c>
      <c r="S33" s="5">
        <f t="shared" ca="1" si="11"/>
        <v>53.26923</v>
      </c>
      <c r="T33" s="5">
        <f t="shared" ca="1" si="11"/>
        <v>53.542749999999998</v>
      </c>
      <c r="U33" s="5">
        <f t="shared" ca="1" si="11"/>
        <v>53.642659999999999</v>
      </c>
      <c r="W33" s="5">
        <f t="shared" ca="1" si="12"/>
        <v>53.541893000000002</v>
      </c>
      <c r="Y33" s="5">
        <f ca="1">Total!E33</f>
        <v>53.115070000000003</v>
      </c>
      <c r="AB33" s="5">
        <f t="shared" ca="1" si="1"/>
        <v>3.7217309513100198E-3</v>
      </c>
      <c r="AC33" s="5">
        <f t="shared" ca="1" si="2"/>
        <v>6.7967527859795771E-3</v>
      </c>
      <c r="AD33" s="5">
        <f t="shared" ca="1" si="3"/>
        <v>1.8522050333361042E-2</v>
      </c>
      <c r="AE33" s="5">
        <f t="shared" ca="1" si="4"/>
        <v>6.7323642800432102E-3</v>
      </c>
      <c r="AF33" s="5">
        <f t="shared" ca="1" si="5"/>
        <v>7.3448081683785034E-3</v>
      </c>
      <c r="AG33" s="5">
        <f t="shared" ca="1" si="6"/>
        <v>9.1798805875620091E-3</v>
      </c>
      <c r="AH33" s="5">
        <f t="shared" ca="1" si="7"/>
        <v>7.1732937563670027E-3</v>
      </c>
      <c r="AI33" s="5">
        <f t="shared" ca="1" si="8"/>
        <v>2.9023777997468025E-3</v>
      </c>
      <c r="AJ33" s="5">
        <f t="shared" ca="1" si="9"/>
        <v>8.0519521107662133E-3</v>
      </c>
      <c r="AK33" s="5">
        <f t="shared" ca="1" si="10"/>
        <v>9.932962528336994E-3</v>
      </c>
      <c r="AM33" s="5">
        <f t="shared" ca="1" si="13"/>
        <v>8.0358173301851354E-2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1.21272</v>
      </c>
      <c r="F34" s="5">
        <v>52</v>
      </c>
      <c r="H34" s="5" t="s">
        <v>0</v>
      </c>
      <c r="I34" s="5">
        <v>50</v>
      </c>
      <c r="J34" s="5">
        <v>1</v>
      </c>
      <c r="L34" s="5">
        <f t="shared" ca="1" si="11"/>
        <v>53.38749</v>
      </c>
      <c r="M34" s="5">
        <f t="shared" ca="1" si="11"/>
        <v>53.357489999999999</v>
      </c>
      <c r="N34" s="5">
        <f t="shared" ca="1" si="11"/>
        <v>53.502160000000003</v>
      </c>
      <c r="O34" s="5">
        <f t="shared" ca="1" si="11"/>
        <v>53.097490000000001</v>
      </c>
      <c r="P34" s="5">
        <f t="shared" ca="1" si="11"/>
        <v>53.342410000000001</v>
      </c>
      <c r="Q34" s="5">
        <f t="shared" ca="1" si="11"/>
        <v>53.205599999999997</v>
      </c>
      <c r="R34" s="5">
        <f t="shared" ca="1" si="11"/>
        <v>53.237490000000001</v>
      </c>
      <c r="S34" s="5">
        <f t="shared" ca="1" si="11"/>
        <v>53.309840000000001</v>
      </c>
      <c r="T34" s="5">
        <f t="shared" ca="1" si="11"/>
        <v>53.410899999999998</v>
      </c>
      <c r="U34" s="5">
        <f t="shared" ca="1" si="11"/>
        <v>53.107570000000003</v>
      </c>
      <c r="W34" s="5">
        <f t="shared" ca="1" si="12"/>
        <v>53.295844000000002</v>
      </c>
      <c r="Y34" s="5">
        <f ca="1">Total!E34</f>
        <v>53.003740000000001</v>
      </c>
      <c r="AB34" s="5">
        <f t="shared" ca="1" si="1"/>
        <v>7.2400551357319149E-3</v>
      </c>
      <c r="AC34" s="5">
        <f t="shared" ca="1" si="2"/>
        <v>6.6740573401046421E-3</v>
      </c>
      <c r="AD34" s="5">
        <f t="shared" ca="1" si="3"/>
        <v>9.4034873765512193E-3</v>
      </c>
      <c r="AE34" s="5">
        <f t="shared" ca="1" si="4"/>
        <v>1.7687431113351624E-3</v>
      </c>
      <c r="AF34" s="5">
        <f t="shared" ca="1" si="5"/>
        <v>6.389549114836056E-3</v>
      </c>
      <c r="AG34" s="5">
        <f t="shared" ca="1" si="6"/>
        <v>3.8084105008438342E-3</v>
      </c>
      <c r="AH34" s="5">
        <f t="shared" ca="1" si="7"/>
        <v>4.410066157595682E-3</v>
      </c>
      <c r="AI34" s="5">
        <f t="shared" ca="1" si="8"/>
        <v>5.775064174716741E-3</v>
      </c>
      <c r="AJ34" s="5">
        <f t="shared" ca="1" si="9"/>
        <v>7.6817220822530171E-3</v>
      </c>
      <c r="AK34" s="5">
        <f t="shared" ca="1" si="10"/>
        <v>1.9589183706659585E-3</v>
      </c>
      <c r="AM34" s="5">
        <f t="shared" ca="1" si="13"/>
        <v>5.5110073364634242E-2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1.2095100000000001</v>
      </c>
      <c r="F35" s="5">
        <v>53</v>
      </c>
      <c r="H35" s="5" t="s">
        <v>0</v>
      </c>
      <c r="I35" s="5">
        <v>100</v>
      </c>
      <c r="J35" s="5">
        <v>0.4</v>
      </c>
      <c r="L35" s="5">
        <f t="shared" ca="1" si="11"/>
        <v>148.18004999999999</v>
      </c>
      <c r="M35" s="5">
        <f t="shared" ca="1" si="11"/>
        <v>148.27986999999999</v>
      </c>
      <c r="N35" s="5">
        <f t="shared" ca="1" si="11"/>
        <v>148.23949999999999</v>
      </c>
      <c r="O35" s="5">
        <f t="shared" ca="1" si="11"/>
        <v>148.18699000000001</v>
      </c>
      <c r="P35" s="5">
        <f t="shared" ca="1" si="11"/>
        <v>148.16699</v>
      </c>
      <c r="Q35" s="5">
        <f t="shared" ca="1" si="11"/>
        <v>148.21986999999999</v>
      </c>
      <c r="R35" s="5">
        <f t="shared" ca="1" si="11"/>
        <v>148.18746999999999</v>
      </c>
      <c r="S35" s="5">
        <f t="shared" ca="1" si="11"/>
        <v>148.18617</v>
      </c>
      <c r="T35" s="5">
        <f t="shared" ca="1" si="11"/>
        <v>148.19533000000001</v>
      </c>
      <c r="U35" s="5">
        <f t="shared" ca="1" si="11"/>
        <v>148.18403000000001</v>
      </c>
      <c r="W35" s="5">
        <f t="shared" ca="1" si="12"/>
        <v>148.20262699999998</v>
      </c>
      <c r="Y35" s="5">
        <f ca="1">Total!E35</f>
        <v>147.96312</v>
      </c>
      <c r="AB35" s="5">
        <f t="shared" ca="1" si="1"/>
        <v>1.4661085816519057E-3</v>
      </c>
      <c r="AC35" s="5">
        <f t="shared" ca="1" si="2"/>
        <v>2.1407361510083376E-3</v>
      </c>
      <c r="AD35" s="5">
        <f t="shared" ca="1" si="3"/>
        <v>1.8678978923936517E-3</v>
      </c>
      <c r="AE35" s="5">
        <f t="shared" ca="1" si="4"/>
        <v>1.5130121614089045E-3</v>
      </c>
      <c r="AF35" s="5">
        <f t="shared" ca="1" si="5"/>
        <v>1.3778433436656033E-3</v>
      </c>
      <c r="AG35" s="5">
        <f t="shared" ca="1" si="6"/>
        <v>1.7352296977786255E-3</v>
      </c>
      <c r="AH35" s="5">
        <f t="shared" ca="1" si="7"/>
        <v>1.5162562130346194E-3</v>
      </c>
      <c r="AI35" s="5">
        <f t="shared" ca="1" si="8"/>
        <v>1.5074702398814018E-3</v>
      </c>
      <c r="AJ35" s="5">
        <f t="shared" ca="1" si="9"/>
        <v>1.5693775584078595E-3</v>
      </c>
      <c r="AK35" s="5">
        <f t="shared" ca="1" si="10"/>
        <v>1.4930071763828952E-3</v>
      </c>
      <c r="AM35" s="5">
        <f t="shared" ca="1" si="13"/>
        <v>1.6186939015613806E-2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1.20173</v>
      </c>
      <c r="F36" s="5">
        <v>51</v>
      </c>
      <c r="H36" s="5" t="s">
        <v>0</v>
      </c>
      <c r="I36" s="5">
        <v>100</v>
      </c>
      <c r="J36" s="5">
        <v>0.7</v>
      </c>
      <c r="L36" s="5">
        <f t="shared" ca="1" si="11"/>
        <v>108.16094</v>
      </c>
      <c r="M36" s="5">
        <f t="shared" ca="1" si="11"/>
        <v>108.42677</v>
      </c>
      <c r="N36" s="5">
        <f t="shared" ca="1" si="11"/>
        <v>107.39427999999999</v>
      </c>
      <c r="O36" s="5">
        <f t="shared" ca="1" si="11"/>
        <v>108.12127</v>
      </c>
      <c r="P36" s="5">
        <f t="shared" ca="1" si="11"/>
        <v>108.14503000000001</v>
      </c>
      <c r="Q36" s="5">
        <f t="shared" ca="1" si="11"/>
        <v>108.22302000000001</v>
      </c>
      <c r="R36" s="5">
        <f t="shared" ca="1" si="11"/>
        <v>108.11418999999999</v>
      </c>
      <c r="S36" s="5">
        <f t="shared" ca="1" si="11"/>
        <v>108.02663</v>
      </c>
      <c r="T36" s="5">
        <f t="shared" ca="1" si="11"/>
        <v>108.1601</v>
      </c>
      <c r="U36" s="5">
        <f t="shared" ca="1" si="11"/>
        <v>108.17117</v>
      </c>
      <c r="W36" s="5">
        <f t="shared" ca="1" si="12"/>
        <v>108.09434000000002</v>
      </c>
      <c r="Y36" s="5">
        <f ca="1">Total!E36</f>
        <v>107.28163000000001</v>
      </c>
      <c r="AB36" s="5">
        <f t="shared" ca="1" si="1"/>
        <v>8.1962774055538631E-3</v>
      </c>
      <c r="AC36" s="5">
        <f t="shared" ca="1" si="2"/>
        <v>1.0674148034477084E-2</v>
      </c>
      <c r="AD36" s="5">
        <f t="shared" ca="1" si="3"/>
        <v>1.0500399742247384E-3</v>
      </c>
      <c r="AE36" s="5">
        <f t="shared" ca="1" si="4"/>
        <v>7.8265030089493294E-3</v>
      </c>
      <c r="AF36" s="5">
        <f t="shared" ca="1" si="5"/>
        <v>8.047976153979005E-3</v>
      </c>
      <c r="AG36" s="5">
        <f t="shared" ca="1" si="6"/>
        <v>8.7749412457659177E-3</v>
      </c>
      <c r="AH36" s="5">
        <f t="shared" ca="1" si="7"/>
        <v>7.7605084859354448E-3</v>
      </c>
      <c r="AI36" s="5">
        <f t="shared" ca="1" si="8"/>
        <v>6.9443389329560921E-3</v>
      </c>
      <c r="AJ36" s="5">
        <f t="shared" ca="1" si="9"/>
        <v>8.1884475468912334E-3</v>
      </c>
      <c r="AK36" s="5">
        <f t="shared" ca="1" si="10"/>
        <v>8.291633898552777E-3</v>
      </c>
      <c r="AM36" s="5">
        <f t="shared" ca="1" si="13"/>
        <v>7.5754814687285482E-2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1.2012700000000001</v>
      </c>
      <c r="F37" s="5">
        <v>52</v>
      </c>
      <c r="H37" s="5" t="s">
        <v>0</v>
      </c>
      <c r="I37" s="5">
        <v>100</v>
      </c>
      <c r="J37" s="5">
        <v>1</v>
      </c>
      <c r="L37" s="5">
        <f t="shared" ca="1" si="11"/>
        <v>103.84996</v>
      </c>
      <c r="M37" s="5">
        <f t="shared" ca="1" si="11"/>
        <v>103.89418000000001</v>
      </c>
      <c r="N37" s="5">
        <f t="shared" ca="1" si="11"/>
        <v>103.94837</v>
      </c>
      <c r="O37" s="5">
        <f t="shared" ca="1" si="11"/>
        <v>103.602</v>
      </c>
      <c r="P37" s="5">
        <f t="shared" ca="1" si="11"/>
        <v>103.95247000000001</v>
      </c>
      <c r="Q37" s="5">
        <f t="shared" ca="1" si="11"/>
        <v>103.94923</v>
      </c>
      <c r="R37" s="5">
        <f t="shared" ca="1" si="11"/>
        <v>103.91663</v>
      </c>
      <c r="S37" s="5">
        <f t="shared" ca="1" si="11"/>
        <v>103.83839999999999</v>
      </c>
      <c r="T37" s="5">
        <f t="shared" ca="1" si="11"/>
        <v>104.0158</v>
      </c>
      <c r="U37" s="5">
        <f t="shared" ca="1" si="11"/>
        <v>104.06747</v>
      </c>
      <c r="W37" s="5">
        <f t="shared" ca="1" si="12"/>
        <v>103.90345099999999</v>
      </c>
      <c r="Y37" s="5">
        <f ca="1">Total!E37</f>
        <v>103.21266</v>
      </c>
      <c r="AB37" s="5">
        <f t="shared" ca="1" si="1"/>
        <v>6.1746301277381694E-3</v>
      </c>
      <c r="AC37" s="5">
        <f t="shared" ca="1" si="2"/>
        <v>6.6030659417168989E-3</v>
      </c>
      <c r="AD37" s="5">
        <f t="shared" ca="1" si="3"/>
        <v>7.1280984328860181E-3</v>
      </c>
      <c r="AE37" s="5">
        <f t="shared" ca="1" si="4"/>
        <v>3.7722116647318678E-3</v>
      </c>
      <c r="AF37" s="5">
        <f t="shared" ca="1" si="5"/>
        <v>7.1678222419614577E-3</v>
      </c>
      <c r="AG37" s="5">
        <f t="shared" ca="1" si="6"/>
        <v>7.1364307440579516E-3</v>
      </c>
      <c r="AH37" s="5">
        <f t="shared" ca="1" si="7"/>
        <v>6.8205780182392182E-3</v>
      </c>
      <c r="AI37" s="5">
        <f t="shared" ca="1" si="8"/>
        <v>6.0626283636134688E-3</v>
      </c>
      <c r="AJ37" s="5">
        <f t="shared" ca="1" si="9"/>
        <v>7.7814097611668869E-3</v>
      </c>
      <c r="AK37" s="5">
        <f t="shared" ca="1" si="10"/>
        <v>8.2820266428556399E-3</v>
      </c>
      <c r="AM37" s="5">
        <f t="shared" ca="1" si="13"/>
        <v>6.6928901938967569E-2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1.2084600000000001</v>
      </c>
      <c r="F38" s="5">
        <v>51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1.2160299999999999</v>
      </c>
      <c r="F39" s="5">
        <v>51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1.20644</v>
      </c>
      <c r="F40" s="5">
        <v>52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2.8910800000000001</v>
      </c>
      <c r="F41" s="5">
        <v>143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2.8953500000000001</v>
      </c>
      <c r="F42" s="5">
        <v>142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2.8934199999999999</v>
      </c>
      <c r="F43" s="5">
        <v>145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2.9024999999999999</v>
      </c>
      <c r="F44" s="5">
        <v>145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2.8891</v>
      </c>
      <c r="F45" s="5">
        <v>143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2.9047399999999999</v>
      </c>
      <c r="F46" s="5">
        <v>146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2.9047399999999999</v>
      </c>
      <c r="F47" s="5">
        <v>144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2.89357</v>
      </c>
      <c r="F48" s="5">
        <v>142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2.89147</v>
      </c>
      <c r="F49" s="5">
        <v>147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2.8943099999999999</v>
      </c>
      <c r="F50" s="5">
        <v>146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182.31979000000001</v>
      </c>
      <c r="E51" s="5">
        <v>4.5996800000000002</v>
      </c>
      <c r="F51" s="5">
        <v>226</v>
      </c>
    </row>
    <row r="52" spans="1:6" x14ac:dyDescent="0.25">
      <c r="A52" s="5" t="s">
        <v>27</v>
      </c>
      <c r="B52" s="5">
        <v>50</v>
      </c>
      <c r="C52" s="5">
        <v>1</v>
      </c>
      <c r="D52" s="5">
        <v>179.93769</v>
      </c>
      <c r="E52" s="5">
        <v>4.6066799999999999</v>
      </c>
      <c r="F52" s="5">
        <v>227</v>
      </c>
    </row>
    <row r="53" spans="1:6" x14ac:dyDescent="0.25">
      <c r="A53" s="5" t="s">
        <v>27</v>
      </c>
      <c r="B53" s="5">
        <v>50</v>
      </c>
      <c r="C53" s="5">
        <v>1</v>
      </c>
      <c r="D53" s="5">
        <v>182.51284999999999</v>
      </c>
      <c r="E53" s="5">
        <v>4.6001700000000003</v>
      </c>
      <c r="F53" s="5">
        <v>225</v>
      </c>
    </row>
    <row r="54" spans="1:6" x14ac:dyDescent="0.25">
      <c r="A54" s="5" t="s">
        <v>27</v>
      </c>
      <c r="B54" s="5">
        <v>50</v>
      </c>
      <c r="C54" s="5">
        <v>1</v>
      </c>
      <c r="D54" s="5">
        <v>181.91</v>
      </c>
      <c r="E54" s="5">
        <v>4.5985699999999996</v>
      </c>
      <c r="F54" s="5">
        <v>228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180.05332999999999</v>
      </c>
      <c r="E55" s="5">
        <v>4.6007600000000002</v>
      </c>
      <c r="F55" s="5">
        <v>230</v>
      </c>
    </row>
    <row r="56" spans="1:6" x14ac:dyDescent="0.25">
      <c r="A56" s="5" t="s">
        <v>27</v>
      </c>
      <c r="B56" s="5">
        <v>50</v>
      </c>
      <c r="C56" s="5">
        <v>1</v>
      </c>
      <c r="D56" s="5">
        <v>180.43666999999999</v>
      </c>
      <c r="E56" s="5">
        <v>4.6044799999999997</v>
      </c>
      <c r="F56" s="5">
        <v>229</v>
      </c>
    </row>
    <row r="57" spans="1:6" x14ac:dyDescent="0.25">
      <c r="A57" s="5" t="s">
        <v>27</v>
      </c>
      <c r="B57" s="5">
        <v>50</v>
      </c>
      <c r="C57" s="5">
        <v>1</v>
      </c>
      <c r="D57" s="5">
        <v>179.67332999999999</v>
      </c>
      <c r="E57" s="5">
        <v>4.6006900000000002</v>
      </c>
      <c r="F57" s="5">
        <v>229</v>
      </c>
    </row>
    <row r="58" spans="1:6" x14ac:dyDescent="0.25">
      <c r="A58" s="5" t="s">
        <v>27</v>
      </c>
      <c r="B58" s="5">
        <v>50</v>
      </c>
      <c r="C58" s="5">
        <v>1</v>
      </c>
      <c r="D58" s="5">
        <v>181.40834000000001</v>
      </c>
      <c r="E58" s="5">
        <v>4.5948799999999999</v>
      </c>
      <c r="F58" s="5">
        <v>227</v>
      </c>
    </row>
    <row r="59" spans="1:6" x14ac:dyDescent="0.25">
      <c r="A59" s="5" t="s">
        <v>27</v>
      </c>
      <c r="B59" s="5">
        <v>50</v>
      </c>
      <c r="C59" s="5">
        <v>1</v>
      </c>
      <c r="D59" s="5">
        <v>180.25</v>
      </c>
      <c r="E59" s="5">
        <v>4.5966699999999996</v>
      </c>
      <c r="F59" s="5">
        <v>230</v>
      </c>
    </row>
    <row r="60" spans="1:6" x14ac:dyDescent="0.25">
      <c r="A60" s="5" t="s">
        <v>27</v>
      </c>
      <c r="B60" s="5">
        <v>50</v>
      </c>
      <c r="C60" s="5">
        <v>1</v>
      </c>
      <c r="D60" s="5">
        <v>180.10775000000001</v>
      </c>
      <c r="E60" s="5">
        <v>4.6052</v>
      </c>
      <c r="F60" s="5">
        <v>226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5.5912699999999997</v>
      </c>
      <c r="F61" s="5">
        <v>78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5.6044200000000002</v>
      </c>
      <c r="F62" s="5">
        <v>77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5.6371200000000004</v>
      </c>
      <c r="F63" s="5">
        <v>78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5.6095899999999999</v>
      </c>
      <c r="F64" s="5">
        <v>78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5.6082999999999998</v>
      </c>
      <c r="F65" s="5">
        <v>78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5.5870199999999999</v>
      </c>
      <c r="F66" s="5">
        <v>78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5.6467000000000001</v>
      </c>
      <c r="F67" s="5">
        <v>79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5.6437999999999997</v>
      </c>
      <c r="F68" s="5">
        <v>77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5.6450199999999997</v>
      </c>
      <c r="F69" s="5">
        <v>79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5.5881600000000002</v>
      </c>
      <c r="F70" s="5">
        <v>78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255.72535999999999</v>
      </c>
      <c r="E71" s="5">
        <v>11.670870000000001</v>
      </c>
      <c r="F71" s="5">
        <v>156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259.25398000000001</v>
      </c>
      <c r="E72" s="5">
        <v>11.65067</v>
      </c>
      <c r="F72" s="5">
        <v>155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258.35185000000001</v>
      </c>
      <c r="E73" s="5">
        <v>11.6784</v>
      </c>
      <c r="F73" s="5">
        <v>156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257.55671000000001</v>
      </c>
      <c r="E74" s="5">
        <v>11.65583</v>
      </c>
      <c r="F74" s="5">
        <v>155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255.95363</v>
      </c>
      <c r="E75" s="5">
        <v>11.648490000000001</v>
      </c>
      <c r="F75" s="5">
        <v>156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257.35665</v>
      </c>
      <c r="E76" s="5">
        <v>11.69675</v>
      </c>
      <c r="F76" s="5">
        <v>155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256.53282999999999</v>
      </c>
      <c r="E77" s="5">
        <v>11.658519999999999</v>
      </c>
      <c r="F77" s="5">
        <v>155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257.47998000000001</v>
      </c>
      <c r="E78" s="5">
        <v>11.68153</v>
      </c>
      <c r="F78" s="5">
        <v>155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257.65129000000002</v>
      </c>
      <c r="E79" s="5">
        <v>11.65962</v>
      </c>
      <c r="F79" s="5">
        <v>157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258.25882000000001</v>
      </c>
      <c r="E80" s="5">
        <v>11.69455</v>
      </c>
      <c r="F80" s="5">
        <v>160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239.35667000000001</v>
      </c>
      <c r="E81" s="5">
        <v>30.13796</v>
      </c>
      <c r="F81" s="5">
        <v>392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239.68</v>
      </c>
      <c r="E82" s="5">
        <v>30.148900000000001</v>
      </c>
      <c r="F82" s="5">
        <v>395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240.19</v>
      </c>
      <c r="E83" s="5">
        <v>30.147200000000002</v>
      </c>
      <c r="F83" s="5">
        <v>396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239.2</v>
      </c>
      <c r="E84" s="5">
        <v>30.13927</v>
      </c>
      <c r="F84" s="5">
        <v>391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238.89373000000001</v>
      </c>
      <c r="E85" s="5">
        <v>30.17249</v>
      </c>
      <c r="F85" s="5">
        <v>396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239.17930000000001</v>
      </c>
      <c r="E86" s="5">
        <v>30.154540000000001</v>
      </c>
      <c r="F86" s="5">
        <v>392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239.49823000000001</v>
      </c>
      <c r="E87" s="5">
        <v>30.136240000000001</v>
      </c>
      <c r="F87" s="5">
        <v>395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239.57873000000001</v>
      </c>
      <c r="E88" s="5">
        <v>30.16788</v>
      </c>
      <c r="F88" s="5">
        <v>392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239.72053</v>
      </c>
      <c r="E89" s="5">
        <v>30.134910000000001</v>
      </c>
      <c r="F89" s="5">
        <v>396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241.11418</v>
      </c>
      <c r="E90" s="5">
        <v>30.1388</v>
      </c>
      <c r="F90" s="5">
        <v>396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0.5847</v>
      </c>
      <c r="F91" s="5">
        <v>110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0.58348999999999995</v>
      </c>
      <c r="F92" s="5">
        <v>105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0.58445000000000003</v>
      </c>
      <c r="F93" s="5">
        <v>101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0.58292999999999995</v>
      </c>
      <c r="F94" s="5">
        <v>105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0.58220000000000005</v>
      </c>
      <c r="F95" s="5">
        <v>109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0.58130000000000004</v>
      </c>
      <c r="F96" s="5">
        <v>108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0.58148</v>
      </c>
      <c r="F97" s="5">
        <v>109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0.58191999999999999</v>
      </c>
      <c r="F98" s="5">
        <v>107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0.58467000000000002</v>
      </c>
      <c r="F99" s="5">
        <v>110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0.58509</v>
      </c>
      <c r="F100" s="5">
        <v>106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0.73434999999999995</v>
      </c>
      <c r="F101" s="5">
        <v>115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0.73673999999999995</v>
      </c>
      <c r="F102" s="5">
        <v>140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0.73541999999999996</v>
      </c>
      <c r="F103" s="5">
        <v>137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0.73558000000000001</v>
      </c>
      <c r="F104" s="5">
        <v>138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0.73404000000000003</v>
      </c>
      <c r="F105" s="5">
        <v>134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0.73824999999999996</v>
      </c>
      <c r="F106" s="5">
        <v>129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0.73663000000000001</v>
      </c>
      <c r="F107" s="5">
        <v>131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0.73589000000000004</v>
      </c>
      <c r="F108" s="5">
        <v>133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0.73495999999999995</v>
      </c>
      <c r="F109" s="5">
        <v>135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0.73467000000000005</v>
      </c>
      <c r="F110" s="5">
        <v>138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1.2783100000000001</v>
      </c>
      <c r="F111" s="5">
        <v>221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1.27817</v>
      </c>
      <c r="F112" s="5">
        <v>227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1.2755799999999999</v>
      </c>
      <c r="F113" s="5">
        <v>227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1.27718</v>
      </c>
      <c r="F114" s="5">
        <v>228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1.27776</v>
      </c>
      <c r="F115" s="5">
        <v>215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1.27837</v>
      </c>
      <c r="F116" s="5">
        <v>235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1.2763199999999999</v>
      </c>
      <c r="F117" s="5">
        <v>235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1.2763199999999999</v>
      </c>
      <c r="F118" s="5">
        <v>218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1.2779100000000001</v>
      </c>
      <c r="F119" s="5">
        <v>230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1.2781800000000001</v>
      </c>
      <c r="F120" s="5">
        <v>235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4350.8413700000001</v>
      </c>
      <c r="E121" s="5">
        <v>1.99722</v>
      </c>
      <c r="F121" s="5">
        <v>121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4348.0289499999999</v>
      </c>
      <c r="E122" s="5">
        <v>1.99576</v>
      </c>
      <c r="F122" s="5">
        <v>127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4350.8413700000001</v>
      </c>
      <c r="E123" s="5">
        <v>2.0019200000000001</v>
      </c>
      <c r="F123" s="5">
        <v>126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4348.0289499999999</v>
      </c>
      <c r="E124" s="5">
        <v>1.9963200000000001</v>
      </c>
      <c r="F124" s="5">
        <v>128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4348.0289499999999</v>
      </c>
      <c r="E125" s="5">
        <v>1.9995400000000001</v>
      </c>
      <c r="F125" s="5">
        <v>125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4350.8413700000001</v>
      </c>
      <c r="E126" s="5">
        <v>1.9985999999999999</v>
      </c>
      <c r="F126" s="5">
        <v>131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1.99719</v>
      </c>
      <c r="F127" s="5">
        <v>121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1.99892</v>
      </c>
      <c r="F128" s="5">
        <v>126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4350.8413700000001</v>
      </c>
      <c r="E129" s="5">
        <v>1.9918199999999999</v>
      </c>
      <c r="F129" s="5">
        <v>123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4348.0289499999999</v>
      </c>
      <c r="E130" s="5">
        <v>2.0000200000000001</v>
      </c>
      <c r="F130" s="5">
        <v>127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2.87323</v>
      </c>
      <c r="F131" s="5">
        <v>170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2.8718499999999998</v>
      </c>
      <c r="F132" s="5">
        <v>174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2.87364</v>
      </c>
      <c r="F133" s="5">
        <v>178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2.87209</v>
      </c>
      <c r="F134" s="5">
        <v>171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2.86138</v>
      </c>
      <c r="F135" s="5">
        <v>169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2.86795</v>
      </c>
      <c r="F136" s="5">
        <v>175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2.8725100000000001</v>
      </c>
      <c r="F137" s="5">
        <v>174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2.8737599999999999</v>
      </c>
      <c r="F138" s="5">
        <v>174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2.8660399999999999</v>
      </c>
      <c r="F139" s="5">
        <v>176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2.86395</v>
      </c>
      <c r="F140" s="5">
        <v>172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3.5161199999999999</v>
      </c>
      <c r="F141" s="5">
        <v>211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3.5213100000000002</v>
      </c>
      <c r="F142" s="5">
        <v>213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3.5136500000000002</v>
      </c>
      <c r="F143" s="5">
        <v>214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3.52366</v>
      </c>
      <c r="F144" s="5">
        <v>216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3.5168699999999999</v>
      </c>
      <c r="F145" s="5">
        <v>211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3.5194999999999999</v>
      </c>
      <c r="F146" s="5">
        <v>214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3.5150000000000001</v>
      </c>
      <c r="F147" s="5">
        <v>214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3.5112700000000001</v>
      </c>
      <c r="F148" s="5">
        <v>209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3.51593</v>
      </c>
      <c r="F149" s="5">
        <v>213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3.5143800000000001</v>
      </c>
      <c r="F150" s="5">
        <v>216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42986.345820000002</v>
      </c>
      <c r="E151" s="5">
        <v>4.94034</v>
      </c>
      <c r="F151" s="5">
        <v>73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42986.403050000001</v>
      </c>
      <c r="E152" s="5">
        <v>4.9090299999999996</v>
      </c>
      <c r="F152" s="5">
        <v>73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42986.403050000001</v>
      </c>
      <c r="E153" s="5">
        <v>4.8896899999999999</v>
      </c>
      <c r="F153" s="5">
        <v>73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42986.345820000002</v>
      </c>
      <c r="E154" s="5">
        <v>4.9378799999999998</v>
      </c>
      <c r="F154" s="5">
        <v>74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42986.853589999999</v>
      </c>
      <c r="E155" s="5">
        <v>4.9069700000000003</v>
      </c>
      <c r="F155" s="5">
        <v>72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42986.673049999998</v>
      </c>
      <c r="E156" s="5">
        <v>4.9382799999999998</v>
      </c>
      <c r="F156" s="5">
        <v>73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42986.495300000002</v>
      </c>
      <c r="E157" s="5">
        <v>4.9121800000000002</v>
      </c>
      <c r="F157" s="5">
        <v>73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42986.403050000001</v>
      </c>
      <c r="E158" s="5">
        <v>4.9206599999999998</v>
      </c>
      <c r="F158" s="5">
        <v>73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42986.403050000001</v>
      </c>
      <c r="E159" s="5">
        <v>4.8999800000000002</v>
      </c>
      <c r="F159" s="5">
        <v>73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42986.743049999997</v>
      </c>
      <c r="E160" s="5">
        <v>4.9173099999999996</v>
      </c>
      <c r="F160" s="5">
        <v>73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35598.938000000002</v>
      </c>
      <c r="E161" s="5">
        <v>12.712680000000001</v>
      </c>
      <c r="F161" s="5">
        <v>179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35414.87859</v>
      </c>
      <c r="E162" s="5">
        <v>12.74953</v>
      </c>
      <c r="F162" s="5">
        <v>182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35578.95119</v>
      </c>
      <c r="E163" s="5">
        <v>12.73359</v>
      </c>
      <c r="F163" s="5">
        <v>181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35698.000209999998</v>
      </c>
      <c r="E164" s="5">
        <v>12.712070000000001</v>
      </c>
      <c r="F164" s="5">
        <v>178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35695.83973</v>
      </c>
      <c r="E165" s="5">
        <v>12.744529999999999</v>
      </c>
      <c r="F165" s="5">
        <v>180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35804.209009999999</v>
      </c>
      <c r="E166" s="5">
        <v>12.727359999999999</v>
      </c>
      <c r="F166" s="5">
        <v>180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35819.721460000001</v>
      </c>
      <c r="E167" s="5">
        <v>12.7475</v>
      </c>
      <c r="F167" s="5">
        <v>181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35604.511749999998</v>
      </c>
      <c r="E168" s="5">
        <v>12.737579999999999</v>
      </c>
      <c r="F168" s="5">
        <v>180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35451.082040000001</v>
      </c>
      <c r="E169" s="5">
        <v>12.741630000000001</v>
      </c>
      <c r="F169" s="5">
        <v>180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35651.674140000003</v>
      </c>
      <c r="E170" s="5">
        <v>12.732559999999999</v>
      </c>
      <c r="F170" s="5">
        <v>180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35259.227590000002</v>
      </c>
      <c r="E171" s="5">
        <v>28.51482</v>
      </c>
      <c r="F171" s="5">
        <v>414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35261.767249999997</v>
      </c>
      <c r="E172" s="5">
        <v>28.52863</v>
      </c>
      <c r="F172" s="5">
        <v>420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35343.042999999998</v>
      </c>
      <c r="E173" s="5">
        <v>28.533560000000001</v>
      </c>
      <c r="F173" s="5">
        <v>419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35272.784820000001</v>
      </c>
      <c r="E174" s="5">
        <v>28.487749999999998</v>
      </c>
      <c r="F174" s="5">
        <v>408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35219.694430000003</v>
      </c>
      <c r="E175" s="5">
        <v>28.512060000000002</v>
      </c>
      <c r="F175" s="5">
        <v>414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35341.355009999999</v>
      </c>
      <c r="E176" s="5">
        <v>28.486910000000002</v>
      </c>
      <c r="F176" s="5">
        <v>414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35295.894059999999</v>
      </c>
      <c r="E177" s="5">
        <v>28.51538</v>
      </c>
      <c r="F177" s="5">
        <v>425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35269.434200000003</v>
      </c>
      <c r="E178" s="5">
        <v>28.51351</v>
      </c>
      <c r="F178" s="5">
        <v>421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35228.188099999999</v>
      </c>
      <c r="E179" s="5">
        <v>28.508800000000001</v>
      </c>
      <c r="F179" s="5">
        <v>425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35281.120770000001</v>
      </c>
      <c r="E180" s="5">
        <v>28.528179999999999</v>
      </c>
      <c r="F180" s="5">
        <v>415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0.73324999999999996</v>
      </c>
      <c r="F181" s="5">
        <v>89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0.73082000000000003</v>
      </c>
      <c r="F182" s="5">
        <v>94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0.73357000000000006</v>
      </c>
      <c r="F183" s="5">
        <v>94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0.73563999999999996</v>
      </c>
      <c r="F184" s="5">
        <v>96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0.73033000000000003</v>
      </c>
      <c r="F185" s="5">
        <v>94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0.73438000000000003</v>
      </c>
      <c r="F186" s="5">
        <v>89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0.73097000000000001</v>
      </c>
      <c r="F187" s="5">
        <v>94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0.73524</v>
      </c>
      <c r="F188" s="5">
        <v>95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0.73185999999999996</v>
      </c>
      <c r="F189" s="5">
        <v>94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0.73346999999999996</v>
      </c>
      <c r="F190" s="5">
        <v>94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675.36581000000001</v>
      </c>
      <c r="E191" s="5">
        <v>1.1395500000000001</v>
      </c>
      <c r="F191" s="5">
        <v>128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675.36989000000005</v>
      </c>
      <c r="E192" s="5">
        <v>1.13933</v>
      </c>
      <c r="F192" s="5">
        <v>144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675.36989000000005</v>
      </c>
      <c r="E193" s="5">
        <v>1.13931</v>
      </c>
      <c r="F193" s="5">
        <v>150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675.36989000000005</v>
      </c>
      <c r="E194" s="5">
        <v>1.13557</v>
      </c>
      <c r="F194" s="5">
        <v>149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675.36581000000001</v>
      </c>
      <c r="E195" s="5">
        <v>1.14022</v>
      </c>
      <c r="F195" s="5">
        <v>137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675.36989000000005</v>
      </c>
      <c r="E196" s="5">
        <v>1.1378200000000001</v>
      </c>
      <c r="F196" s="5">
        <v>148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675.36989000000005</v>
      </c>
      <c r="E197" s="5">
        <v>1.1393</v>
      </c>
      <c r="F197" s="5">
        <v>150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675.36989000000005</v>
      </c>
      <c r="E198" s="5">
        <v>1.1401300000000001</v>
      </c>
      <c r="F198" s="5">
        <v>148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675.36989000000005</v>
      </c>
      <c r="E199" s="5">
        <v>1.1408499999999999</v>
      </c>
      <c r="F199" s="5">
        <v>141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675.36989000000005</v>
      </c>
      <c r="E200" s="5">
        <v>1.13635</v>
      </c>
      <c r="F200" s="5">
        <v>149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655.43295999999998</v>
      </c>
      <c r="E201" s="5">
        <v>2.0676899999999998</v>
      </c>
      <c r="F201" s="5">
        <v>246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657.48895000000005</v>
      </c>
      <c r="E202" s="5">
        <v>2.0705900000000002</v>
      </c>
      <c r="F202" s="5">
        <v>263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657.32992999999999</v>
      </c>
      <c r="E203" s="5">
        <v>2.0721599999999998</v>
      </c>
      <c r="F203" s="5">
        <v>251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657.95457999999996</v>
      </c>
      <c r="E204" s="5">
        <v>2.0662699999999998</v>
      </c>
      <c r="F204" s="5">
        <v>264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655.43295999999998</v>
      </c>
      <c r="E205" s="5">
        <v>2.06874</v>
      </c>
      <c r="F205" s="5">
        <v>252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657.32380999999998</v>
      </c>
      <c r="E206" s="5">
        <v>2.06914</v>
      </c>
      <c r="F206" s="5">
        <v>261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657.48895000000005</v>
      </c>
      <c r="E207" s="5">
        <v>2.0663100000000001</v>
      </c>
      <c r="F207" s="5">
        <v>251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656.34204</v>
      </c>
      <c r="E208" s="5">
        <v>2.0672199999999998</v>
      </c>
      <c r="F208" s="5">
        <v>261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655.43295999999998</v>
      </c>
      <c r="E209" s="5">
        <v>2.07131</v>
      </c>
      <c r="F209" s="5">
        <v>251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658.23289</v>
      </c>
      <c r="E210" s="5">
        <v>2.0667300000000002</v>
      </c>
      <c r="F210" s="5">
        <v>262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1459.9687899999999</v>
      </c>
      <c r="E211" s="5">
        <v>1.6066</v>
      </c>
      <c r="F211" s="5">
        <v>88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1460.80863</v>
      </c>
      <c r="E212" s="5">
        <v>1.58795</v>
      </c>
      <c r="F212" s="5">
        <v>91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1459.9687899999999</v>
      </c>
      <c r="E213" s="5">
        <v>1.5947100000000001</v>
      </c>
      <c r="F213" s="5">
        <v>91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1459.9687899999999</v>
      </c>
      <c r="E214" s="5">
        <v>1.5964700000000001</v>
      </c>
      <c r="F214" s="5">
        <v>88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1459.9687899999999</v>
      </c>
      <c r="E215" s="5">
        <v>1.58951</v>
      </c>
      <c r="F215" s="5">
        <v>89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1459.9687899999999</v>
      </c>
      <c r="E216" s="5">
        <v>1.59266</v>
      </c>
      <c r="F216" s="5">
        <v>92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1459.9687899999999</v>
      </c>
      <c r="E217" s="5">
        <v>1.5936600000000001</v>
      </c>
      <c r="F217" s="5">
        <v>87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1459.9687899999999</v>
      </c>
      <c r="E218" s="5">
        <v>1.5888199999999999</v>
      </c>
      <c r="F218" s="5">
        <v>91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1459.9687899999999</v>
      </c>
      <c r="E219" s="5">
        <v>1.5917699999999999</v>
      </c>
      <c r="F219" s="5">
        <v>86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1459.9687899999999</v>
      </c>
      <c r="E220" s="5">
        <v>1.5873200000000001</v>
      </c>
      <c r="F220" s="5">
        <v>91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1013.64643</v>
      </c>
      <c r="E221" s="5">
        <v>4.5542699999999998</v>
      </c>
      <c r="F221" s="5">
        <v>258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1013.51351</v>
      </c>
      <c r="E222" s="5">
        <v>4.54169</v>
      </c>
      <c r="F222" s="5">
        <v>257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1028.07708</v>
      </c>
      <c r="E223" s="5">
        <v>4.5441799999999999</v>
      </c>
      <c r="F223" s="5">
        <v>257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1012.78238</v>
      </c>
      <c r="E224" s="5">
        <v>4.5542600000000002</v>
      </c>
      <c r="F224" s="5">
        <v>258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1012.4457200000001</v>
      </c>
      <c r="E225" s="5">
        <v>4.5529700000000002</v>
      </c>
      <c r="F225" s="5">
        <v>256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1019.09028</v>
      </c>
      <c r="E226" s="5">
        <v>4.5455199999999998</v>
      </c>
      <c r="F226" s="5">
        <v>264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1019.0323100000001</v>
      </c>
      <c r="E227" s="5">
        <v>4.5430999999999999</v>
      </c>
      <c r="F227" s="5">
        <v>252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1013.68703</v>
      </c>
      <c r="E228" s="5">
        <v>4.5466100000000003</v>
      </c>
      <c r="F228" s="5">
        <v>255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1006.93814</v>
      </c>
      <c r="E229" s="5">
        <v>4.5432800000000002</v>
      </c>
      <c r="F229" s="5">
        <v>254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1019.2804599999999</v>
      </c>
      <c r="E230" s="5">
        <v>4.5548700000000002</v>
      </c>
      <c r="F230" s="5">
        <v>253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1002.75758</v>
      </c>
      <c r="E231" s="5">
        <v>8.3869900000000008</v>
      </c>
      <c r="F231" s="5">
        <v>467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995.64125000000001</v>
      </c>
      <c r="E232" s="5">
        <v>8.3922799999999995</v>
      </c>
      <c r="F232" s="5">
        <v>463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996.13378</v>
      </c>
      <c r="E233" s="5">
        <v>8.39114</v>
      </c>
      <c r="F233" s="5">
        <v>470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998.97</v>
      </c>
      <c r="E234" s="5">
        <v>8.3859300000000001</v>
      </c>
      <c r="F234" s="5">
        <v>465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998.97820000000002</v>
      </c>
      <c r="E235" s="5">
        <v>8.3961299999999994</v>
      </c>
      <c r="F235" s="5">
        <v>477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993.10820000000001</v>
      </c>
      <c r="E236" s="5">
        <v>8.3865099999999995</v>
      </c>
      <c r="F236" s="5">
        <v>471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996.08038999999997</v>
      </c>
      <c r="E237" s="5">
        <v>8.3988300000000002</v>
      </c>
      <c r="F237" s="5">
        <v>472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993.52212999999995</v>
      </c>
      <c r="E238" s="5">
        <v>8.3948999999999998</v>
      </c>
      <c r="F238" s="5">
        <v>464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998.04965000000004</v>
      </c>
      <c r="E239" s="5">
        <v>8.3908900000000006</v>
      </c>
      <c r="F239" s="5">
        <v>471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994.85870999999997</v>
      </c>
      <c r="E240" s="5">
        <v>8.3970599999999997</v>
      </c>
      <c r="F240" s="5">
        <v>466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1850.33176</v>
      </c>
      <c r="E241" s="5">
        <v>5.0655000000000001</v>
      </c>
      <c r="F241" s="5">
        <v>83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1797.87572</v>
      </c>
      <c r="E242" s="5">
        <v>5.07829</v>
      </c>
      <c r="F242" s="5">
        <v>84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1851.7485300000001</v>
      </c>
      <c r="E243" s="5">
        <v>5.0584100000000003</v>
      </c>
      <c r="F243" s="5">
        <v>83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1824.0861299999999</v>
      </c>
      <c r="E244" s="5">
        <v>5.0744199999999999</v>
      </c>
      <c r="F244" s="5">
        <v>84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1862.6506199999999</v>
      </c>
      <c r="E245" s="5">
        <v>5.0793400000000002</v>
      </c>
      <c r="F245" s="5">
        <v>84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1851.2022300000001</v>
      </c>
      <c r="E246" s="5">
        <v>5.0683199999999999</v>
      </c>
      <c r="F246" s="5">
        <v>84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1850.9135100000001</v>
      </c>
      <c r="E247" s="5">
        <v>5.0727700000000002</v>
      </c>
      <c r="F247" s="5">
        <v>84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1828.51133</v>
      </c>
      <c r="E248" s="5">
        <v>5.08474</v>
      </c>
      <c r="F248" s="5">
        <v>83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1845.9298100000001</v>
      </c>
      <c r="E249" s="5">
        <v>5.0449900000000003</v>
      </c>
      <c r="F249" s="5">
        <v>83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1867.80657</v>
      </c>
      <c r="E250" s="5">
        <v>5.0723000000000003</v>
      </c>
      <c r="F250" s="5">
        <v>84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1776.0915199999999</v>
      </c>
      <c r="E251" s="5">
        <v>9.3725799999999992</v>
      </c>
      <c r="F251" s="5">
        <v>150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1785.1077499999999</v>
      </c>
      <c r="E252" s="5">
        <v>9.3727499999999999</v>
      </c>
      <c r="F252" s="5">
        <v>149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1777.9576300000001</v>
      </c>
      <c r="E253" s="5">
        <v>9.38476</v>
      </c>
      <c r="F253" s="5">
        <v>150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1776.9869100000001</v>
      </c>
      <c r="E254" s="5">
        <v>9.4175900000000006</v>
      </c>
      <c r="F254" s="5">
        <v>150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1783.5934299999999</v>
      </c>
      <c r="E255" s="5">
        <v>9.3924400000000006</v>
      </c>
      <c r="F255" s="5">
        <v>151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1778.52187</v>
      </c>
      <c r="E256" s="5">
        <v>9.4118999999999993</v>
      </c>
      <c r="F256" s="5">
        <v>150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1779.2818600000001</v>
      </c>
      <c r="E257" s="5">
        <v>9.3996899999999997</v>
      </c>
      <c r="F257" s="5">
        <v>149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1789.7928099999999</v>
      </c>
      <c r="E258" s="5">
        <v>9.4002800000000004</v>
      </c>
      <c r="F258" s="5">
        <v>150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1778.53673</v>
      </c>
      <c r="E259" s="5">
        <v>9.4159400000000009</v>
      </c>
      <c r="F259" s="5">
        <v>151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1783.7650000000001</v>
      </c>
      <c r="E260" s="5">
        <v>9.4095700000000004</v>
      </c>
      <c r="F260" s="5">
        <v>149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1755.5866699999999</v>
      </c>
      <c r="E261" s="5">
        <v>15.37927</v>
      </c>
      <c r="F261" s="5">
        <v>243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1753.4166700000001</v>
      </c>
      <c r="E262" s="5">
        <v>15.347770000000001</v>
      </c>
      <c r="F262" s="5">
        <v>250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1757.9333300000001</v>
      </c>
      <c r="E263" s="5">
        <v>15.38115</v>
      </c>
      <c r="F263" s="5">
        <v>239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1756.58</v>
      </c>
      <c r="E264" s="5">
        <v>15.34015</v>
      </c>
      <c r="F264" s="5">
        <v>245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1757.16617</v>
      </c>
      <c r="E265" s="5">
        <v>15.36472</v>
      </c>
      <c r="F265" s="5">
        <v>243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1757.5666699999999</v>
      </c>
      <c r="E266" s="5">
        <v>15.34868</v>
      </c>
      <c r="F266" s="5">
        <v>243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1757.4629199999999</v>
      </c>
      <c r="E267" s="5">
        <v>15.379099999999999</v>
      </c>
      <c r="F267" s="5">
        <v>243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1757.5566699999999</v>
      </c>
      <c r="E268" s="5">
        <v>15.36558</v>
      </c>
      <c r="F268" s="5">
        <v>242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1755.3633299999999</v>
      </c>
      <c r="E269" s="5">
        <v>15.33597</v>
      </c>
      <c r="F269" s="5">
        <v>245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1756.0519099999999</v>
      </c>
      <c r="E270" s="5">
        <v>15.3375</v>
      </c>
      <c r="F270" s="5">
        <v>244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42.424349999999997</v>
      </c>
      <c r="E271" s="5">
        <v>0.58989000000000003</v>
      </c>
      <c r="F271" s="5">
        <v>92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41.318849999999998</v>
      </c>
      <c r="E272" s="5">
        <v>0.58865999999999996</v>
      </c>
      <c r="F272" s="5">
        <v>86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41.439349999999997</v>
      </c>
      <c r="E273" s="5">
        <v>0.58877000000000002</v>
      </c>
      <c r="F273" s="5">
        <v>92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42.424349999999997</v>
      </c>
      <c r="E274" s="5">
        <v>0.58813000000000004</v>
      </c>
      <c r="F274" s="5">
        <v>92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42.424349999999997</v>
      </c>
      <c r="E275" s="5">
        <v>0.58769000000000005</v>
      </c>
      <c r="F275" s="5">
        <v>93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42.003050000000002</v>
      </c>
      <c r="E276" s="5">
        <v>0.58806999999999998</v>
      </c>
      <c r="F276" s="5">
        <v>91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42.424349999999997</v>
      </c>
      <c r="E277" s="5">
        <v>0.58831999999999995</v>
      </c>
      <c r="F277" s="5">
        <v>79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41.318849999999998</v>
      </c>
      <c r="E278" s="5">
        <v>0.58686000000000005</v>
      </c>
      <c r="F278" s="5">
        <v>91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40.897550000000003</v>
      </c>
      <c r="E279" s="5">
        <v>0.58847000000000005</v>
      </c>
      <c r="F279" s="5">
        <v>92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42.424349999999997</v>
      </c>
      <c r="E280" s="5">
        <v>0.58967000000000003</v>
      </c>
      <c r="F280" s="5">
        <v>92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0.87619000000000002</v>
      </c>
      <c r="F281" s="5">
        <v>132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0.87422999999999995</v>
      </c>
      <c r="F282" s="5">
        <v>127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28.65436</v>
      </c>
      <c r="E283" s="5">
        <v>0.87636000000000003</v>
      </c>
      <c r="F283" s="5">
        <v>141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0.87412000000000001</v>
      </c>
      <c r="F284" s="5">
        <v>142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0.87458999999999998</v>
      </c>
      <c r="F285" s="5">
        <v>141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28.65436</v>
      </c>
      <c r="E286" s="5">
        <v>0.87702000000000002</v>
      </c>
      <c r="F286" s="5">
        <v>142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28.65436</v>
      </c>
      <c r="E287" s="5">
        <v>0.87639999999999996</v>
      </c>
      <c r="F287" s="5">
        <v>129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0.876</v>
      </c>
      <c r="F288" s="5">
        <v>144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28.65436</v>
      </c>
      <c r="E289" s="5">
        <v>0.87731000000000003</v>
      </c>
      <c r="F289" s="5">
        <v>144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0.87792999999999999</v>
      </c>
      <c r="F290" s="5">
        <v>145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28.592030000000001</v>
      </c>
      <c r="E291" s="5">
        <v>1.1325499999999999</v>
      </c>
      <c r="F291" s="5">
        <v>171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28.587009999999999</v>
      </c>
      <c r="E292" s="5">
        <v>1.1358999999999999</v>
      </c>
      <c r="F292" s="5">
        <v>169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28.592030000000001</v>
      </c>
      <c r="E293" s="5">
        <v>1.1338900000000001</v>
      </c>
      <c r="F293" s="5">
        <v>182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28.546240000000001</v>
      </c>
      <c r="E294" s="5">
        <v>1.13428</v>
      </c>
      <c r="F294" s="5">
        <v>183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28.514479999999999</v>
      </c>
      <c r="E295" s="5">
        <v>1.1357699999999999</v>
      </c>
      <c r="F295" s="5">
        <v>183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28.602029999999999</v>
      </c>
      <c r="E296" s="5">
        <v>1.13581</v>
      </c>
      <c r="F296" s="5">
        <v>169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28.546240000000001</v>
      </c>
      <c r="E297" s="5">
        <v>1.1349</v>
      </c>
      <c r="F297" s="5">
        <v>182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28.592030000000001</v>
      </c>
      <c r="E298" s="5">
        <v>1.1359399999999999</v>
      </c>
      <c r="F298" s="5">
        <v>179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28.587009999999999</v>
      </c>
      <c r="E299" s="5">
        <v>1.1384300000000001</v>
      </c>
      <c r="F299" s="5">
        <v>175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28.546240000000001</v>
      </c>
      <c r="E300" s="5">
        <v>1.1358299999999999</v>
      </c>
      <c r="F300" s="5">
        <v>173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56.901339999999998</v>
      </c>
      <c r="E301" s="5">
        <v>1.93041</v>
      </c>
      <c r="F301" s="5">
        <v>106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59.069510000000001</v>
      </c>
      <c r="E302" s="5">
        <v>1.92038</v>
      </c>
      <c r="F302" s="5">
        <v>101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56.791339999999998</v>
      </c>
      <c r="E303" s="5">
        <v>1.9337200000000001</v>
      </c>
      <c r="F303" s="5">
        <v>106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57.332329999999999</v>
      </c>
      <c r="E304" s="5">
        <v>1.9344300000000001</v>
      </c>
      <c r="F304" s="5">
        <v>104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58.836860000000001</v>
      </c>
      <c r="E305" s="5">
        <v>1.92293</v>
      </c>
      <c r="F305" s="5">
        <v>106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56.901339999999998</v>
      </c>
      <c r="E306" s="5">
        <v>1.92215</v>
      </c>
      <c r="F306" s="5">
        <v>102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58.269509999999997</v>
      </c>
      <c r="E307" s="5">
        <v>1.9200200000000001</v>
      </c>
      <c r="F307" s="5">
        <v>106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59.079509999999999</v>
      </c>
      <c r="E308" s="5">
        <v>1.9303399999999999</v>
      </c>
      <c r="F308" s="5">
        <v>101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57.452330000000003</v>
      </c>
      <c r="E309" s="5">
        <v>1.9252100000000001</v>
      </c>
      <c r="F309" s="5">
        <v>105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56.901339999999998</v>
      </c>
      <c r="E310" s="5">
        <v>1.9325600000000001</v>
      </c>
      <c r="F310" s="5">
        <v>105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53.312750000000001</v>
      </c>
      <c r="E311" s="5">
        <v>3.7544300000000002</v>
      </c>
      <c r="F311" s="5">
        <v>206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53.476080000000003</v>
      </c>
      <c r="E312" s="5">
        <v>3.7613500000000002</v>
      </c>
      <c r="F312" s="5">
        <v>201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54.098869999999998</v>
      </c>
      <c r="E313" s="5">
        <v>3.7624599999999999</v>
      </c>
      <c r="F313" s="5">
        <v>206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53.472659999999998</v>
      </c>
      <c r="E314" s="5">
        <v>3.76057</v>
      </c>
      <c r="F314" s="5">
        <v>201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53.505189999999999</v>
      </c>
      <c r="E315" s="5">
        <v>3.7621000000000002</v>
      </c>
      <c r="F315" s="5">
        <v>203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53.60266</v>
      </c>
      <c r="E316" s="5">
        <v>3.7511199999999998</v>
      </c>
      <c r="F316" s="5">
        <v>203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53.496079999999999</v>
      </c>
      <c r="E317" s="5">
        <v>3.7545799999999998</v>
      </c>
      <c r="F317" s="5">
        <v>201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53.26923</v>
      </c>
      <c r="E318" s="5">
        <v>3.7631399999999999</v>
      </c>
      <c r="F318" s="5">
        <v>200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53.542749999999998</v>
      </c>
      <c r="E319" s="5">
        <v>3.7584900000000001</v>
      </c>
      <c r="F319" s="5">
        <v>201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53.642659999999999</v>
      </c>
      <c r="E320" s="5">
        <v>3.7513299999999998</v>
      </c>
      <c r="F320" s="5">
        <v>204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53.38749</v>
      </c>
      <c r="E321" s="5">
        <v>6.0782400000000001</v>
      </c>
      <c r="F321" s="5">
        <v>318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53.357489999999999</v>
      </c>
      <c r="E322" s="5">
        <v>6.0878699999999997</v>
      </c>
      <c r="F322" s="5">
        <v>313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53.502160000000003</v>
      </c>
      <c r="E323" s="5">
        <v>6.0822700000000003</v>
      </c>
      <c r="F323" s="5">
        <v>323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53.097490000000001</v>
      </c>
      <c r="E324" s="5">
        <v>6.0844899999999997</v>
      </c>
      <c r="F324" s="5">
        <v>315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53.342410000000001</v>
      </c>
      <c r="E325" s="5">
        <v>6.0808999999999997</v>
      </c>
      <c r="F325" s="5">
        <v>320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53.205599999999997</v>
      </c>
      <c r="E326" s="5">
        <v>6.0871899999999997</v>
      </c>
      <c r="F326" s="5">
        <v>321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53.237490000000001</v>
      </c>
      <c r="E327" s="5">
        <v>6.0802100000000001</v>
      </c>
      <c r="F327" s="5">
        <v>317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53.309840000000001</v>
      </c>
      <c r="E328" s="5">
        <v>6.0815599999999996</v>
      </c>
      <c r="F328" s="5">
        <v>316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53.410899999999998</v>
      </c>
      <c r="E329" s="5">
        <v>6.0871300000000002</v>
      </c>
      <c r="F329" s="5">
        <v>316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53.107570000000003</v>
      </c>
      <c r="E330" s="5">
        <v>6.0762700000000001</v>
      </c>
      <c r="F330" s="5">
        <v>319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148.18004999999999</v>
      </c>
      <c r="E331" s="5">
        <v>7.0600300000000002</v>
      </c>
      <c r="F331" s="5">
        <v>111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148.27986999999999</v>
      </c>
      <c r="E332" s="5">
        <v>7.0728299999999997</v>
      </c>
      <c r="F332" s="5">
        <v>113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148.23949999999999</v>
      </c>
      <c r="E333" s="5">
        <v>7.0370999999999997</v>
      </c>
      <c r="F333" s="5">
        <v>112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148.18699000000001</v>
      </c>
      <c r="E334" s="5">
        <v>7.0414000000000003</v>
      </c>
      <c r="F334" s="5">
        <v>111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148.16699</v>
      </c>
      <c r="E335" s="5">
        <v>7.0274799999999997</v>
      </c>
      <c r="F335" s="5">
        <v>112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148.21986999999999</v>
      </c>
      <c r="E336" s="5">
        <v>7.0728400000000002</v>
      </c>
      <c r="F336" s="5">
        <v>112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148.18746999999999</v>
      </c>
      <c r="E337" s="5">
        <v>7.0443499999999997</v>
      </c>
      <c r="F337" s="5">
        <v>111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148.18617</v>
      </c>
      <c r="E338" s="5">
        <v>7.0324799999999996</v>
      </c>
      <c r="F338" s="5">
        <v>112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148.19533000000001</v>
      </c>
      <c r="E339" s="5">
        <v>7.0764399999999998</v>
      </c>
      <c r="F339" s="5">
        <v>112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148.18403000000001</v>
      </c>
      <c r="E340" s="5">
        <v>7.0509700000000004</v>
      </c>
      <c r="F340" s="5">
        <v>110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108.16094</v>
      </c>
      <c r="E341" s="5">
        <v>16.790040000000001</v>
      </c>
      <c r="F341" s="5">
        <v>257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108.42677</v>
      </c>
      <c r="E342" s="5">
        <v>16.840319999999998</v>
      </c>
      <c r="F342" s="5">
        <v>255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107.39427999999999</v>
      </c>
      <c r="E343" s="5">
        <v>16.8325</v>
      </c>
      <c r="F343" s="5">
        <v>256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108.12127</v>
      </c>
      <c r="E344" s="5">
        <v>16.835229999999999</v>
      </c>
      <c r="F344" s="5">
        <v>256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108.14503000000001</v>
      </c>
      <c r="E345" s="5">
        <v>16.844090000000001</v>
      </c>
      <c r="F345" s="5">
        <v>257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108.22302000000001</v>
      </c>
      <c r="E346" s="5">
        <v>16.827649999999998</v>
      </c>
      <c r="F346" s="5">
        <v>255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108.11418999999999</v>
      </c>
      <c r="E347" s="5">
        <v>16.81165</v>
      </c>
      <c r="F347" s="5">
        <v>255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108.02663</v>
      </c>
      <c r="E348" s="5">
        <v>16.81982</v>
      </c>
      <c r="F348" s="5">
        <v>257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108.1601</v>
      </c>
      <c r="E349" s="5">
        <v>16.831140000000001</v>
      </c>
      <c r="F349" s="5">
        <v>258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108.17117</v>
      </c>
      <c r="E350" s="5">
        <v>16.837520000000001</v>
      </c>
      <c r="F350" s="5">
        <v>256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103.84996</v>
      </c>
      <c r="E351" s="5">
        <v>29.370419999999999</v>
      </c>
      <c r="F351" s="5">
        <v>429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103.89418000000001</v>
      </c>
      <c r="E352" s="5">
        <v>29.350300000000001</v>
      </c>
      <c r="F352" s="5">
        <v>433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103.94837</v>
      </c>
      <c r="E353" s="5">
        <v>29.33624</v>
      </c>
      <c r="F353" s="5">
        <v>432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103.602</v>
      </c>
      <c r="E354" s="5">
        <v>29.368939999999998</v>
      </c>
      <c r="F354" s="5">
        <v>430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103.95247000000001</v>
      </c>
      <c r="E355" s="5">
        <v>29.34479</v>
      </c>
      <c r="F355" s="5">
        <v>432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103.94923</v>
      </c>
      <c r="E356" s="5">
        <v>29.342949999999998</v>
      </c>
      <c r="F356" s="5">
        <v>430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103.91663</v>
      </c>
      <c r="E357" s="5">
        <v>29.364319999999999</v>
      </c>
      <c r="F357" s="5">
        <v>434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103.83839999999999</v>
      </c>
      <c r="E358" s="5">
        <v>29.353400000000001</v>
      </c>
      <c r="F358" s="5">
        <v>431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104.0158</v>
      </c>
      <c r="E359" s="5">
        <v>29.37557</v>
      </c>
      <c r="F359" s="5">
        <v>433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104.06747</v>
      </c>
      <c r="E360" s="5">
        <v>29.35894</v>
      </c>
      <c r="F360" s="5">
        <v>428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0.54364000000000001</v>
      </c>
      <c r="F361" s="5">
        <v>69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0.54142000000000001</v>
      </c>
      <c r="F362" s="5">
        <v>63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0.54174</v>
      </c>
      <c r="F363" s="5">
        <v>71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0.54501999999999995</v>
      </c>
      <c r="F364" s="5">
        <v>60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0.54181000000000001</v>
      </c>
      <c r="F365" s="5">
        <v>70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0.54125000000000001</v>
      </c>
      <c r="F366" s="5">
        <v>70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0.54346000000000005</v>
      </c>
      <c r="F367" s="5">
        <v>69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0.54279999999999995</v>
      </c>
      <c r="F368" s="5">
        <v>70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0.54174</v>
      </c>
      <c r="F369" s="5">
        <v>69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0.54301999999999995</v>
      </c>
      <c r="F370" s="5">
        <v>71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0.87327999999999995</v>
      </c>
      <c r="F371" s="5">
        <v>119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0.87585999999999997</v>
      </c>
      <c r="F372" s="5">
        <v>122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0.87366999999999995</v>
      </c>
      <c r="F373" s="5">
        <v>121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0.87646000000000002</v>
      </c>
      <c r="F374" s="5">
        <v>110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0.87329999999999997</v>
      </c>
      <c r="F375" s="5">
        <v>119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0.87688999999999995</v>
      </c>
      <c r="F376" s="5">
        <v>119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0.87465000000000004</v>
      </c>
      <c r="F377" s="5">
        <v>118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0.87316000000000005</v>
      </c>
      <c r="F378" s="5">
        <v>116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0.87661999999999995</v>
      </c>
      <c r="F379" s="5">
        <v>118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0.87402000000000002</v>
      </c>
      <c r="F380" s="5">
        <v>119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1.1521399999999999</v>
      </c>
      <c r="F381" s="5">
        <v>144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1.15221</v>
      </c>
      <c r="F382" s="5">
        <v>137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1.1489799999999999</v>
      </c>
      <c r="F383" s="5">
        <v>153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1.1480600000000001</v>
      </c>
      <c r="F384" s="5">
        <v>155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1.1523099999999999</v>
      </c>
      <c r="F385" s="5">
        <v>154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1.1529400000000001</v>
      </c>
      <c r="F386" s="5">
        <v>137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1.15185</v>
      </c>
      <c r="F387" s="5">
        <v>148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1.1544099999999999</v>
      </c>
      <c r="F388" s="5">
        <v>149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1.1626099999999999</v>
      </c>
      <c r="F389" s="5">
        <v>151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1.14954</v>
      </c>
      <c r="F390" s="5">
        <v>151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1.1219600000000001</v>
      </c>
      <c r="F391" s="5">
        <v>48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1.1112899999999999</v>
      </c>
      <c r="F392" s="5">
        <v>49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1.1246</v>
      </c>
      <c r="F393" s="5">
        <v>50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1.1223700000000001</v>
      </c>
      <c r="F394" s="5">
        <v>48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1.1190199999999999</v>
      </c>
      <c r="F395" s="5">
        <v>49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1.1253500000000001</v>
      </c>
      <c r="F396" s="5">
        <v>50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1.1164400000000001</v>
      </c>
      <c r="F397" s="5">
        <v>47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1.1075900000000001</v>
      </c>
      <c r="F398" s="5">
        <v>49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1.1108100000000001</v>
      </c>
      <c r="F399" s="5">
        <v>49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1.1137600000000001</v>
      </c>
      <c r="F400" s="5">
        <v>49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2.4913400000000001</v>
      </c>
      <c r="F401" s="5">
        <v>108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2.4935399999999999</v>
      </c>
      <c r="F402" s="5">
        <v>107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2.4969399999999999</v>
      </c>
      <c r="F403" s="5">
        <v>111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2.4948000000000001</v>
      </c>
      <c r="F404" s="5">
        <v>109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2.5030899999999998</v>
      </c>
      <c r="F405" s="5">
        <v>110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2.4966599999999999</v>
      </c>
      <c r="F406" s="5">
        <v>110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2.5047299999999999</v>
      </c>
      <c r="F407" s="5">
        <v>108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2.4872800000000002</v>
      </c>
      <c r="F408" s="5">
        <v>111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2.49369</v>
      </c>
      <c r="F409" s="5">
        <v>108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2.4950700000000001</v>
      </c>
      <c r="F410" s="5">
        <v>109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2.7360899999999999</v>
      </c>
      <c r="F411" s="5">
        <v>115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2.72553</v>
      </c>
      <c r="F412" s="5">
        <v>116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2.7319300000000002</v>
      </c>
      <c r="F413" s="5">
        <v>115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2.7328800000000002</v>
      </c>
      <c r="F414" s="5">
        <v>118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2.73705</v>
      </c>
      <c r="F415" s="5">
        <v>117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2.7265600000000001</v>
      </c>
      <c r="F416" s="5">
        <v>115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2.7379199999999999</v>
      </c>
      <c r="F417" s="5">
        <v>118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2.72899</v>
      </c>
      <c r="F418" s="5">
        <v>114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2.7222300000000001</v>
      </c>
      <c r="F419" s="5">
        <v>116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2.7281499999999999</v>
      </c>
      <c r="F420" s="5">
        <v>118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3.01084</v>
      </c>
      <c r="F421" s="5">
        <v>51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2.9700500000000001</v>
      </c>
      <c r="F422" s="5">
        <v>50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2.9704999999999999</v>
      </c>
      <c r="F423" s="5">
        <v>50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3.02786</v>
      </c>
      <c r="F424" s="5">
        <v>52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3.0039400000000001</v>
      </c>
      <c r="F425" s="5">
        <v>51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2.96583</v>
      </c>
      <c r="F426" s="5">
        <v>50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2.99098</v>
      </c>
      <c r="F427" s="5">
        <v>50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3.0050699999999999</v>
      </c>
      <c r="F428" s="5">
        <v>51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3.0121699999999998</v>
      </c>
      <c r="F429" s="5">
        <v>51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2.9857200000000002</v>
      </c>
      <c r="F430" s="5">
        <v>50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3.7737799999999999</v>
      </c>
      <c r="F431" s="5">
        <v>61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3.8042500000000001</v>
      </c>
      <c r="F432" s="5">
        <v>62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3.7911600000000001</v>
      </c>
      <c r="F433" s="5">
        <v>62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3.8091499999999998</v>
      </c>
      <c r="F434" s="5">
        <v>63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3.79671</v>
      </c>
      <c r="F435" s="5">
        <v>62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3.80586</v>
      </c>
      <c r="F436" s="5">
        <v>63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3.7735500000000002</v>
      </c>
      <c r="F437" s="5">
        <v>60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3.7749199999999998</v>
      </c>
      <c r="F438" s="5">
        <v>62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3.77963</v>
      </c>
      <c r="F439" s="5">
        <v>61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3.7824499999999999</v>
      </c>
      <c r="F440" s="5">
        <v>62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5.4663700000000004</v>
      </c>
      <c r="F441" s="5">
        <v>87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5.5128700000000004</v>
      </c>
      <c r="F442" s="5">
        <v>87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5.4836499999999999</v>
      </c>
      <c r="F443" s="5">
        <v>88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5.4713799999999999</v>
      </c>
      <c r="F444" s="5">
        <v>86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5.49221</v>
      </c>
      <c r="F445" s="5">
        <v>88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5.4768600000000003</v>
      </c>
      <c r="F446" s="5">
        <v>86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5.4845600000000001</v>
      </c>
      <c r="F447" s="5">
        <v>87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5.48475</v>
      </c>
      <c r="F448" s="5">
        <v>89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5.4913699999999999</v>
      </c>
      <c r="F449" s="5">
        <v>87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5.4609800000000002</v>
      </c>
      <c r="F450" s="5">
        <v>87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V1"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0.54462999999999995</v>
      </c>
      <c r="F1" s="5">
        <v>46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0.54827999999999999</v>
      </c>
      <c r="F2" s="5">
        <v>54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0.57742000000000004</v>
      </c>
      <c r="F3" s="5">
        <v>45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170.45004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170.36338000000001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170.36338000000001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170.36270800000003</v>
      </c>
      <c r="Y3" s="5">
        <f ca="1">Total!E3</f>
        <v>170.35004000000001</v>
      </c>
      <c r="AB3" s="5">
        <f t="shared" ca="1" si="1"/>
        <v>5.8702657187514786E-4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7.8309344688146025E-5</v>
      </c>
      <c r="AG3" s="5">
        <f t="shared" ca="1" si="6"/>
        <v>0</v>
      </c>
      <c r="AH3" s="5">
        <f t="shared" ca="1" si="7"/>
        <v>0</v>
      </c>
      <c r="AI3" s="5">
        <f t="shared" ca="1" si="8"/>
        <v>7.8309344688146025E-5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7.4364526125143989E-4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0.54683000000000004</v>
      </c>
      <c r="F4" s="5">
        <v>33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0.56574999999999998</v>
      </c>
      <c r="F5" s="5">
        <v>45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0.54893000000000003</v>
      </c>
      <c r="F6" s="5">
        <v>50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0.54805999999999999</v>
      </c>
      <c r="F7" s="5">
        <v>53</v>
      </c>
      <c r="H7" s="5" t="s">
        <v>27</v>
      </c>
      <c r="I7" s="5">
        <v>50</v>
      </c>
      <c r="J7" s="5">
        <v>1</v>
      </c>
      <c r="L7" s="5">
        <f t="shared" ca="1" si="11"/>
        <v>181.64518000000001</v>
      </c>
      <c r="M7" s="5">
        <f t="shared" ca="1" si="0"/>
        <v>181.40834000000001</v>
      </c>
      <c r="N7" s="5">
        <f t="shared" ca="1" si="0"/>
        <v>179.93769</v>
      </c>
      <c r="O7" s="5">
        <f t="shared" ca="1" si="0"/>
        <v>179.94333</v>
      </c>
      <c r="P7" s="5">
        <f t="shared" ca="1" si="0"/>
        <v>182.34269</v>
      </c>
      <c r="Q7" s="5">
        <f t="shared" ca="1" si="0"/>
        <v>182.34583000000001</v>
      </c>
      <c r="R7" s="5">
        <f t="shared" ca="1" si="0"/>
        <v>180.52</v>
      </c>
      <c r="S7" s="5">
        <f t="shared" ca="1" si="0"/>
        <v>180.24666999999999</v>
      </c>
      <c r="T7" s="5">
        <f t="shared" ca="1" si="0"/>
        <v>179.93769</v>
      </c>
      <c r="U7" s="5">
        <f t="shared" ca="1" si="0"/>
        <v>181.62333000000001</v>
      </c>
      <c r="W7" s="5">
        <f t="shared" ca="1" si="12"/>
        <v>180.99507499999999</v>
      </c>
      <c r="Y7" s="5">
        <f ca="1">Total!E7</f>
        <v>179.67332999999999</v>
      </c>
      <c r="AB7" s="5">
        <f t="shared" ca="1" si="1"/>
        <v>1.0974639363560622E-2</v>
      </c>
      <c r="AC7" s="5">
        <f t="shared" ca="1" si="2"/>
        <v>9.6564693268612369E-3</v>
      </c>
      <c r="AD7" s="5">
        <f t="shared" ca="1" si="3"/>
        <v>1.4713368979136225E-3</v>
      </c>
      <c r="AE7" s="5">
        <f t="shared" ca="1" si="4"/>
        <v>1.5027271994124572E-3</v>
      </c>
      <c r="AF7" s="5">
        <f t="shared" ca="1" si="5"/>
        <v>1.4856740285272231E-2</v>
      </c>
      <c r="AG7" s="5">
        <f t="shared" ca="1" si="6"/>
        <v>1.4874216446035779E-2</v>
      </c>
      <c r="AH7" s="5">
        <f t="shared" ca="1" si="7"/>
        <v>4.7122742145426777E-3</v>
      </c>
      <c r="AI7" s="5">
        <f t="shared" ca="1" si="8"/>
        <v>3.1910133796707713E-3</v>
      </c>
      <c r="AJ7" s="5">
        <f t="shared" ca="1" si="9"/>
        <v>1.4713368979136225E-3</v>
      </c>
      <c r="AK7" s="5">
        <f t="shared" ca="1" si="10"/>
        <v>1.0853029773534098E-2</v>
      </c>
      <c r="AM7" s="5">
        <f t="shared" ca="1" si="13"/>
        <v>7.3563783784717132E-2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0.54864999999999997</v>
      </c>
      <c r="F8" s="5">
        <v>54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0.54683000000000004</v>
      </c>
      <c r="F9" s="5">
        <v>54</v>
      </c>
      <c r="H9" s="5" t="s">
        <v>27</v>
      </c>
      <c r="I9" s="5">
        <v>100</v>
      </c>
      <c r="J9" s="5">
        <v>0.7</v>
      </c>
      <c r="L9" s="5">
        <f t="shared" ca="1" si="11"/>
        <v>260.58866999999998</v>
      </c>
      <c r="M9" s="5">
        <f t="shared" ca="1" si="0"/>
        <v>259.24997999999999</v>
      </c>
      <c r="N9" s="5">
        <f t="shared" ca="1" si="0"/>
        <v>256.31993999999997</v>
      </c>
      <c r="O9" s="5">
        <f t="shared" ca="1" si="0"/>
        <v>259.20938999999998</v>
      </c>
      <c r="P9" s="5">
        <f t="shared" ca="1" si="0"/>
        <v>260.12671</v>
      </c>
      <c r="Q9" s="5">
        <f t="shared" ca="1" si="0"/>
        <v>257.91732000000002</v>
      </c>
      <c r="R9" s="5">
        <f t="shared" ca="1" si="0"/>
        <v>259.62531999999999</v>
      </c>
      <c r="S9" s="5">
        <f t="shared" ca="1" si="0"/>
        <v>259.23403000000002</v>
      </c>
      <c r="T9" s="5">
        <f t="shared" ca="1" si="0"/>
        <v>259.45128999999997</v>
      </c>
      <c r="U9" s="5">
        <f t="shared" ca="1" si="0"/>
        <v>257.77242000000001</v>
      </c>
      <c r="W9" s="5">
        <f t="shared" ca="1" si="12"/>
        <v>258.94950699999998</v>
      </c>
      <c r="Y9" s="5">
        <f ca="1">Total!E9</f>
        <v>255.18879999999999</v>
      </c>
      <c r="AB9" s="5">
        <f t="shared" ca="1" si="1"/>
        <v>2.1160293868696407E-2</v>
      </c>
      <c r="AC9" s="5">
        <f t="shared" ca="1" si="2"/>
        <v>1.5914413171737973E-2</v>
      </c>
      <c r="AD9" s="5">
        <f t="shared" ca="1" si="3"/>
        <v>4.4325613036308329E-3</v>
      </c>
      <c r="AE9" s="5">
        <f t="shared" ca="1" si="4"/>
        <v>1.5755354466967197E-2</v>
      </c>
      <c r="AF9" s="5">
        <f t="shared" ca="1" si="5"/>
        <v>1.9350026333444167E-2</v>
      </c>
      <c r="AG9" s="5">
        <f t="shared" ca="1" si="6"/>
        <v>1.0692162038459492E-2</v>
      </c>
      <c r="AH9" s="5">
        <f t="shared" ca="1" si="7"/>
        <v>1.7385245747462277E-2</v>
      </c>
      <c r="AI9" s="5">
        <f t="shared" ca="1" si="8"/>
        <v>1.5851910428670977E-2</v>
      </c>
      <c r="AJ9" s="5">
        <f t="shared" ca="1" si="9"/>
        <v>1.6703280081257429E-2</v>
      </c>
      <c r="AK9" s="5">
        <f t="shared" ca="1" si="10"/>
        <v>1.012434715003176E-2</v>
      </c>
      <c r="AM9" s="5">
        <f t="shared" ca="1" si="13"/>
        <v>0.14736959459035853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0.54561000000000004</v>
      </c>
      <c r="F10" s="5">
        <v>55</v>
      </c>
      <c r="H10" s="5" t="s">
        <v>27</v>
      </c>
      <c r="I10" s="5">
        <v>100</v>
      </c>
      <c r="J10" s="5">
        <v>1</v>
      </c>
      <c r="L10" s="5">
        <f t="shared" ca="1" si="11"/>
        <v>239.79339999999999</v>
      </c>
      <c r="M10" s="5">
        <f t="shared" ca="1" si="0"/>
        <v>239.51912999999999</v>
      </c>
      <c r="N10" s="5">
        <f t="shared" ca="1" si="0"/>
        <v>239.95667</v>
      </c>
      <c r="O10" s="5">
        <f t="shared" ca="1" si="0"/>
        <v>241.39739</v>
      </c>
      <c r="P10" s="5">
        <f t="shared" ca="1" si="0"/>
        <v>239.83079000000001</v>
      </c>
      <c r="Q10" s="5">
        <f t="shared" ca="1" si="0"/>
        <v>240.79667000000001</v>
      </c>
      <c r="R10" s="5">
        <f t="shared" ca="1" si="0"/>
        <v>239.63822999999999</v>
      </c>
      <c r="S10" s="5">
        <f t="shared" ca="1" si="0"/>
        <v>239.87</v>
      </c>
      <c r="T10" s="5">
        <f t="shared" ca="1" si="0"/>
        <v>239.38667000000001</v>
      </c>
      <c r="U10" s="5">
        <f t="shared" ca="1" si="0"/>
        <v>241.56755999999999</v>
      </c>
      <c r="W10" s="5">
        <f t="shared" ca="1" si="12"/>
        <v>240.17565099999996</v>
      </c>
      <c r="Y10" s="5">
        <f ca="1">Total!E10</f>
        <v>238.77667</v>
      </c>
      <c r="AB10" s="5">
        <f t="shared" ca="1" si="1"/>
        <v>4.2580793173805278E-3</v>
      </c>
      <c r="AC10" s="5">
        <f t="shared" ca="1" si="2"/>
        <v>3.1094327599090572E-3</v>
      </c>
      <c r="AD10" s="5">
        <f t="shared" ca="1" si="3"/>
        <v>4.9418563379747564E-3</v>
      </c>
      <c r="AE10" s="5">
        <f t="shared" ca="1" si="4"/>
        <v>1.0975611645811149E-2</v>
      </c>
      <c r="AF10" s="5">
        <f t="shared" ca="1" si="5"/>
        <v>4.4146691550728629E-3</v>
      </c>
      <c r="AG10" s="5">
        <f t="shared" ca="1" si="6"/>
        <v>8.4597879683974576E-3</v>
      </c>
      <c r="AH10" s="5">
        <f t="shared" ca="1" si="7"/>
        <v>3.6082252089368583E-3</v>
      </c>
      <c r="AI10" s="5">
        <f t="shared" ca="1" si="8"/>
        <v>4.5788811779643663E-3</v>
      </c>
      <c r="AJ10" s="5">
        <f t="shared" ca="1" si="9"/>
        <v>2.5546884459022468E-3</v>
      </c>
      <c r="AK10" s="5">
        <f t="shared" ca="1" si="10"/>
        <v>1.1688285961940881E-2</v>
      </c>
      <c r="AM10" s="5">
        <f t="shared" ca="1" si="13"/>
        <v>5.8589517979290164E-2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170.45004</v>
      </c>
      <c r="E11" s="5">
        <v>1.4271100000000001</v>
      </c>
      <c r="F11" s="5">
        <v>58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1.4593100000000001</v>
      </c>
      <c r="F12" s="5">
        <v>131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1.4251799999999999</v>
      </c>
      <c r="F13" s="5">
        <v>117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1.4211800000000001</v>
      </c>
      <c r="F14" s="5">
        <v>145</v>
      </c>
      <c r="H14" s="5" t="s">
        <v>2</v>
      </c>
      <c r="I14" s="5">
        <v>47</v>
      </c>
      <c r="J14" s="5">
        <v>0.4</v>
      </c>
      <c r="L14" s="5">
        <f t="shared" ca="1" si="11"/>
        <v>4350.8413700000001</v>
      </c>
      <c r="M14" s="5">
        <f t="shared" ca="1" si="0"/>
        <v>4348.0289499999999</v>
      </c>
      <c r="N14" s="5">
        <f t="shared" ca="1" si="0"/>
        <v>4350.8413700000001</v>
      </c>
      <c r="O14" s="5">
        <f t="shared" ca="1" si="0"/>
        <v>4348.0289499999999</v>
      </c>
      <c r="P14" s="5">
        <f t="shared" ca="1" si="0"/>
        <v>4348.0289499999999</v>
      </c>
      <c r="Q14" s="5">
        <f t="shared" ca="1" si="0"/>
        <v>4348.0289499999999</v>
      </c>
      <c r="R14" s="5">
        <f t="shared" ca="1" si="0"/>
        <v>4348.0289499999999</v>
      </c>
      <c r="S14" s="5">
        <f t="shared" ca="1" si="0"/>
        <v>4348.0289499999999</v>
      </c>
      <c r="T14" s="5">
        <f t="shared" ca="1" si="0"/>
        <v>4350.8413700000001</v>
      </c>
      <c r="U14" s="5">
        <f t="shared" ca="1" si="0"/>
        <v>4348.0289499999999</v>
      </c>
      <c r="W14" s="5">
        <f t="shared" ca="1" si="12"/>
        <v>4348.8726760000009</v>
      </c>
      <c r="Y14" s="5">
        <f ca="1">Total!E14</f>
        <v>4348.0289499999999</v>
      </c>
      <c r="AB14" s="5">
        <f t="shared" ca="1" si="1"/>
        <v>6.4682642004952661E-4</v>
      </c>
      <c r="AC14" s="5">
        <f t="shared" ca="1" si="2"/>
        <v>0</v>
      </c>
      <c r="AD14" s="5">
        <f t="shared" ca="1" si="3"/>
        <v>6.4682642004952661E-4</v>
      </c>
      <c r="AE14" s="5">
        <f t="shared" ca="1" si="4"/>
        <v>0</v>
      </c>
      <c r="AF14" s="5">
        <f t="shared" ca="1" si="5"/>
        <v>0</v>
      </c>
      <c r="AG14" s="5">
        <f t="shared" ca="1" si="6"/>
        <v>0</v>
      </c>
      <c r="AH14" s="5">
        <f t="shared" ca="1" si="7"/>
        <v>0</v>
      </c>
      <c r="AI14" s="5">
        <f t="shared" ca="1" si="8"/>
        <v>0</v>
      </c>
      <c r="AJ14" s="5">
        <f t="shared" ca="1" si="9"/>
        <v>6.4682642004952661E-4</v>
      </c>
      <c r="AK14" s="5">
        <f t="shared" ca="1" si="10"/>
        <v>0</v>
      </c>
      <c r="AM14" s="5">
        <f t="shared" ca="1" si="13"/>
        <v>1.9404792601485799E-3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170.36338000000001</v>
      </c>
      <c r="E15" s="5">
        <v>1.4325600000000001</v>
      </c>
      <c r="F15" s="5">
        <v>137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1.4258299999999999</v>
      </c>
      <c r="F16" s="5">
        <v>82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4318.4876800000002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4314.0975610000005</v>
      </c>
      <c r="Y16" s="5">
        <f ca="1">Total!E16</f>
        <v>4313.60977</v>
      </c>
      <c r="AB16" s="5">
        <f t="shared" ca="1" si="1"/>
        <v>0</v>
      </c>
      <c r="AC16" s="5">
        <f t="shared" ca="1" si="2"/>
        <v>1.1308185626629262E-3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1.1308185626629262E-3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1.42502</v>
      </c>
      <c r="F17" s="5">
        <v>137</v>
      </c>
      <c r="H17" s="5" t="s">
        <v>2</v>
      </c>
      <c r="I17" s="5">
        <v>100</v>
      </c>
      <c r="J17" s="5">
        <v>0.4</v>
      </c>
      <c r="L17" s="5">
        <f t="shared" ca="1" si="11"/>
        <v>42986.193919999998</v>
      </c>
      <c r="M17" s="5">
        <f t="shared" ca="1" si="0"/>
        <v>42986.345820000002</v>
      </c>
      <c r="N17" s="5">
        <f t="shared" ca="1" si="0"/>
        <v>42986.802479999998</v>
      </c>
      <c r="O17" s="5">
        <f t="shared" ca="1" si="0"/>
        <v>42986.403050000001</v>
      </c>
      <c r="P17" s="5">
        <f t="shared" ca="1" si="0"/>
        <v>42986.673049999998</v>
      </c>
      <c r="Q17" s="5">
        <f t="shared" ca="1" si="0"/>
        <v>42986.193919999998</v>
      </c>
      <c r="R17" s="5">
        <f t="shared" ca="1" si="0"/>
        <v>42986.673049999998</v>
      </c>
      <c r="S17" s="5">
        <f t="shared" ca="1" si="0"/>
        <v>42986.673049999998</v>
      </c>
      <c r="T17" s="5">
        <f t="shared" ca="1" si="0"/>
        <v>42986.45392</v>
      </c>
      <c r="U17" s="5">
        <f t="shared" ca="1" si="0"/>
        <v>42986.403050000001</v>
      </c>
      <c r="W17" s="5">
        <f t="shared" ca="1" si="12"/>
        <v>42986.481530999998</v>
      </c>
      <c r="Y17" s="5">
        <f ca="1">Total!E17</f>
        <v>42986.193919999998</v>
      </c>
      <c r="AB17" s="5">
        <f t="shared" ca="1" si="1"/>
        <v>0</v>
      </c>
      <c r="AC17" s="5">
        <f t="shared" ca="1" si="2"/>
        <v>3.5336927081072652E-6</v>
      </c>
      <c r="AD17" s="5">
        <f t="shared" ca="1" si="3"/>
        <v>1.4157103583842479E-5</v>
      </c>
      <c r="AE17" s="5">
        <f t="shared" ca="1" si="4"/>
        <v>4.8650504018131747E-6</v>
      </c>
      <c r="AF17" s="5">
        <f t="shared" ca="1" si="5"/>
        <v>1.1146136847830832E-5</v>
      </c>
      <c r="AG17" s="5">
        <f t="shared" ca="1" si="6"/>
        <v>0</v>
      </c>
      <c r="AH17" s="5">
        <f t="shared" ca="1" si="7"/>
        <v>1.1146136847830832E-5</v>
      </c>
      <c r="AI17" s="5">
        <f t="shared" ca="1" si="8"/>
        <v>1.1146136847830832E-5</v>
      </c>
      <c r="AJ17" s="5">
        <f t="shared" ca="1" si="9"/>
        <v>6.04845361480278E-6</v>
      </c>
      <c r="AK17" s="5">
        <f t="shared" ca="1" si="10"/>
        <v>4.8650504018131747E-6</v>
      </c>
      <c r="AM17" s="5">
        <f t="shared" ca="1" si="13"/>
        <v>6.690776125387137E-5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170.36338000000001</v>
      </c>
      <c r="E18" s="5">
        <v>1.43659</v>
      </c>
      <c r="F18" s="5">
        <v>133</v>
      </c>
      <c r="H18" s="5" t="s">
        <v>2</v>
      </c>
      <c r="I18" s="5">
        <v>100</v>
      </c>
      <c r="J18" s="5">
        <v>0.7</v>
      </c>
      <c r="L18" s="5">
        <f t="shared" ca="1" si="11"/>
        <v>35777.393029999999</v>
      </c>
      <c r="M18" s="5">
        <f t="shared" ca="1" si="11"/>
        <v>35577.303489999998</v>
      </c>
      <c r="N18" s="5">
        <f t="shared" ca="1" si="11"/>
        <v>35499.496420000003</v>
      </c>
      <c r="O18" s="5">
        <f t="shared" ca="1" si="11"/>
        <v>35533.762549999999</v>
      </c>
      <c r="P18" s="5">
        <f t="shared" ca="1" si="11"/>
        <v>35519.254390000002</v>
      </c>
      <c r="Q18" s="5">
        <f t="shared" ca="1" si="11"/>
        <v>35551.573120000001</v>
      </c>
      <c r="R18" s="5">
        <f t="shared" ca="1" si="11"/>
        <v>35414.373480000002</v>
      </c>
      <c r="S18" s="5">
        <f t="shared" ca="1" si="11"/>
        <v>35634.360439999997</v>
      </c>
      <c r="T18" s="5">
        <f t="shared" ca="1" si="11"/>
        <v>35517.030639999997</v>
      </c>
      <c r="U18" s="5">
        <f t="shared" ca="1" si="11"/>
        <v>35598.492059999997</v>
      </c>
      <c r="W18" s="5">
        <f t="shared" ca="1" si="12"/>
        <v>35562.303962000013</v>
      </c>
      <c r="Y18" s="5">
        <f ca="1">Total!E18</f>
        <v>35336.072039999999</v>
      </c>
      <c r="AB18" s="5">
        <f t="shared" ca="1" si="1"/>
        <v>1.2489248649381012E-2</v>
      </c>
      <c r="AC18" s="5">
        <f t="shared" ca="1" si="2"/>
        <v>6.8267760414040439E-3</v>
      </c>
      <c r="AD18" s="5">
        <f t="shared" ca="1" si="3"/>
        <v>4.6248598263839182E-3</v>
      </c>
      <c r="AE18" s="5">
        <f t="shared" ca="1" si="4"/>
        <v>5.5945807948381224E-3</v>
      </c>
      <c r="AF18" s="5">
        <f t="shared" ca="1" si="5"/>
        <v>5.1840043169666004E-3</v>
      </c>
      <c r="AG18" s="5">
        <f t="shared" ca="1" si="6"/>
        <v>6.0986144627523187E-3</v>
      </c>
      <c r="AH18" s="5">
        <f t="shared" ca="1" si="7"/>
        <v>2.2159067343808514E-3</v>
      </c>
      <c r="AI18" s="5">
        <f t="shared" ca="1" si="8"/>
        <v>8.441470225166477E-3</v>
      </c>
      <c r="AJ18" s="5">
        <f t="shared" ca="1" si="9"/>
        <v>5.1210728740635125E-3</v>
      </c>
      <c r="AK18" s="5">
        <f t="shared" ca="1" si="10"/>
        <v>7.4264060731747865E-3</v>
      </c>
      <c r="AM18" s="5">
        <f t="shared" ca="1" si="13"/>
        <v>6.4022939998511635E-2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1.4219999999999999</v>
      </c>
      <c r="F19" s="5">
        <v>129</v>
      </c>
      <c r="H19" s="5" t="s">
        <v>2</v>
      </c>
      <c r="I19" s="5">
        <v>100</v>
      </c>
      <c r="J19" s="5">
        <v>1</v>
      </c>
      <c r="L19" s="5">
        <f t="shared" ca="1" si="11"/>
        <v>35261.115270000002</v>
      </c>
      <c r="M19" s="5">
        <f t="shared" ca="1" si="11"/>
        <v>35248.013330000002</v>
      </c>
      <c r="N19" s="5">
        <f t="shared" ca="1" si="11"/>
        <v>35241.07617</v>
      </c>
      <c r="O19" s="5">
        <f t="shared" ca="1" si="11"/>
        <v>35280.993329999998</v>
      </c>
      <c r="P19" s="5">
        <f t="shared" ca="1" si="11"/>
        <v>35233.120000000003</v>
      </c>
      <c r="Q19" s="5">
        <f t="shared" ca="1" si="11"/>
        <v>35272.56667</v>
      </c>
      <c r="R19" s="5">
        <f t="shared" ca="1" si="11"/>
        <v>35272.95289</v>
      </c>
      <c r="S19" s="5">
        <f t="shared" ca="1" si="11"/>
        <v>35226.300000000003</v>
      </c>
      <c r="T19" s="5">
        <f t="shared" ca="1" si="11"/>
        <v>35295.857649999998</v>
      </c>
      <c r="U19" s="5">
        <f t="shared" ca="1" si="11"/>
        <v>35342.036670000001</v>
      </c>
      <c r="W19" s="5">
        <f t="shared" ca="1" si="12"/>
        <v>35267.403198</v>
      </c>
      <c r="Y19" s="5">
        <f ca="1">Total!E19</f>
        <v>35203.853329999998</v>
      </c>
      <c r="AB19" s="5">
        <f t="shared" ca="1" si="1"/>
        <v>1.6265815978504408E-3</v>
      </c>
      <c r="AC19" s="5">
        <f t="shared" ca="1" si="2"/>
        <v>1.2544081349859292E-3</v>
      </c>
      <c r="AD19" s="5">
        <f t="shared" ca="1" si="3"/>
        <v>1.0573512976285934E-3</v>
      </c>
      <c r="AE19" s="5">
        <f t="shared" ca="1" si="4"/>
        <v>2.19123739884072E-3</v>
      </c>
      <c r="AF19" s="5">
        <f t="shared" ca="1" si="5"/>
        <v>8.3134848124889987E-4</v>
      </c>
      <c r="AG19" s="5">
        <f t="shared" ca="1" si="6"/>
        <v>1.9518698523109108E-3</v>
      </c>
      <c r="AH19" s="5">
        <f t="shared" ca="1" si="7"/>
        <v>1.9628408104154088E-3</v>
      </c>
      <c r="AI19" s="5">
        <f t="shared" ca="1" si="8"/>
        <v>6.3761968866278128E-4</v>
      </c>
      <c r="AJ19" s="5">
        <f t="shared" ca="1" si="9"/>
        <v>2.6134729950597715E-3</v>
      </c>
      <c r="AK19" s="5">
        <f t="shared" ca="1" si="10"/>
        <v>3.9252333744455815E-3</v>
      </c>
      <c r="AM19" s="5">
        <f t="shared" ca="1" si="13"/>
        <v>1.8051963631449036E-2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1.46753</v>
      </c>
      <c r="F20" s="5">
        <v>148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1.77535</v>
      </c>
      <c r="F21" s="5">
        <v>226</v>
      </c>
      <c r="H21" s="5" t="s">
        <v>1</v>
      </c>
      <c r="I21" s="5">
        <v>30</v>
      </c>
      <c r="J21" s="5">
        <v>0.7</v>
      </c>
      <c r="L21" s="5">
        <f t="shared" ca="1" si="11"/>
        <v>675.47965999999997</v>
      </c>
      <c r="M21" s="5">
        <f t="shared" ca="1" si="11"/>
        <v>677.26074000000006</v>
      </c>
      <c r="N21" s="5">
        <f t="shared" ca="1" si="11"/>
        <v>675.36581000000001</v>
      </c>
      <c r="O21" s="5">
        <f t="shared" ca="1" si="11"/>
        <v>675.36581000000001</v>
      </c>
      <c r="P21" s="5">
        <f t="shared" ca="1" si="11"/>
        <v>675.36989000000005</v>
      </c>
      <c r="Q21" s="5">
        <f t="shared" ca="1" si="11"/>
        <v>675.36581000000001</v>
      </c>
      <c r="R21" s="5">
        <f t="shared" ca="1" si="11"/>
        <v>675.36989000000005</v>
      </c>
      <c r="S21" s="5">
        <f t="shared" ca="1" si="11"/>
        <v>692.52247999999997</v>
      </c>
      <c r="T21" s="5">
        <f t="shared" ca="1" si="11"/>
        <v>675.38611000000003</v>
      </c>
      <c r="U21" s="5">
        <f t="shared" ca="1" si="11"/>
        <v>675.36989000000005</v>
      </c>
      <c r="W21" s="5">
        <f t="shared" ca="1" si="12"/>
        <v>677.28560900000002</v>
      </c>
      <c r="Y21" s="5">
        <f ca="1">Total!E21</f>
        <v>675.36581000000001</v>
      </c>
      <c r="AB21" s="5">
        <f t="shared" ca="1" si="1"/>
        <v>1.685753088388598E-4</v>
      </c>
      <c r="AC21" s="5">
        <f t="shared" ca="1" si="2"/>
        <v>2.8057831355129525E-3</v>
      </c>
      <c r="AD21" s="5">
        <f t="shared" ca="1" si="3"/>
        <v>0</v>
      </c>
      <c r="AE21" s="5">
        <f t="shared" ca="1" si="4"/>
        <v>0</v>
      </c>
      <c r="AF21" s="5">
        <f t="shared" ca="1" si="5"/>
        <v>6.0411704881010963E-6</v>
      </c>
      <c r="AG21" s="5">
        <f t="shared" ca="1" si="6"/>
        <v>0</v>
      </c>
      <c r="AH21" s="5">
        <f t="shared" ca="1" si="7"/>
        <v>6.0411704881010963E-6</v>
      </c>
      <c r="AI21" s="5">
        <f t="shared" ca="1" si="8"/>
        <v>2.5403521685529153E-2</v>
      </c>
      <c r="AJ21" s="5">
        <f t="shared" ca="1" si="9"/>
        <v>3.0057784536087472E-5</v>
      </c>
      <c r="AK21" s="5">
        <f t="shared" ca="1" si="10"/>
        <v>6.0411704881010963E-6</v>
      </c>
      <c r="AM21" s="5">
        <f t="shared" ca="1" si="13"/>
        <v>2.8426061425881357E-2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1.7694099999999999</v>
      </c>
      <c r="F22" s="5">
        <v>219</v>
      </c>
      <c r="H22" s="5" t="s">
        <v>1</v>
      </c>
      <c r="I22" s="5">
        <v>30</v>
      </c>
      <c r="J22" s="5">
        <v>1</v>
      </c>
      <c r="L22" s="5">
        <f t="shared" ca="1" si="11"/>
        <v>656.34204</v>
      </c>
      <c r="M22" s="5">
        <f t="shared" ca="1" si="11"/>
        <v>657.32380999999998</v>
      </c>
      <c r="N22" s="5">
        <f t="shared" ca="1" si="11"/>
        <v>657.95457999999996</v>
      </c>
      <c r="O22" s="5">
        <f t="shared" ca="1" si="11"/>
        <v>657.35562000000004</v>
      </c>
      <c r="P22" s="5">
        <f t="shared" ca="1" si="11"/>
        <v>655.43295999999998</v>
      </c>
      <c r="Q22" s="5">
        <f t="shared" ca="1" si="11"/>
        <v>658.23289</v>
      </c>
      <c r="R22" s="5">
        <f t="shared" ca="1" si="11"/>
        <v>657.95457999999996</v>
      </c>
      <c r="S22" s="5">
        <f t="shared" ca="1" si="11"/>
        <v>657.32380999999998</v>
      </c>
      <c r="T22" s="5">
        <f t="shared" ca="1" si="11"/>
        <v>655.43295999999998</v>
      </c>
      <c r="U22" s="5">
        <f t="shared" ca="1" si="11"/>
        <v>657.32380999999998</v>
      </c>
      <c r="W22" s="5">
        <f t="shared" ca="1" si="12"/>
        <v>657.06770600000004</v>
      </c>
      <c r="Y22" s="5">
        <f ca="1">Total!E22</f>
        <v>655.43295999999998</v>
      </c>
      <c r="AB22" s="5">
        <f t="shared" ca="1" si="1"/>
        <v>1.3869915849212362E-3</v>
      </c>
      <c r="AC22" s="5">
        <f t="shared" ca="1" si="2"/>
        <v>2.8848869608266272E-3</v>
      </c>
      <c r="AD22" s="5">
        <f t="shared" ca="1" si="3"/>
        <v>3.847258459507414E-3</v>
      </c>
      <c r="AE22" s="5">
        <f t="shared" ca="1" si="4"/>
        <v>2.9334197657683624E-3</v>
      </c>
      <c r="AF22" s="5">
        <f t="shared" ca="1" si="5"/>
        <v>0</v>
      </c>
      <c r="AG22" s="5">
        <f t="shared" ca="1" si="6"/>
        <v>4.2718785457478634E-3</v>
      </c>
      <c r="AH22" s="5">
        <f t="shared" ca="1" si="7"/>
        <v>3.847258459507414E-3</v>
      </c>
      <c r="AI22" s="5">
        <f t="shared" ca="1" si="8"/>
        <v>2.8848869608266272E-3</v>
      </c>
      <c r="AJ22" s="5">
        <f t="shared" ca="1" si="9"/>
        <v>0</v>
      </c>
      <c r="AK22" s="5">
        <f t="shared" ca="1" si="10"/>
        <v>2.8848869608266272E-3</v>
      </c>
      <c r="AM22" s="5">
        <f t="shared" ca="1" si="13"/>
        <v>2.4941467697932169E-2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1.7723100000000001</v>
      </c>
      <c r="F23" s="5">
        <v>231</v>
      </c>
      <c r="H23" s="5" t="s">
        <v>1</v>
      </c>
      <c r="I23" s="5">
        <v>50</v>
      </c>
      <c r="J23" s="5">
        <v>0.4</v>
      </c>
      <c r="L23" s="5">
        <f t="shared" ca="1" si="11"/>
        <v>1483.60267</v>
      </c>
      <c r="M23" s="5">
        <f t="shared" ca="1" si="11"/>
        <v>1459.9687899999999</v>
      </c>
      <c r="N23" s="5">
        <f t="shared" ca="1" si="11"/>
        <v>1460.0209400000001</v>
      </c>
      <c r="O23" s="5">
        <f t="shared" ca="1" si="11"/>
        <v>1483.36385</v>
      </c>
      <c r="P23" s="5">
        <f t="shared" ca="1" si="11"/>
        <v>1459.9687899999999</v>
      </c>
      <c r="Q23" s="5">
        <f t="shared" ca="1" si="11"/>
        <v>1483.36385</v>
      </c>
      <c r="R23" s="5">
        <f t="shared" ca="1" si="11"/>
        <v>1483.36385</v>
      </c>
      <c r="S23" s="5">
        <f t="shared" ca="1" si="11"/>
        <v>1459.9687899999999</v>
      </c>
      <c r="T23" s="5">
        <f t="shared" ca="1" si="11"/>
        <v>1459.9687899999999</v>
      </c>
      <c r="U23" s="5">
        <f t="shared" ca="1" si="11"/>
        <v>1483.36385</v>
      </c>
      <c r="W23" s="5">
        <f t="shared" ca="1" si="12"/>
        <v>1471.6954169999999</v>
      </c>
      <c r="Y23" s="5">
        <f ca="1">Total!E23</f>
        <v>1459.9687899999999</v>
      </c>
      <c r="AB23" s="5">
        <f t="shared" ca="1" si="1"/>
        <v>1.6187935085927481E-2</v>
      </c>
      <c r="AC23" s="5">
        <f t="shared" ca="1" si="2"/>
        <v>0</v>
      </c>
      <c r="AD23" s="5">
        <f t="shared" ca="1" si="3"/>
        <v>3.5719941657253266E-5</v>
      </c>
      <c r="AE23" s="5">
        <f t="shared" ca="1" si="4"/>
        <v>1.6024356246683916E-2</v>
      </c>
      <c r="AF23" s="5">
        <f t="shared" ca="1" si="5"/>
        <v>0</v>
      </c>
      <c r="AG23" s="5">
        <f t="shared" ca="1" si="6"/>
        <v>1.6024356246683916E-2</v>
      </c>
      <c r="AH23" s="5">
        <f t="shared" ca="1" si="7"/>
        <v>1.6024356246683916E-2</v>
      </c>
      <c r="AI23" s="5">
        <f t="shared" ca="1" si="8"/>
        <v>0</v>
      </c>
      <c r="AJ23" s="5">
        <f t="shared" ca="1" si="9"/>
        <v>0</v>
      </c>
      <c r="AK23" s="5">
        <f t="shared" ca="1" si="10"/>
        <v>1.6024356246683916E-2</v>
      </c>
      <c r="AM23" s="5">
        <f t="shared" ca="1" si="13"/>
        <v>8.0321080014320395E-2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1.7747900000000001</v>
      </c>
      <c r="F24" s="5">
        <v>219</v>
      </c>
      <c r="H24" s="5" t="s">
        <v>1</v>
      </c>
      <c r="I24" s="5">
        <v>50</v>
      </c>
      <c r="J24" s="5">
        <v>0.7</v>
      </c>
      <c r="L24" s="5">
        <f t="shared" ca="1" si="11"/>
        <v>1023.47059</v>
      </c>
      <c r="M24" s="5">
        <f t="shared" ca="1" si="11"/>
        <v>1020.05088</v>
      </c>
      <c r="N24" s="5">
        <f t="shared" ca="1" si="11"/>
        <v>1027.0408500000001</v>
      </c>
      <c r="O24" s="5">
        <f t="shared" ca="1" si="11"/>
        <v>1018.68905</v>
      </c>
      <c r="P24" s="5">
        <f t="shared" ca="1" si="11"/>
        <v>1015.4735899999999</v>
      </c>
      <c r="Q24" s="5">
        <f t="shared" ca="1" si="11"/>
        <v>1011.68252</v>
      </c>
      <c r="R24" s="5">
        <f t="shared" ca="1" si="11"/>
        <v>1024.3791799999999</v>
      </c>
      <c r="S24" s="5">
        <f t="shared" ca="1" si="11"/>
        <v>1014.31075</v>
      </c>
      <c r="T24" s="5">
        <f t="shared" ca="1" si="11"/>
        <v>1013.7746</v>
      </c>
      <c r="U24" s="5">
        <f t="shared" ca="1" si="11"/>
        <v>1019.69475</v>
      </c>
      <c r="W24" s="5">
        <f t="shared" ca="1" si="12"/>
        <v>1018.856676</v>
      </c>
      <c r="Y24" s="5">
        <f ca="1">Total!E24</f>
        <v>1005.95063</v>
      </c>
      <c r="AB24" s="5">
        <f t="shared" ca="1" si="1"/>
        <v>1.7416321912338748E-2</v>
      </c>
      <c r="AC24" s="5">
        <f t="shared" ca="1" si="2"/>
        <v>1.4016840965644565E-2</v>
      </c>
      <c r="AD24" s="5">
        <f t="shared" ca="1" si="3"/>
        <v>2.0965462291126596E-2</v>
      </c>
      <c r="AE24" s="5">
        <f t="shared" ca="1" si="4"/>
        <v>1.2663066774956844E-2</v>
      </c>
      <c r="AF24" s="5">
        <f t="shared" ca="1" si="5"/>
        <v>9.4666276017938353E-3</v>
      </c>
      <c r="AG24" s="5">
        <f t="shared" ca="1" si="6"/>
        <v>5.697983408986888E-3</v>
      </c>
      <c r="AH24" s="5">
        <f t="shared" ca="1" si="7"/>
        <v>1.8319537212278358E-2</v>
      </c>
      <c r="AI24" s="5">
        <f t="shared" ca="1" si="8"/>
        <v>8.31066629979638E-3</v>
      </c>
      <c r="AJ24" s="5">
        <f t="shared" ca="1" si="9"/>
        <v>7.777687857305599E-3</v>
      </c>
      <c r="AK24" s="5">
        <f t="shared" ca="1" si="10"/>
        <v>1.3662817627540978E-2</v>
      </c>
      <c r="AM24" s="5">
        <f t="shared" ca="1" si="13"/>
        <v>0.12829701195176879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1.77064</v>
      </c>
      <c r="F25" s="5">
        <v>230</v>
      </c>
      <c r="H25" s="5" t="s">
        <v>1</v>
      </c>
      <c r="I25" s="5">
        <v>50</v>
      </c>
      <c r="J25" s="5">
        <v>1</v>
      </c>
      <c r="L25" s="5">
        <f t="shared" ca="1" si="11"/>
        <v>997.68631000000005</v>
      </c>
      <c r="M25" s="5">
        <f t="shared" ca="1" si="11"/>
        <v>994.98486000000003</v>
      </c>
      <c r="N25" s="5">
        <f t="shared" ca="1" si="11"/>
        <v>994.73942999999997</v>
      </c>
      <c r="O25" s="5">
        <f t="shared" ca="1" si="11"/>
        <v>995.68601999999998</v>
      </c>
      <c r="P25" s="5">
        <f t="shared" ca="1" si="11"/>
        <v>997.68631000000005</v>
      </c>
      <c r="Q25" s="5">
        <f t="shared" ca="1" si="11"/>
        <v>996.29486999999995</v>
      </c>
      <c r="R25" s="5">
        <f t="shared" ca="1" si="11"/>
        <v>995.88630999999998</v>
      </c>
      <c r="S25" s="5">
        <f t="shared" ca="1" si="11"/>
        <v>997.68631000000005</v>
      </c>
      <c r="T25" s="5">
        <f t="shared" ca="1" si="11"/>
        <v>994.67666999999994</v>
      </c>
      <c r="U25" s="5">
        <f t="shared" ca="1" si="11"/>
        <v>996.14</v>
      </c>
      <c r="W25" s="5">
        <f t="shared" ca="1" si="12"/>
        <v>996.14670899999999</v>
      </c>
      <c r="Y25" s="5">
        <f ca="1">Total!E25</f>
        <v>990.69820000000004</v>
      </c>
      <c r="AB25" s="5">
        <f t="shared" ca="1" si="1"/>
        <v>7.0537223142224399E-3</v>
      </c>
      <c r="AC25" s="5">
        <f t="shared" ca="1" si="2"/>
        <v>4.32690803314267E-3</v>
      </c>
      <c r="AD25" s="5">
        <f t="shared" ca="1" si="3"/>
        <v>4.079173657527517E-3</v>
      </c>
      <c r="AE25" s="5">
        <f t="shared" ca="1" si="4"/>
        <v>5.0346513196450164E-3</v>
      </c>
      <c r="AF25" s="5">
        <f t="shared" ca="1" si="5"/>
        <v>7.0537223142224399E-3</v>
      </c>
      <c r="AG25" s="5">
        <f t="shared" ca="1" si="6"/>
        <v>5.6492178950157609E-3</v>
      </c>
      <c r="AH25" s="5">
        <f t="shared" ca="1" si="7"/>
        <v>5.2368218696672081E-3</v>
      </c>
      <c r="AI25" s="5">
        <f t="shared" ca="1" si="8"/>
        <v>7.0537223142224399E-3</v>
      </c>
      <c r="AJ25" s="5">
        <f t="shared" ca="1" si="9"/>
        <v>4.0158243953606681E-3</v>
      </c>
      <c r="AK25" s="5">
        <f t="shared" ca="1" si="10"/>
        <v>5.4928937995445473E-3</v>
      </c>
      <c r="AM25" s="5">
        <f t="shared" ca="1" si="13"/>
        <v>5.4996657912570704E-2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1.78064</v>
      </c>
      <c r="F26" s="5">
        <v>229</v>
      </c>
      <c r="H26" s="5" t="s">
        <v>1</v>
      </c>
      <c r="I26" s="5">
        <v>100</v>
      </c>
      <c r="J26" s="5">
        <v>0.4</v>
      </c>
      <c r="L26" s="5">
        <f t="shared" ca="1" si="11"/>
        <v>1822.69604</v>
      </c>
      <c r="M26" s="5">
        <f t="shared" ca="1" si="11"/>
        <v>1798.7682400000001</v>
      </c>
      <c r="N26" s="5">
        <f t="shared" ca="1" si="11"/>
        <v>1855.90912</v>
      </c>
      <c r="O26" s="5">
        <f t="shared" ca="1" si="11"/>
        <v>1821.518</v>
      </c>
      <c r="P26" s="5">
        <f t="shared" ca="1" si="11"/>
        <v>1800.56944</v>
      </c>
      <c r="Q26" s="5">
        <f t="shared" ca="1" si="11"/>
        <v>1816.16203</v>
      </c>
      <c r="R26" s="5">
        <f t="shared" ca="1" si="11"/>
        <v>1799.16454</v>
      </c>
      <c r="S26" s="5">
        <f t="shared" ca="1" si="11"/>
        <v>1807.3055400000001</v>
      </c>
      <c r="T26" s="5">
        <f t="shared" ca="1" si="11"/>
        <v>1801.9849400000001</v>
      </c>
      <c r="U26" s="5">
        <f t="shared" ca="1" si="11"/>
        <v>1855.9856</v>
      </c>
      <c r="W26" s="5">
        <f t="shared" ca="1" si="12"/>
        <v>1818.006349</v>
      </c>
      <c r="Y26" s="5">
        <f ca="1">Total!E26</f>
        <v>1786.3248599999999</v>
      </c>
      <c r="AB26" s="5">
        <f t="shared" ca="1" si="1"/>
        <v>2.0360898968847189E-2</v>
      </c>
      <c r="AC26" s="5">
        <f t="shared" ca="1" si="2"/>
        <v>6.9659110045639525E-3</v>
      </c>
      <c r="AD26" s="5">
        <f t="shared" ca="1" si="3"/>
        <v>3.8953866431663549E-2</v>
      </c>
      <c r="AE26" s="5">
        <f t="shared" ca="1" si="4"/>
        <v>1.9701422058247618E-2</v>
      </c>
      <c r="AF26" s="5">
        <f t="shared" ca="1" si="5"/>
        <v>7.9742382357036908E-3</v>
      </c>
      <c r="AG26" s="5">
        <f t="shared" ca="1" si="6"/>
        <v>1.6703104047938972E-2</v>
      </c>
      <c r="AH26" s="5">
        <f t="shared" ca="1" si="7"/>
        <v>7.1877631485238605E-3</v>
      </c>
      <c r="AI26" s="5">
        <f t="shared" ca="1" si="8"/>
        <v>1.1745164874433937E-2</v>
      </c>
      <c r="AJ26" s="5">
        <f t="shared" ca="1" si="9"/>
        <v>8.7666472939306843E-3</v>
      </c>
      <c r="AK26" s="5">
        <f t="shared" ca="1" si="10"/>
        <v>3.8996680592577118E-2</v>
      </c>
      <c r="AM26" s="5">
        <f t="shared" ca="1" si="13"/>
        <v>0.17735569665643053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1.7723100000000001</v>
      </c>
      <c r="F27" s="5">
        <v>229</v>
      </c>
      <c r="H27" s="5" t="s">
        <v>1</v>
      </c>
      <c r="I27" s="5">
        <v>100</v>
      </c>
      <c r="J27" s="5">
        <v>0.7</v>
      </c>
      <c r="L27" s="5">
        <f t="shared" ca="1" si="11"/>
        <v>1764.95667</v>
      </c>
      <c r="M27" s="5">
        <f t="shared" ca="1" si="11"/>
        <v>1771.40509</v>
      </c>
      <c r="N27" s="5">
        <f t="shared" ca="1" si="11"/>
        <v>1771.96667</v>
      </c>
      <c r="O27" s="5">
        <f t="shared" ca="1" si="11"/>
        <v>1765.77259</v>
      </c>
      <c r="P27" s="5">
        <f t="shared" ca="1" si="11"/>
        <v>1775.79999</v>
      </c>
      <c r="Q27" s="5">
        <f t="shared" ca="1" si="11"/>
        <v>1769.6566700000001</v>
      </c>
      <c r="R27" s="5">
        <f t="shared" ca="1" si="11"/>
        <v>1763.2393099999999</v>
      </c>
      <c r="S27" s="5">
        <f t="shared" ca="1" si="11"/>
        <v>1767.6536000000001</v>
      </c>
      <c r="T27" s="5">
        <f t="shared" ca="1" si="11"/>
        <v>1773.95497</v>
      </c>
      <c r="U27" s="5">
        <f t="shared" ca="1" si="11"/>
        <v>1762.5279800000001</v>
      </c>
      <c r="W27" s="5">
        <f t="shared" ca="1" si="12"/>
        <v>1768.6933539999998</v>
      </c>
      <c r="Y27" s="5">
        <f ca="1">Total!E27</f>
        <v>1761.02206</v>
      </c>
      <c r="AB27" s="5">
        <f t="shared" ca="1" si="1"/>
        <v>2.2342763837949996E-3</v>
      </c>
      <c r="AC27" s="5">
        <f t="shared" ca="1" si="2"/>
        <v>5.8960249481485559E-3</v>
      </c>
      <c r="AD27" s="5">
        <f t="shared" ca="1" si="3"/>
        <v>6.2149193065758708E-3</v>
      </c>
      <c r="AE27" s="5">
        <f t="shared" ca="1" si="4"/>
        <v>2.6975982345161685E-3</v>
      </c>
      <c r="AF27" s="5">
        <f t="shared" ca="1" si="5"/>
        <v>8.3916779554709092E-3</v>
      </c>
      <c r="AG27" s="5">
        <f t="shared" ca="1" si="6"/>
        <v>4.9031810538478241E-3</v>
      </c>
      <c r="AH27" s="5">
        <f t="shared" ca="1" si="7"/>
        <v>1.2590699743987997E-3</v>
      </c>
      <c r="AI27" s="5">
        <f t="shared" ca="1" si="8"/>
        <v>3.7657336331153547E-3</v>
      </c>
      <c r="AJ27" s="5">
        <f t="shared" ca="1" si="9"/>
        <v>7.3439795524196851E-3</v>
      </c>
      <c r="AK27" s="5">
        <f t="shared" ca="1" si="10"/>
        <v>8.5513977036724914E-4</v>
      </c>
      <c r="AM27" s="5">
        <f t="shared" ca="1" si="13"/>
        <v>4.3561600812655421E-2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1.77386</v>
      </c>
      <c r="F28" s="5">
        <v>232</v>
      </c>
      <c r="H28" s="5" t="s">
        <v>1</v>
      </c>
      <c r="I28" s="5">
        <v>100</v>
      </c>
      <c r="J28" s="5">
        <v>1</v>
      </c>
      <c r="L28" s="5">
        <f t="shared" ca="1" si="11"/>
        <v>1757.4400800000001</v>
      </c>
      <c r="M28" s="5">
        <f t="shared" ca="1" si="11"/>
        <v>1758.41</v>
      </c>
      <c r="N28" s="5">
        <f t="shared" ca="1" si="11"/>
        <v>1756.07</v>
      </c>
      <c r="O28" s="5">
        <f t="shared" ca="1" si="11"/>
        <v>1756.42617</v>
      </c>
      <c r="P28" s="5">
        <f t="shared" ca="1" si="11"/>
        <v>1758.70081</v>
      </c>
      <c r="Q28" s="5">
        <f t="shared" ca="1" si="11"/>
        <v>1757.27</v>
      </c>
      <c r="R28" s="5">
        <f t="shared" ca="1" si="11"/>
        <v>1757.9233300000001</v>
      </c>
      <c r="S28" s="5">
        <f t="shared" ca="1" si="11"/>
        <v>1755.8333299999999</v>
      </c>
      <c r="T28" s="5">
        <f t="shared" ca="1" si="11"/>
        <v>1757.3166699999999</v>
      </c>
      <c r="U28" s="5">
        <f t="shared" ca="1" si="11"/>
        <v>1760.7261699999999</v>
      </c>
      <c r="W28" s="5">
        <f t="shared" ca="1" si="12"/>
        <v>1757.6116559999998</v>
      </c>
      <c r="Y28" s="5">
        <f ca="1">Total!E28</f>
        <v>1753.1198199999999</v>
      </c>
      <c r="AB28" s="5">
        <f t="shared" ca="1" si="1"/>
        <v>2.4643267109946826E-3</v>
      </c>
      <c r="AC28" s="5">
        <f t="shared" ca="1" si="2"/>
        <v>3.0175803956173351E-3</v>
      </c>
      <c r="AD28" s="5">
        <f t="shared" ca="1" si="3"/>
        <v>1.6828170934717092E-3</v>
      </c>
      <c r="AE28" s="5">
        <f t="shared" ca="1" si="4"/>
        <v>1.8859806171149592E-3</v>
      </c>
      <c r="AF28" s="5">
        <f t="shared" ca="1" si="5"/>
        <v>3.1834618126672918E-3</v>
      </c>
      <c r="AG28" s="5">
        <f t="shared" ca="1" si="6"/>
        <v>2.3673110945720138E-3</v>
      </c>
      <c r="AH28" s="5">
        <f t="shared" ca="1" si="7"/>
        <v>2.7399781493544395E-3</v>
      </c>
      <c r="AI28" s="5">
        <f t="shared" ca="1" si="8"/>
        <v>1.5478177641047046E-3</v>
      </c>
      <c r="AJ28" s="5">
        <f t="shared" ca="1" si="9"/>
        <v>2.3939322070981096E-3</v>
      </c>
      <c r="AK28" s="5">
        <f t="shared" ca="1" si="10"/>
        <v>4.3387507877242649E-3</v>
      </c>
      <c r="AM28" s="5">
        <f t="shared" ca="1" si="13"/>
        <v>2.562195663271951E-2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1.76952</v>
      </c>
      <c r="F29" s="5">
        <v>218</v>
      </c>
      <c r="H29" s="5" t="s">
        <v>0</v>
      </c>
      <c r="I29" s="5">
        <v>25</v>
      </c>
      <c r="J29" s="5">
        <v>0.4</v>
      </c>
      <c r="L29" s="5">
        <f t="shared" ca="1" si="11"/>
        <v>42.003050000000002</v>
      </c>
      <c r="M29" s="5">
        <f t="shared" ca="1" si="11"/>
        <v>42.424349999999997</v>
      </c>
      <c r="N29" s="5">
        <f t="shared" ca="1" si="11"/>
        <v>41.318849999999998</v>
      </c>
      <c r="O29" s="5">
        <f t="shared" ca="1" si="11"/>
        <v>42.424349999999997</v>
      </c>
      <c r="P29" s="5">
        <f t="shared" ca="1" si="11"/>
        <v>42.424349999999997</v>
      </c>
      <c r="Q29" s="5">
        <f t="shared" ca="1" si="11"/>
        <v>41.318849999999998</v>
      </c>
      <c r="R29" s="5">
        <f t="shared" ca="1" si="11"/>
        <v>41.318849999999998</v>
      </c>
      <c r="S29" s="5">
        <f t="shared" ca="1" si="11"/>
        <v>42.424349999999997</v>
      </c>
      <c r="T29" s="5">
        <f t="shared" ca="1" si="11"/>
        <v>42.424349999999997</v>
      </c>
      <c r="U29" s="5">
        <f t="shared" ca="1" si="11"/>
        <v>42.424349999999997</v>
      </c>
      <c r="W29" s="5">
        <f t="shared" ca="1" si="12"/>
        <v>42.050570000000008</v>
      </c>
      <c r="Y29" s="5">
        <f ca="1">Total!E29</f>
        <v>40.897550000000003</v>
      </c>
      <c r="AB29" s="5">
        <f t="shared" ca="1" si="1"/>
        <v>2.703095906723017E-2</v>
      </c>
      <c r="AC29" s="5">
        <f t="shared" ca="1" si="2"/>
        <v>3.7332309637129711E-2</v>
      </c>
      <c r="AD29" s="5">
        <f t="shared" ca="1" si="3"/>
        <v>1.0301350569899543E-2</v>
      </c>
      <c r="AE29" s="5">
        <f t="shared" ca="1" si="4"/>
        <v>3.7332309637129711E-2</v>
      </c>
      <c r="AF29" s="5">
        <f t="shared" ca="1" si="5"/>
        <v>3.7332309637129711E-2</v>
      </c>
      <c r="AG29" s="5">
        <f t="shared" ca="1" si="6"/>
        <v>1.0301350569899543E-2</v>
      </c>
      <c r="AH29" s="5">
        <f t="shared" ca="1" si="7"/>
        <v>1.0301350569899543E-2</v>
      </c>
      <c r="AI29" s="5">
        <f t="shared" ca="1" si="8"/>
        <v>3.7332309637129711E-2</v>
      </c>
      <c r="AJ29" s="5">
        <f t="shared" ca="1" si="9"/>
        <v>3.7332309637129711E-2</v>
      </c>
      <c r="AK29" s="5">
        <f t="shared" ca="1" si="10"/>
        <v>3.7332309637129711E-2</v>
      </c>
      <c r="AM29" s="5">
        <f t="shared" ca="1" si="13"/>
        <v>0.28192886859970706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1.7747200000000001</v>
      </c>
      <c r="F30" s="5">
        <v>232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1"/>
        <v>28.65436</v>
      </c>
      <c r="N30" s="5">
        <f t="shared" ca="1" si="11"/>
        <v>28.65436</v>
      </c>
      <c r="O30" s="5">
        <f t="shared" ca="1" si="11"/>
        <v>28.664359999999999</v>
      </c>
      <c r="P30" s="5">
        <f t="shared" ca="1" si="11"/>
        <v>28.65436</v>
      </c>
      <c r="Q30" s="5">
        <f t="shared" ca="1" si="11"/>
        <v>28.65624</v>
      </c>
      <c r="R30" s="5">
        <f t="shared" ca="1" si="11"/>
        <v>28.65436</v>
      </c>
      <c r="S30" s="5">
        <f t="shared" ca="1" si="11"/>
        <v>28.65436</v>
      </c>
      <c r="T30" s="5">
        <f t="shared" ca="1" si="11"/>
        <v>28.682030000000001</v>
      </c>
      <c r="U30" s="5">
        <f t="shared" ca="1" si="11"/>
        <v>28.65436</v>
      </c>
      <c r="W30" s="5">
        <f t="shared" ca="1" si="12"/>
        <v>28.658314999999998</v>
      </c>
      <c r="Y30" s="5">
        <f ca="1">Total!E30</f>
        <v>28.65436</v>
      </c>
      <c r="AB30" s="5">
        <f t="shared" ca="1" si="1"/>
        <v>0</v>
      </c>
      <c r="AC30" s="5">
        <f t="shared" ca="1" si="2"/>
        <v>0</v>
      </c>
      <c r="AD30" s="5">
        <f t="shared" ca="1" si="3"/>
        <v>0</v>
      </c>
      <c r="AE30" s="5">
        <f t="shared" ca="1" si="4"/>
        <v>3.489870302459385E-4</v>
      </c>
      <c r="AF30" s="5">
        <f t="shared" ca="1" si="5"/>
        <v>0</v>
      </c>
      <c r="AG30" s="5">
        <f t="shared" ca="1" si="6"/>
        <v>6.5609561686245368E-5</v>
      </c>
      <c r="AH30" s="5">
        <f t="shared" ca="1" si="7"/>
        <v>0</v>
      </c>
      <c r="AI30" s="5">
        <f t="shared" ca="1" si="8"/>
        <v>0</v>
      </c>
      <c r="AJ30" s="5">
        <f t="shared" ca="1" si="9"/>
        <v>9.6564711269072235E-4</v>
      </c>
      <c r="AK30" s="5">
        <f t="shared" ca="1" si="10"/>
        <v>0</v>
      </c>
      <c r="AM30" s="5">
        <f t="shared" ca="1" si="13"/>
        <v>1.3802437046229062E-3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1.2001299999999999</v>
      </c>
      <c r="F31" s="5">
        <v>57</v>
      </c>
      <c r="H31" s="5" t="s">
        <v>0</v>
      </c>
      <c r="I31" s="5">
        <v>25</v>
      </c>
      <c r="J31" s="5">
        <v>1</v>
      </c>
      <c r="L31" s="5">
        <f t="shared" ca="1" si="11"/>
        <v>28.504100000000001</v>
      </c>
      <c r="M31" s="5">
        <f t="shared" ca="1" si="11"/>
        <v>28.592030000000001</v>
      </c>
      <c r="N31" s="5">
        <f t="shared" ca="1" si="11"/>
        <v>28.592030000000001</v>
      </c>
      <c r="O31" s="5">
        <f t="shared" ca="1" si="11"/>
        <v>28.587009999999999</v>
      </c>
      <c r="P31" s="5">
        <f t="shared" ca="1" si="11"/>
        <v>28.602029999999999</v>
      </c>
      <c r="Q31" s="5">
        <f t="shared" ca="1" si="11"/>
        <v>28.602029999999999</v>
      </c>
      <c r="R31" s="5">
        <f t="shared" ca="1" si="11"/>
        <v>28.60624</v>
      </c>
      <c r="S31" s="5">
        <f t="shared" ca="1" si="11"/>
        <v>28.60624</v>
      </c>
      <c r="T31" s="5">
        <f t="shared" ca="1" si="11"/>
        <v>28.504100000000001</v>
      </c>
      <c r="U31" s="5">
        <f t="shared" ca="1" si="11"/>
        <v>28.602029999999999</v>
      </c>
      <c r="W31" s="5">
        <f t="shared" ca="1" si="12"/>
        <v>28.579784000000007</v>
      </c>
      <c r="Y31" s="5">
        <f ca="1">Total!E31</f>
        <v>28.504100000000001</v>
      </c>
      <c r="AB31" s="5">
        <f t="shared" ca="1" si="1"/>
        <v>0</v>
      </c>
      <c r="AC31" s="5">
        <f t="shared" ca="1" si="2"/>
        <v>3.0848193768615766E-3</v>
      </c>
      <c r="AD31" s="5">
        <f t="shared" ca="1" si="3"/>
        <v>3.0848193768615766E-3</v>
      </c>
      <c r="AE31" s="5">
        <f t="shared" ca="1" si="4"/>
        <v>2.9087043618285882E-3</v>
      </c>
      <c r="AF31" s="5">
        <f t="shared" ca="1" si="5"/>
        <v>3.4356461000346642E-3</v>
      </c>
      <c r="AG31" s="5">
        <f t="shared" ca="1" si="6"/>
        <v>3.4356461000346642E-3</v>
      </c>
      <c r="AH31" s="5">
        <f t="shared" ca="1" si="7"/>
        <v>3.5833441504905805E-3</v>
      </c>
      <c r="AI31" s="5">
        <f t="shared" ca="1" si="8"/>
        <v>3.5833441504905805E-3</v>
      </c>
      <c r="AJ31" s="5">
        <f t="shared" ca="1" si="9"/>
        <v>0</v>
      </c>
      <c r="AK31" s="5">
        <f t="shared" ca="1" si="10"/>
        <v>3.4356461000346642E-3</v>
      </c>
      <c r="AM31" s="5">
        <f t="shared" ca="1" si="13"/>
        <v>2.6551969716636897E-2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1.2097800000000001</v>
      </c>
      <c r="F32" s="5">
        <v>54</v>
      </c>
      <c r="H32" s="5" t="s">
        <v>0</v>
      </c>
      <c r="I32" s="5">
        <v>50</v>
      </c>
      <c r="J32" s="5">
        <v>0.4</v>
      </c>
      <c r="L32" s="5">
        <f t="shared" ca="1" si="11"/>
        <v>59.289859999999997</v>
      </c>
      <c r="M32" s="5">
        <f t="shared" ca="1" si="11"/>
        <v>59.129510000000003</v>
      </c>
      <c r="N32" s="5">
        <f t="shared" ca="1" si="11"/>
        <v>59.079509999999999</v>
      </c>
      <c r="O32" s="5">
        <f t="shared" ca="1" si="11"/>
        <v>58.266179999999999</v>
      </c>
      <c r="P32" s="5">
        <f t="shared" ca="1" si="11"/>
        <v>59.062849999999997</v>
      </c>
      <c r="Q32" s="5">
        <f t="shared" ca="1" si="11"/>
        <v>59.279510000000002</v>
      </c>
      <c r="R32" s="5">
        <f t="shared" ca="1" si="11"/>
        <v>57.662329999999997</v>
      </c>
      <c r="S32" s="5">
        <f t="shared" ca="1" si="11"/>
        <v>58.81709</v>
      </c>
      <c r="T32" s="5">
        <f t="shared" ca="1" si="11"/>
        <v>56.899569999999997</v>
      </c>
      <c r="U32" s="5">
        <f t="shared" ca="1" si="11"/>
        <v>58.911859999999997</v>
      </c>
      <c r="W32" s="5">
        <f t="shared" ca="1" si="12"/>
        <v>58.639827000000004</v>
      </c>
      <c r="Y32" s="5">
        <f ca="1">Total!E32</f>
        <v>56.511339999999997</v>
      </c>
      <c r="AB32" s="5">
        <f t="shared" ca="1" si="1"/>
        <v>4.9167476828544512E-2</v>
      </c>
      <c r="AC32" s="5">
        <f t="shared" ca="1" si="2"/>
        <v>4.6329993236755782E-2</v>
      </c>
      <c r="AD32" s="5">
        <f t="shared" ca="1" si="3"/>
        <v>4.5445215066568977E-2</v>
      </c>
      <c r="AE32" s="5">
        <f t="shared" ca="1" si="4"/>
        <v>3.1052882483409552E-2</v>
      </c>
      <c r="AF32" s="5">
        <f t="shared" ca="1" si="5"/>
        <v>4.5150406980262729E-2</v>
      </c>
      <c r="AG32" s="5">
        <f t="shared" ca="1" si="6"/>
        <v>4.8984327747315939E-2</v>
      </c>
      <c r="AH32" s="5">
        <f t="shared" ca="1" si="7"/>
        <v>2.0367416522064426E-2</v>
      </c>
      <c r="AI32" s="5">
        <f t="shared" ca="1" si="8"/>
        <v>4.0801545318160985E-2</v>
      </c>
      <c r="AJ32" s="5">
        <f t="shared" ca="1" si="9"/>
        <v>6.8699485802318633E-3</v>
      </c>
      <c r="AK32" s="5">
        <f t="shared" ca="1" si="10"/>
        <v>4.2478553861932847E-2</v>
      </c>
      <c r="AM32" s="5">
        <f t="shared" ca="1" si="13"/>
        <v>0.37664776662524763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1.2064299999999999</v>
      </c>
      <c r="F33" s="5">
        <v>59</v>
      </c>
      <c r="H33" s="5" t="s">
        <v>0</v>
      </c>
      <c r="I33" s="5">
        <v>50</v>
      </c>
      <c r="J33" s="5">
        <v>0.7</v>
      </c>
      <c r="L33" s="5">
        <f t="shared" ca="1" si="11"/>
        <v>53.385599999999997</v>
      </c>
      <c r="M33" s="5">
        <f t="shared" ca="1" si="11"/>
        <v>53.445520000000002</v>
      </c>
      <c r="N33" s="5">
        <f t="shared" ca="1" si="11"/>
        <v>54.217579999999998</v>
      </c>
      <c r="O33" s="5">
        <f t="shared" ca="1" si="11"/>
        <v>53.494979999999998</v>
      </c>
      <c r="P33" s="5">
        <f t="shared" ca="1" si="11"/>
        <v>53.515070000000001</v>
      </c>
      <c r="Q33" s="5">
        <f t="shared" ca="1" si="11"/>
        <v>53.474980000000002</v>
      </c>
      <c r="R33" s="5">
        <f t="shared" ca="1" si="11"/>
        <v>53.802750000000003</v>
      </c>
      <c r="S33" s="5">
        <f t="shared" ca="1" si="11"/>
        <v>53.544980000000002</v>
      </c>
      <c r="T33" s="5">
        <f t="shared" ca="1" si="11"/>
        <v>53.622059999999998</v>
      </c>
      <c r="U33" s="5">
        <f t="shared" ca="1" si="11"/>
        <v>53.59498</v>
      </c>
      <c r="W33" s="5">
        <f t="shared" ca="1" si="12"/>
        <v>53.609849999999994</v>
      </c>
      <c r="Y33" s="5">
        <f ca="1">Total!E33</f>
        <v>53.115070000000003</v>
      </c>
      <c r="AB33" s="5">
        <f t="shared" ca="1" si="1"/>
        <v>5.093281435946403E-3</v>
      </c>
      <c r="AC33" s="5">
        <f t="shared" ca="1" si="2"/>
        <v>6.2213981832274536E-3</v>
      </c>
      <c r="AD33" s="5">
        <f t="shared" ca="1" si="3"/>
        <v>2.0757009263096052E-2</v>
      </c>
      <c r="AE33" s="5">
        <f t="shared" ca="1" si="4"/>
        <v>7.1525840029956714E-3</v>
      </c>
      <c r="AF33" s="5">
        <f t="shared" ca="1" si="5"/>
        <v>7.5308194077499764E-3</v>
      </c>
      <c r="AG33" s="5">
        <f t="shared" ca="1" si="6"/>
        <v>6.7760430326082458E-3</v>
      </c>
      <c r="AH33" s="5">
        <f t="shared" ca="1" si="7"/>
        <v>1.2946984725803811E-2</v>
      </c>
      <c r="AI33" s="5">
        <f t="shared" ca="1" si="8"/>
        <v>8.0939364289645023E-3</v>
      </c>
      <c r="AJ33" s="5">
        <f t="shared" ca="1" si="9"/>
        <v>9.545125328837837E-3</v>
      </c>
      <c r="AK33" s="5">
        <f t="shared" ca="1" si="10"/>
        <v>9.0352888549331996E-3</v>
      </c>
      <c r="AM33" s="5">
        <f t="shared" ca="1" si="13"/>
        <v>9.3152470664163142E-2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1.20137</v>
      </c>
      <c r="F34" s="5">
        <v>58</v>
      </c>
      <c r="H34" s="5" t="s">
        <v>0</v>
      </c>
      <c r="I34" s="5">
        <v>50</v>
      </c>
      <c r="J34" s="5">
        <v>1</v>
      </c>
      <c r="L34" s="5">
        <f t="shared" ca="1" si="11"/>
        <v>53.53877</v>
      </c>
      <c r="M34" s="5">
        <f t="shared" ca="1" si="11"/>
        <v>53.097569999999997</v>
      </c>
      <c r="N34" s="5">
        <f t="shared" ca="1" si="11"/>
        <v>53.38749</v>
      </c>
      <c r="O34" s="5">
        <f t="shared" ca="1" si="11"/>
        <v>53.687489999999997</v>
      </c>
      <c r="P34" s="5">
        <f t="shared" ca="1" si="11"/>
        <v>53.20749</v>
      </c>
      <c r="Q34" s="5">
        <f t="shared" ca="1" si="11"/>
        <v>53.147489999999998</v>
      </c>
      <c r="R34" s="5">
        <f t="shared" ca="1" si="11"/>
        <v>53.169060000000002</v>
      </c>
      <c r="S34" s="5">
        <f t="shared" ca="1" si="11"/>
        <v>53.297490000000003</v>
      </c>
      <c r="T34" s="5">
        <f t="shared" ca="1" si="11"/>
        <v>53.247570000000003</v>
      </c>
      <c r="U34" s="5">
        <f t="shared" ca="1" si="11"/>
        <v>53.552329999999998</v>
      </c>
      <c r="W34" s="5">
        <f t="shared" ca="1" si="12"/>
        <v>53.333274999999993</v>
      </c>
      <c r="Y34" s="5">
        <f ca="1">Total!E34</f>
        <v>53.003740000000001</v>
      </c>
      <c r="AB34" s="5">
        <f t="shared" ca="1" si="1"/>
        <v>1.0094193353148269E-2</v>
      </c>
      <c r="AC34" s="5">
        <f t="shared" ca="1" si="2"/>
        <v>1.7702524387901112E-3</v>
      </c>
      <c r="AD34" s="5">
        <f t="shared" ca="1" si="3"/>
        <v>7.2400551357319149E-3</v>
      </c>
      <c r="AE34" s="5">
        <f t="shared" ca="1" si="4"/>
        <v>1.2900033092004382E-2</v>
      </c>
      <c r="AF34" s="5">
        <f t="shared" ca="1" si="5"/>
        <v>3.8440683619684088E-3</v>
      </c>
      <c r="AG34" s="5">
        <f t="shared" ca="1" si="6"/>
        <v>2.7120727707138619E-3</v>
      </c>
      <c r="AH34" s="5">
        <f t="shared" ca="1" si="7"/>
        <v>3.1190251857699334E-3</v>
      </c>
      <c r="AI34" s="5">
        <f t="shared" ca="1" si="8"/>
        <v>5.5420617488502293E-3</v>
      </c>
      <c r="AJ34" s="5">
        <f t="shared" ca="1" si="9"/>
        <v>4.6002414169264783E-3</v>
      </c>
      <c r="AK34" s="5">
        <f t="shared" ca="1" si="10"/>
        <v>1.0350024356771754E-2</v>
      </c>
      <c r="AM34" s="5">
        <f t="shared" ca="1" si="13"/>
        <v>6.2172027860675341E-2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1.20845</v>
      </c>
      <c r="F35" s="5">
        <v>58</v>
      </c>
      <c r="H35" s="5" t="s">
        <v>0</v>
      </c>
      <c r="I35" s="5">
        <v>100</v>
      </c>
      <c r="J35" s="5">
        <v>0.4</v>
      </c>
      <c r="L35" s="5">
        <f t="shared" ca="1" si="11"/>
        <v>148.18866</v>
      </c>
      <c r="M35" s="5">
        <f t="shared" ca="1" si="11"/>
        <v>148.23616999999999</v>
      </c>
      <c r="N35" s="5">
        <f t="shared" ca="1" si="11"/>
        <v>148.18414000000001</v>
      </c>
      <c r="O35" s="5">
        <f t="shared" ca="1" si="11"/>
        <v>148.14366000000001</v>
      </c>
      <c r="P35" s="5">
        <f t="shared" ca="1" si="11"/>
        <v>148.20735999999999</v>
      </c>
      <c r="Q35" s="5">
        <f t="shared" ca="1" si="11"/>
        <v>148.33015</v>
      </c>
      <c r="R35" s="5">
        <f t="shared" ca="1" si="11"/>
        <v>148.35337999999999</v>
      </c>
      <c r="S35" s="5">
        <f t="shared" ca="1" si="11"/>
        <v>148.17283</v>
      </c>
      <c r="T35" s="5">
        <f t="shared" ca="1" si="11"/>
        <v>148.23365999999999</v>
      </c>
      <c r="U35" s="5">
        <f t="shared" ca="1" si="11"/>
        <v>148.12818999999999</v>
      </c>
      <c r="W35" s="5">
        <f t="shared" ca="1" si="12"/>
        <v>148.21781999999999</v>
      </c>
      <c r="Y35" s="5">
        <f ca="1">Total!E35</f>
        <v>147.96312</v>
      </c>
      <c r="AB35" s="5">
        <f t="shared" ca="1" si="1"/>
        <v>1.5242987576903973E-3</v>
      </c>
      <c r="AC35" s="5">
        <f t="shared" ca="1" si="2"/>
        <v>1.845392284239367E-3</v>
      </c>
      <c r="AD35" s="5">
        <f t="shared" ca="1" si="3"/>
        <v>1.4937506048805268E-3</v>
      </c>
      <c r="AE35" s="5">
        <f t="shared" ca="1" si="4"/>
        <v>1.2201689177682093E-3</v>
      </c>
      <c r="AF35" s="5">
        <f t="shared" ca="1" si="5"/>
        <v>1.650681602280289E-3</v>
      </c>
      <c r="AG35" s="5">
        <f t="shared" ca="1" si="6"/>
        <v>2.4805505588149247E-3</v>
      </c>
      <c r="AH35" s="5">
        <f t="shared" ca="1" si="7"/>
        <v>2.6375491406235799E-3</v>
      </c>
      <c r="AI35" s="5">
        <f t="shared" ca="1" si="8"/>
        <v>1.4173126384466694E-3</v>
      </c>
      <c r="AJ35" s="5">
        <f t="shared" ca="1" si="9"/>
        <v>1.8284285976125853E-3</v>
      </c>
      <c r="AK35" s="5">
        <f t="shared" ca="1" si="10"/>
        <v>1.1156158372436715E-3</v>
      </c>
      <c r="AM35" s="5">
        <f t="shared" ca="1" si="13"/>
        <v>1.7213748939600218E-2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1.2113</v>
      </c>
      <c r="F36" s="5">
        <v>59</v>
      </c>
      <c r="H36" s="5" t="s">
        <v>0</v>
      </c>
      <c r="I36" s="5">
        <v>100</v>
      </c>
      <c r="J36" s="5">
        <v>0.7</v>
      </c>
      <c r="L36" s="5">
        <f t="shared" ca="1" si="11"/>
        <v>108.59198000000001</v>
      </c>
      <c r="M36" s="5">
        <f t="shared" ca="1" si="11"/>
        <v>107.84837</v>
      </c>
      <c r="N36" s="5">
        <f t="shared" ca="1" si="11"/>
        <v>108.05512</v>
      </c>
      <c r="O36" s="5">
        <f t="shared" ca="1" si="11"/>
        <v>108.00663</v>
      </c>
      <c r="P36" s="5">
        <f t="shared" ca="1" si="11"/>
        <v>108.6995</v>
      </c>
      <c r="Q36" s="5">
        <f t="shared" ca="1" si="11"/>
        <v>107.87147</v>
      </c>
      <c r="R36" s="5">
        <f t="shared" ca="1" si="11"/>
        <v>107.62163</v>
      </c>
      <c r="S36" s="5">
        <f t="shared" ca="1" si="11"/>
        <v>108.63516</v>
      </c>
      <c r="T36" s="5">
        <f t="shared" ca="1" si="11"/>
        <v>107.85337</v>
      </c>
      <c r="U36" s="5">
        <f t="shared" ca="1" si="11"/>
        <v>108.2383</v>
      </c>
      <c r="W36" s="5">
        <f t="shared" ca="1" si="12"/>
        <v>108.14215300000004</v>
      </c>
      <c r="Y36" s="5">
        <f ca="1">Total!E36</f>
        <v>107.28163000000001</v>
      </c>
      <c r="AB36" s="5">
        <f t="shared" ca="1" si="1"/>
        <v>1.2214113450737089E-2</v>
      </c>
      <c r="AC36" s="5">
        <f t="shared" ca="1" si="2"/>
        <v>5.2827310696155136E-3</v>
      </c>
      <c r="AD36" s="5">
        <f t="shared" ca="1" si="3"/>
        <v>7.2099016392647586E-3</v>
      </c>
      <c r="AE36" s="5">
        <f t="shared" ca="1" si="4"/>
        <v>6.7579137267022721E-3</v>
      </c>
      <c r="AF36" s="5">
        <f t="shared" ca="1" si="5"/>
        <v>1.3216335359557768E-2</v>
      </c>
      <c r="AG36" s="5">
        <f t="shared" ca="1" si="6"/>
        <v>5.4980521828387136E-3</v>
      </c>
      <c r="AH36" s="5">
        <f t="shared" ca="1" si="7"/>
        <v>3.1692285063154722E-3</v>
      </c>
      <c r="AI36" s="5">
        <f t="shared" ca="1" si="8"/>
        <v>1.2616605471039096E-2</v>
      </c>
      <c r="AJ36" s="5">
        <f t="shared" ca="1" si="9"/>
        <v>5.3293373711789356E-3</v>
      </c>
      <c r="AK36" s="5">
        <f t="shared" ca="1" si="10"/>
        <v>8.9173701033437719E-3</v>
      </c>
      <c r="AM36" s="5">
        <f t="shared" ca="1" si="13"/>
        <v>8.021158888059339E-2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1.2138899999999999</v>
      </c>
      <c r="F37" s="5">
        <v>60</v>
      </c>
      <c r="H37" s="5" t="s">
        <v>0</v>
      </c>
      <c r="I37" s="5">
        <v>100</v>
      </c>
      <c r="J37" s="5">
        <v>1</v>
      </c>
      <c r="L37" s="5">
        <f t="shared" ca="1" si="11"/>
        <v>103.66775</v>
      </c>
      <c r="M37" s="5">
        <f t="shared" ca="1" si="11"/>
        <v>103.93753</v>
      </c>
      <c r="N37" s="5">
        <f t="shared" ca="1" si="11"/>
        <v>104.01336999999999</v>
      </c>
      <c r="O37" s="5">
        <f t="shared" ca="1" si="11"/>
        <v>104.13</v>
      </c>
      <c r="P37" s="5">
        <f t="shared" ca="1" si="11"/>
        <v>103.9808</v>
      </c>
      <c r="Q37" s="5">
        <f t="shared" ca="1" si="11"/>
        <v>104.16913</v>
      </c>
      <c r="R37" s="5">
        <f t="shared" ca="1" si="11"/>
        <v>103.8967</v>
      </c>
      <c r="S37" s="5">
        <f t="shared" ca="1" si="11"/>
        <v>104.0458</v>
      </c>
      <c r="T37" s="5">
        <f t="shared" ca="1" si="11"/>
        <v>103.6433</v>
      </c>
      <c r="U37" s="5">
        <f t="shared" ca="1" si="11"/>
        <v>103.92919000000001</v>
      </c>
      <c r="W37" s="5">
        <f t="shared" ca="1" si="12"/>
        <v>103.941357</v>
      </c>
      <c r="Y37" s="5">
        <f ca="1">Total!E37</f>
        <v>103.21266</v>
      </c>
      <c r="AB37" s="5">
        <f t="shared" ca="1" si="1"/>
        <v>4.4092459200256876E-3</v>
      </c>
      <c r="AC37" s="5">
        <f t="shared" ca="1" si="2"/>
        <v>7.0230725571843195E-3</v>
      </c>
      <c r="AD37" s="5">
        <f t="shared" ca="1" si="3"/>
        <v>7.757866137739257E-3</v>
      </c>
      <c r="AE37" s="5">
        <f t="shared" ca="1" si="4"/>
        <v>8.8878631749244319E-3</v>
      </c>
      <c r="AF37" s="5">
        <f t="shared" ca="1" si="5"/>
        <v>7.4423040739382404E-3</v>
      </c>
      <c r="AG37" s="5">
        <f t="shared" ca="1" si="6"/>
        <v>9.2669833332460951E-3</v>
      </c>
      <c r="AH37" s="5">
        <f t="shared" ca="1" si="7"/>
        <v>6.627481551197266E-3</v>
      </c>
      <c r="AI37" s="5">
        <f t="shared" ca="1" si="8"/>
        <v>8.0720717787914793E-3</v>
      </c>
      <c r="AJ37" s="5">
        <f t="shared" ca="1" si="9"/>
        <v>4.1723563756616367E-3</v>
      </c>
      <c r="AK37" s="5">
        <f t="shared" ca="1" si="10"/>
        <v>6.9422685162847837E-3</v>
      </c>
      <c r="AM37" s="5">
        <f t="shared" ca="1" si="13"/>
        <v>7.0601513418993206E-2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1.2075100000000001</v>
      </c>
      <c r="F38" s="5">
        <v>58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1.2023999999999999</v>
      </c>
      <c r="F39" s="5">
        <v>58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1.2073700000000001</v>
      </c>
      <c r="F40" s="5">
        <v>59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2.8952100000000001</v>
      </c>
      <c r="F41" s="5">
        <v>160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2.9017599999999999</v>
      </c>
      <c r="F42" s="5">
        <v>164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2.9027599999999998</v>
      </c>
      <c r="F43" s="5">
        <v>167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2.903</v>
      </c>
      <c r="F44" s="5">
        <v>163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2.89764</v>
      </c>
      <c r="F45" s="5">
        <v>160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2.8903099999999999</v>
      </c>
      <c r="F46" s="5">
        <v>167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2.8899499999999998</v>
      </c>
      <c r="F47" s="5">
        <v>162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2.9017900000000001</v>
      </c>
      <c r="F48" s="5">
        <v>162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2.8925100000000001</v>
      </c>
      <c r="F49" s="5">
        <v>163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2.8892099999999998</v>
      </c>
      <c r="F50" s="5">
        <v>161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181.64518000000001</v>
      </c>
      <c r="E51" s="5">
        <v>4.6037999999999997</v>
      </c>
      <c r="F51" s="5">
        <v>250</v>
      </c>
    </row>
    <row r="52" spans="1:6" x14ac:dyDescent="0.25">
      <c r="A52" s="5" t="s">
        <v>27</v>
      </c>
      <c r="B52" s="5">
        <v>50</v>
      </c>
      <c r="C52" s="5">
        <v>1</v>
      </c>
      <c r="D52" s="5">
        <v>181.40834000000001</v>
      </c>
      <c r="E52" s="5">
        <v>4.6001399999999997</v>
      </c>
      <c r="F52" s="5">
        <v>247</v>
      </c>
    </row>
    <row r="53" spans="1:6" x14ac:dyDescent="0.25">
      <c r="A53" s="5" t="s">
        <v>27</v>
      </c>
      <c r="B53" s="5">
        <v>50</v>
      </c>
      <c r="C53" s="5">
        <v>1</v>
      </c>
      <c r="D53" s="5">
        <v>179.93769</v>
      </c>
      <c r="E53" s="5">
        <v>4.6017999999999999</v>
      </c>
      <c r="F53" s="5">
        <v>248</v>
      </c>
    </row>
    <row r="54" spans="1:6" x14ac:dyDescent="0.25">
      <c r="A54" s="5" t="s">
        <v>27</v>
      </c>
      <c r="B54" s="5">
        <v>50</v>
      </c>
      <c r="C54" s="5">
        <v>1</v>
      </c>
      <c r="D54" s="5">
        <v>179.94333</v>
      </c>
      <c r="E54" s="5">
        <v>4.6029600000000004</v>
      </c>
      <c r="F54" s="5">
        <v>250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182.34269</v>
      </c>
      <c r="E55" s="5">
        <v>4.5962199999999998</v>
      </c>
      <c r="F55" s="5">
        <v>251</v>
      </c>
    </row>
    <row r="56" spans="1:6" x14ac:dyDescent="0.25">
      <c r="A56" s="5" t="s">
        <v>27</v>
      </c>
      <c r="B56" s="5">
        <v>50</v>
      </c>
      <c r="C56" s="5">
        <v>1</v>
      </c>
      <c r="D56" s="5">
        <v>182.34583000000001</v>
      </c>
      <c r="E56" s="5">
        <v>4.6030499999999996</v>
      </c>
      <c r="F56" s="5">
        <v>250</v>
      </c>
    </row>
    <row r="57" spans="1:6" x14ac:dyDescent="0.25">
      <c r="A57" s="5" t="s">
        <v>27</v>
      </c>
      <c r="B57" s="5">
        <v>50</v>
      </c>
      <c r="C57" s="5">
        <v>1</v>
      </c>
      <c r="D57" s="5">
        <v>180.52</v>
      </c>
      <c r="E57" s="5">
        <v>4.6017400000000004</v>
      </c>
      <c r="F57" s="5">
        <v>251</v>
      </c>
    </row>
    <row r="58" spans="1:6" x14ac:dyDescent="0.25">
      <c r="A58" s="5" t="s">
        <v>27</v>
      </c>
      <c r="B58" s="5">
        <v>50</v>
      </c>
      <c r="C58" s="5">
        <v>1</v>
      </c>
      <c r="D58" s="5">
        <v>180.24666999999999</v>
      </c>
      <c r="E58" s="5">
        <v>4.6010999999999997</v>
      </c>
      <c r="F58" s="5">
        <v>251</v>
      </c>
    </row>
    <row r="59" spans="1:6" x14ac:dyDescent="0.25">
      <c r="A59" s="5" t="s">
        <v>27</v>
      </c>
      <c r="B59" s="5">
        <v>50</v>
      </c>
      <c r="C59" s="5">
        <v>1</v>
      </c>
      <c r="D59" s="5">
        <v>179.93769</v>
      </c>
      <c r="E59" s="5">
        <v>4.5950300000000004</v>
      </c>
      <c r="F59" s="5">
        <v>247</v>
      </c>
    </row>
    <row r="60" spans="1:6" x14ac:dyDescent="0.25">
      <c r="A60" s="5" t="s">
        <v>27</v>
      </c>
      <c r="B60" s="5">
        <v>50</v>
      </c>
      <c r="C60" s="5">
        <v>1</v>
      </c>
      <c r="D60" s="5">
        <v>181.62333000000001</v>
      </c>
      <c r="E60" s="5">
        <v>4.5967099999999999</v>
      </c>
      <c r="F60" s="5">
        <v>249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5.6069100000000001</v>
      </c>
      <c r="F61" s="5">
        <v>84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5.6307200000000002</v>
      </c>
      <c r="F62" s="5">
        <v>85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5.5909500000000003</v>
      </c>
      <c r="F63" s="5">
        <v>84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5.5946699999999998</v>
      </c>
      <c r="F64" s="5">
        <v>84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5.6345700000000001</v>
      </c>
      <c r="F65" s="5">
        <v>85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5.6154799999999998</v>
      </c>
      <c r="F66" s="5">
        <v>84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5.6446800000000001</v>
      </c>
      <c r="F67" s="5">
        <v>85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5.6369499999999997</v>
      </c>
      <c r="F68" s="5">
        <v>85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5.6313000000000004</v>
      </c>
      <c r="F69" s="5">
        <v>84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5.6052900000000001</v>
      </c>
      <c r="F70" s="5">
        <v>83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260.58866999999998</v>
      </c>
      <c r="E71" s="5">
        <v>11.654109999999999</v>
      </c>
      <c r="F71" s="5">
        <v>164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259.24997999999999</v>
      </c>
      <c r="E72" s="5">
        <v>11.69354</v>
      </c>
      <c r="F72" s="5">
        <v>168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256.31993999999997</v>
      </c>
      <c r="E73" s="5">
        <v>11.684139999999999</v>
      </c>
      <c r="F73" s="5">
        <v>170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259.20938999999998</v>
      </c>
      <c r="E74" s="5">
        <v>11.64776</v>
      </c>
      <c r="F74" s="5">
        <v>170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260.12671</v>
      </c>
      <c r="E75" s="5">
        <v>11.67389</v>
      </c>
      <c r="F75" s="5">
        <v>167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257.91732000000002</v>
      </c>
      <c r="E76" s="5">
        <v>11.69224</v>
      </c>
      <c r="F76" s="5">
        <v>166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259.62531999999999</v>
      </c>
      <c r="E77" s="5">
        <v>11.655849999999999</v>
      </c>
      <c r="F77" s="5">
        <v>169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259.23403000000002</v>
      </c>
      <c r="E78" s="5">
        <v>11.657959999999999</v>
      </c>
      <c r="F78" s="5">
        <v>170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259.45128999999997</v>
      </c>
      <c r="E79" s="5">
        <v>11.650320000000001</v>
      </c>
      <c r="F79" s="5">
        <v>168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257.77242000000001</v>
      </c>
      <c r="E80" s="5">
        <v>11.70003</v>
      </c>
      <c r="F80" s="5">
        <v>163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239.79339999999999</v>
      </c>
      <c r="E81" s="5">
        <v>30.14941</v>
      </c>
      <c r="F81" s="5">
        <v>419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239.51912999999999</v>
      </c>
      <c r="E82" s="5">
        <v>30.19772</v>
      </c>
      <c r="F82" s="5">
        <v>418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239.95667</v>
      </c>
      <c r="E83" s="5">
        <v>30.134989999999998</v>
      </c>
      <c r="F83" s="5">
        <v>418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241.39739</v>
      </c>
      <c r="E84" s="5">
        <v>30.141680000000001</v>
      </c>
      <c r="F84" s="5">
        <v>417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239.83079000000001</v>
      </c>
      <c r="E85" s="5">
        <v>30.179490000000001</v>
      </c>
      <c r="F85" s="5">
        <v>414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240.79667000000001</v>
      </c>
      <c r="E86" s="5">
        <v>30.136099999999999</v>
      </c>
      <c r="F86" s="5">
        <v>419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239.63822999999999</v>
      </c>
      <c r="E87" s="5">
        <v>30.153729999999999</v>
      </c>
      <c r="F87" s="5">
        <v>414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239.87</v>
      </c>
      <c r="E88" s="5">
        <v>30.13327</v>
      </c>
      <c r="F88" s="5">
        <v>420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239.38667000000001</v>
      </c>
      <c r="E89" s="5">
        <v>30.181719999999999</v>
      </c>
      <c r="F89" s="5">
        <v>418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241.56755999999999</v>
      </c>
      <c r="E90" s="5">
        <v>30.17933</v>
      </c>
      <c r="F90" s="5">
        <v>421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0.58255999999999997</v>
      </c>
      <c r="F91" s="5">
        <v>115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0.58498000000000006</v>
      </c>
      <c r="F92" s="5">
        <v>114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0.58492</v>
      </c>
      <c r="F93" s="5">
        <v>122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0.58331999999999995</v>
      </c>
      <c r="F94" s="5">
        <v>124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0.58099999999999996</v>
      </c>
      <c r="F95" s="5">
        <v>123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0.58328000000000002</v>
      </c>
      <c r="F96" s="5">
        <v>122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0.58401000000000003</v>
      </c>
      <c r="F97" s="5">
        <v>117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0.58464000000000005</v>
      </c>
      <c r="F98" s="5">
        <v>113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0.58108000000000004</v>
      </c>
      <c r="F99" s="5">
        <v>122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0.58255000000000001</v>
      </c>
      <c r="F100" s="5">
        <v>123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0.73782999999999999</v>
      </c>
      <c r="F101" s="5">
        <v>144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0.73462000000000005</v>
      </c>
      <c r="F102" s="5">
        <v>132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0.73807999999999996</v>
      </c>
      <c r="F103" s="5">
        <v>154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0.73419000000000001</v>
      </c>
      <c r="F104" s="5">
        <v>151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0.73562000000000005</v>
      </c>
      <c r="F105" s="5">
        <v>152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0.73519999999999996</v>
      </c>
      <c r="F106" s="5">
        <v>154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0.73523000000000005</v>
      </c>
      <c r="F107" s="5">
        <v>152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0.73517999999999994</v>
      </c>
      <c r="F108" s="5">
        <v>137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0.73472999999999999</v>
      </c>
      <c r="F109" s="5">
        <v>153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0.73546999999999996</v>
      </c>
      <c r="F110" s="5">
        <v>150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1.27522</v>
      </c>
      <c r="F111" s="5">
        <v>235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1.2745899999999999</v>
      </c>
      <c r="F112" s="5">
        <v>248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1.2741800000000001</v>
      </c>
      <c r="F113" s="5">
        <v>250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1.2740199999999999</v>
      </c>
      <c r="F114" s="5">
        <v>257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1.2780800000000001</v>
      </c>
      <c r="F115" s="5">
        <v>241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1.27668</v>
      </c>
      <c r="F116" s="5">
        <v>257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1.2778</v>
      </c>
      <c r="F117" s="5">
        <v>257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1.27745</v>
      </c>
      <c r="F118" s="5">
        <v>237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1.27566</v>
      </c>
      <c r="F119" s="5">
        <v>254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1.2756799999999999</v>
      </c>
      <c r="F120" s="5">
        <v>254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4350.8413700000001</v>
      </c>
      <c r="E121" s="5">
        <v>1.99173</v>
      </c>
      <c r="F121" s="5">
        <v>134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4348.0289499999999</v>
      </c>
      <c r="E122" s="5">
        <v>1.9991399999999999</v>
      </c>
      <c r="F122" s="5">
        <v>138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4350.8413700000001</v>
      </c>
      <c r="E123" s="5">
        <v>2.0019100000000001</v>
      </c>
      <c r="F123" s="5">
        <v>145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4348.0289499999999</v>
      </c>
      <c r="E124" s="5">
        <v>1.9930000000000001</v>
      </c>
      <c r="F124" s="5">
        <v>135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4348.0289499999999</v>
      </c>
      <c r="E125" s="5">
        <v>1.9962500000000001</v>
      </c>
      <c r="F125" s="5">
        <v>139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4348.0289499999999</v>
      </c>
      <c r="E126" s="5">
        <v>1.9989399999999999</v>
      </c>
      <c r="F126" s="5">
        <v>135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1.99752</v>
      </c>
      <c r="F127" s="5">
        <v>139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1.99336</v>
      </c>
      <c r="F128" s="5">
        <v>134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4350.8413700000001</v>
      </c>
      <c r="E129" s="5">
        <v>1.9996499999999999</v>
      </c>
      <c r="F129" s="5">
        <v>137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4348.0289499999999</v>
      </c>
      <c r="E130" s="5">
        <v>1.9987900000000001</v>
      </c>
      <c r="F130" s="5">
        <v>133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2.8715999999999999</v>
      </c>
      <c r="F131" s="5">
        <v>187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2.8660399999999999</v>
      </c>
      <c r="F132" s="5">
        <v>191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2.8688799999999999</v>
      </c>
      <c r="F133" s="5">
        <v>188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2.8731800000000001</v>
      </c>
      <c r="F134" s="5">
        <v>189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2.8726600000000002</v>
      </c>
      <c r="F135" s="5">
        <v>193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2.86191</v>
      </c>
      <c r="F136" s="5">
        <v>191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2.86694</v>
      </c>
      <c r="F137" s="5">
        <v>191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2.8636699999999999</v>
      </c>
      <c r="F138" s="5">
        <v>194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2.8723000000000001</v>
      </c>
      <c r="F139" s="5">
        <v>194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2.8698600000000001</v>
      </c>
      <c r="F140" s="5">
        <v>189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3.5202399999999998</v>
      </c>
      <c r="F141" s="5">
        <v>232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4318.4876800000002</v>
      </c>
      <c r="E142" s="5">
        <v>3.52135</v>
      </c>
      <c r="F142" s="5">
        <v>234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3.5150199999999998</v>
      </c>
      <c r="F143" s="5">
        <v>228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3.52277</v>
      </c>
      <c r="F144" s="5">
        <v>233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3.5212300000000001</v>
      </c>
      <c r="F145" s="5">
        <v>236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3.5173700000000001</v>
      </c>
      <c r="F146" s="5">
        <v>234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3.5173999999999999</v>
      </c>
      <c r="F147" s="5">
        <v>234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3.5220799999999999</v>
      </c>
      <c r="F148" s="5">
        <v>228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3.51885</v>
      </c>
      <c r="F149" s="5">
        <v>234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3.5190199999999998</v>
      </c>
      <c r="F150" s="5">
        <v>235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42986.193919999998</v>
      </c>
      <c r="E151" s="5">
        <v>4.8958199999999996</v>
      </c>
      <c r="F151" s="5">
        <v>77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42986.345820000002</v>
      </c>
      <c r="E152" s="5">
        <v>4.8866399999999999</v>
      </c>
      <c r="F152" s="5">
        <v>78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42986.802479999998</v>
      </c>
      <c r="E153" s="5">
        <v>4.8887099999999997</v>
      </c>
      <c r="F153" s="5">
        <v>78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42986.403050000001</v>
      </c>
      <c r="E154" s="5">
        <v>4.9174499999999997</v>
      </c>
      <c r="F154" s="5">
        <v>78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42986.673049999998</v>
      </c>
      <c r="E155" s="5">
        <v>4.9106300000000003</v>
      </c>
      <c r="F155" s="5">
        <v>78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42986.193919999998</v>
      </c>
      <c r="E156" s="5">
        <v>4.9194100000000001</v>
      </c>
      <c r="F156" s="5">
        <v>79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42986.673049999998</v>
      </c>
      <c r="E157" s="5">
        <v>4.9138400000000004</v>
      </c>
      <c r="F157" s="5">
        <v>77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42986.673049999998</v>
      </c>
      <c r="E158" s="5">
        <v>4.9329499999999999</v>
      </c>
      <c r="F158" s="5">
        <v>79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42986.45392</v>
      </c>
      <c r="E159" s="5">
        <v>4.9085299999999998</v>
      </c>
      <c r="F159" s="5">
        <v>78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42986.403050000001</v>
      </c>
      <c r="E160" s="5">
        <v>4.8979499999999998</v>
      </c>
      <c r="F160" s="5">
        <v>78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35777.393029999999</v>
      </c>
      <c r="E161" s="5">
        <v>12.718220000000001</v>
      </c>
      <c r="F161" s="5">
        <v>189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35577.303489999998</v>
      </c>
      <c r="E162" s="5">
        <v>12.71738</v>
      </c>
      <c r="F162" s="5">
        <v>191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35499.496420000003</v>
      </c>
      <c r="E163" s="5">
        <v>12.70059</v>
      </c>
      <c r="F163" s="5">
        <v>190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35533.762549999999</v>
      </c>
      <c r="E164" s="5">
        <v>12.733969999999999</v>
      </c>
      <c r="F164" s="5">
        <v>191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35519.254390000002</v>
      </c>
      <c r="E165" s="5">
        <v>12.745900000000001</v>
      </c>
      <c r="F165" s="5">
        <v>191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35551.573120000001</v>
      </c>
      <c r="E166" s="5">
        <v>12.739979999999999</v>
      </c>
      <c r="F166" s="5">
        <v>190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35414.373480000002</v>
      </c>
      <c r="E167" s="5">
        <v>12.7052</v>
      </c>
      <c r="F167" s="5">
        <v>189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35634.360439999997</v>
      </c>
      <c r="E168" s="5">
        <v>12.69772</v>
      </c>
      <c r="F168" s="5">
        <v>191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35517.030639999997</v>
      </c>
      <c r="E169" s="5">
        <v>12.702999999999999</v>
      </c>
      <c r="F169" s="5">
        <v>193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35598.492059999997</v>
      </c>
      <c r="E170" s="5">
        <v>12.71621</v>
      </c>
      <c r="F170" s="5">
        <v>192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35261.115270000002</v>
      </c>
      <c r="E171" s="5">
        <v>28.515450000000001</v>
      </c>
      <c r="F171" s="5">
        <v>453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35248.013330000002</v>
      </c>
      <c r="E172" s="5">
        <v>28.492319999999999</v>
      </c>
      <c r="F172" s="5">
        <v>443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35241.07617</v>
      </c>
      <c r="E173" s="5">
        <v>28.503640000000001</v>
      </c>
      <c r="F173" s="5">
        <v>445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35280.993329999998</v>
      </c>
      <c r="E174" s="5">
        <v>28.504239999999999</v>
      </c>
      <c r="F174" s="5">
        <v>449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35233.120000000003</v>
      </c>
      <c r="E175" s="5">
        <v>28.504809999999999</v>
      </c>
      <c r="F175" s="5">
        <v>457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35272.56667</v>
      </c>
      <c r="E176" s="5">
        <v>28.526969999999999</v>
      </c>
      <c r="F176" s="5">
        <v>457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35272.95289</v>
      </c>
      <c r="E177" s="5">
        <v>28.48922</v>
      </c>
      <c r="F177" s="5">
        <v>446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35226.300000000003</v>
      </c>
      <c r="E178" s="5">
        <v>28.482469999999999</v>
      </c>
      <c r="F178" s="5">
        <v>460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35295.857649999998</v>
      </c>
      <c r="E179" s="5">
        <v>28.494330000000001</v>
      </c>
      <c r="F179" s="5">
        <v>452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35342.036670000001</v>
      </c>
      <c r="E180" s="5">
        <v>28.493030000000001</v>
      </c>
      <c r="F180" s="5">
        <v>429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0.73997000000000002</v>
      </c>
      <c r="F181" s="5">
        <v>89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0.73075000000000001</v>
      </c>
      <c r="F182" s="5">
        <v>102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0.73582999999999998</v>
      </c>
      <c r="F183" s="5">
        <v>102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0.73589000000000004</v>
      </c>
      <c r="F184" s="5">
        <v>103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0.73499000000000003</v>
      </c>
      <c r="F185" s="5">
        <v>103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0.73172000000000004</v>
      </c>
      <c r="F186" s="5">
        <v>104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0.73467000000000005</v>
      </c>
      <c r="F187" s="5">
        <v>90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0.73380999999999996</v>
      </c>
      <c r="F188" s="5">
        <v>102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0.73567000000000005</v>
      </c>
      <c r="F189" s="5">
        <v>104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0.73577999999999999</v>
      </c>
      <c r="F190" s="5">
        <v>104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675.47965999999997</v>
      </c>
      <c r="E191" s="5">
        <v>1.13842</v>
      </c>
      <c r="F191" s="5">
        <v>153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677.26074000000006</v>
      </c>
      <c r="E192" s="5">
        <v>1.1398200000000001</v>
      </c>
      <c r="F192" s="5">
        <v>146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675.36581000000001</v>
      </c>
      <c r="E193" s="5">
        <v>1.1381399999999999</v>
      </c>
      <c r="F193" s="5">
        <v>153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675.36581000000001</v>
      </c>
      <c r="E194" s="5">
        <v>1.1356299999999999</v>
      </c>
      <c r="F194" s="5">
        <v>154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675.36989000000005</v>
      </c>
      <c r="E195" s="5">
        <v>1.1383099999999999</v>
      </c>
      <c r="F195" s="5">
        <v>156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675.36581000000001</v>
      </c>
      <c r="E196" s="5">
        <v>1.13988</v>
      </c>
      <c r="F196" s="5">
        <v>150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675.36989000000005</v>
      </c>
      <c r="E197" s="5">
        <v>1.1391</v>
      </c>
      <c r="F197" s="5">
        <v>160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692.52247999999997</v>
      </c>
      <c r="E198" s="5">
        <v>1.13913</v>
      </c>
      <c r="F198" s="5">
        <v>155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675.38611000000003</v>
      </c>
      <c r="E199" s="5">
        <v>1.13673</v>
      </c>
      <c r="F199" s="5">
        <v>161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675.36989000000005</v>
      </c>
      <c r="E200" s="5">
        <v>1.1394599999999999</v>
      </c>
      <c r="F200" s="5">
        <v>154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656.34204</v>
      </c>
      <c r="E201" s="5">
        <v>2.06684</v>
      </c>
      <c r="F201" s="5">
        <v>264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657.32380999999998</v>
      </c>
      <c r="E202" s="5">
        <v>2.07138</v>
      </c>
      <c r="F202" s="5">
        <v>286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657.95457999999996</v>
      </c>
      <c r="E203" s="5">
        <v>2.0713699999999999</v>
      </c>
      <c r="F203" s="5">
        <v>275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657.35562000000004</v>
      </c>
      <c r="E204" s="5">
        <v>2.0706699999999998</v>
      </c>
      <c r="F204" s="5">
        <v>283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655.43295999999998</v>
      </c>
      <c r="E205" s="5">
        <v>2.0713300000000001</v>
      </c>
      <c r="F205" s="5">
        <v>270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658.23289</v>
      </c>
      <c r="E206" s="5">
        <v>2.0705</v>
      </c>
      <c r="F206" s="5">
        <v>282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657.95457999999996</v>
      </c>
      <c r="E207" s="5">
        <v>2.0684100000000001</v>
      </c>
      <c r="F207" s="5">
        <v>272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657.32380999999998</v>
      </c>
      <c r="E208" s="5">
        <v>2.0702600000000002</v>
      </c>
      <c r="F208" s="5">
        <v>284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655.43295999999998</v>
      </c>
      <c r="E209" s="5">
        <v>2.0689899999999999</v>
      </c>
      <c r="F209" s="5">
        <v>266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657.32380999999998</v>
      </c>
      <c r="E210" s="5">
        <v>2.0668600000000001</v>
      </c>
      <c r="F210" s="5">
        <v>282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1483.60267</v>
      </c>
      <c r="E211" s="5">
        <v>1.5979099999999999</v>
      </c>
      <c r="F211" s="5">
        <v>103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1459.9687899999999</v>
      </c>
      <c r="E212" s="5">
        <v>1.58674</v>
      </c>
      <c r="F212" s="5">
        <v>98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1460.0209400000001</v>
      </c>
      <c r="E213" s="5">
        <v>1.58734</v>
      </c>
      <c r="F213" s="5">
        <v>104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1483.36385</v>
      </c>
      <c r="E214" s="5">
        <v>1.5890200000000001</v>
      </c>
      <c r="F214" s="5">
        <v>101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1459.9687899999999</v>
      </c>
      <c r="E215" s="5">
        <v>1.5926199999999999</v>
      </c>
      <c r="F215" s="5">
        <v>99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1483.36385</v>
      </c>
      <c r="E216" s="5">
        <v>1.5922700000000001</v>
      </c>
      <c r="F216" s="5">
        <v>104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1483.36385</v>
      </c>
      <c r="E217" s="5">
        <v>1.5869200000000001</v>
      </c>
      <c r="F217" s="5">
        <v>94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1459.9687899999999</v>
      </c>
      <c r="E218" s="5">
        <v>1.5951200000000001</v>
      </c>
      <c r="F218" s="5">
        <v>103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1459.9687899999999</v>
      </c>
      <c r="E219" s="5">
        <v>1.5937300000000001</v>
      </c>
      <c r="F219" s="5">
        <v>99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1483.36385</v>
      </c>
      <c r="E220" s="5">
        <v>1.59294</v>
      </c>
      <c r="F220" s="5">
        <v>94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1023.47059</v>
      </c>
      <c r="E221" s="5">
        <v>4.5423299999999998</v>
      </c>
      <c r="F221" s="5">
        <v>291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1020.05088</v>
      </c>
      <c r="E222" s="5">
        <v>4.5532300000000001</v>
      </c>
      <c r="F222" s="5">
        <v>289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1027.0408500000001</v>
      </c>
      <c r="E223" s="5">
        <v>4.5521799999999999</v>
      </c>
      <c r="F223" s="5">
        <v>290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1018.68905</v>
      </c>
      <c r="E224" s="5">
        <v>4.5452599999999999</v>
      </c>
      <c r="F224" s="5">
        <v>290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1015.4735899999999</v>
      </c>
      <c r="E225" s="5">
        <v>4.5420600000000002</v>
      </c>
      <c r="F225" s="5">
        <v>291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1011.68252</v>
      </c>
      <c r="E226" s="5">
        <v>4.5416400000000001</v>
      </c>
      <c r="F226" s="5">
        <v>290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1024.3791799999999</v>
      </c>
      <c r="E227" s="5">
        <v>4.5464500000000001</v>
      </c>
      <c r="F227" s="5">
        <v>293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1014.31075</v>
      </c>
      <c r="E228" s="5">
        <v>4.5456300000000001</v>
      </c>
      <c r="F228" s="5">
        <v>287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1013.7746</v>
      </c>
      <c r="E229" s="5">
        <v>4.5522600000000004</v>
      </c>
      <c r="F229" s="5">
        <v>287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1019.69475</v>
      </c>
      <c r="E230" s="5">
        <v>4.5478399999999999</v>
      </c>
      <c r="F230" s="5">
        <v>276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997.68631000000005</v>
      </c>
      <c r="E231" s="5">
        <v>8.3934099999999994</v>
      </c>
      <c r="F231" s="5">
        <v>530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994.98486000000003</v>
      </c>
      <c r="E232" s="5">
        <v>8.3953799999999994</v>
      </c>
      <c r="F232" s="5">
        <v>520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994.73942999999997</v>
      </c>
      <c r="E233" s="5">
        <v>8.3953600000000002</v>
      </c>
      <c r="F233" s="5">
        <v>521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995.68601999999998</v>
      </c>
      <c r="E234" s="5">
        <v>8.3925599999999996</v>
      </c>
      <c r="F234" s="5">
        <v>530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997.68631000000005</v>
      </c>
      <c r="E235" s="5">
        <v>8.3940000000000001</v>
      </c>
      <c r="F235" s="5">
        <v>532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996.29486999999995</v>
      </c>
      <c r="E236" s="5">
        <v>8.3926400000000001</v>
      </c>
      <c r="F236" s="5">
        <v>509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995.88630999999998</v>
      </c>
      <c r="E237" s="5">
        <v>8.3939900000000005</v>
      </c>
      <c r="F237" s="5">
        <v>516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997.68631000000005</v>
      </c>
      <c r="E238" s="5">
        <v>8.3967600000000004</v>
      </c>
      <c r="F238" s="5">
        <v>522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994.67666999999994</v>
      </c>
      <c r="E239" s="5">
        <v>8.3886299999999991</v>
      </c>
      <c r="F239" s="5">
        <v>519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996.14</v>
      </c>
      <c r="E240" s="5">
        <v>8.3890799999999999</v>
      </c>
      <c r="F240" s="5">
        <v>514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1822.69604</v>
      </c>
      <c r="E241" s="5">
        <v>5.0628599999999997</v>
      </c>
      <c r="F241" s="5">
        <v>91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1798.7682400000001</v>
      </c>
      <c r="E242" s="5">
        <v>5.0550100000000002</v>
      </c>
      <c r="F242" s="5">
        <v>92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1855.90912</v>
      </c>
      <c r="E243" s="5">
        <v>5.0543100000000001</v>
      </c>
      <c r="F243" s="5">
        <v>89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1821.518</v>
      </c>
      <c r="E244" s="5">
        <v>5.0553400000000002</v>
      </c>
      <c r="F244" s="5">
        <v>90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1800.56944</v>
      </c>
      <c r="E245" s="5">
        <v>5.0584300000000004</v>
      </c>
      <c r="F245" s="5">
        <v>91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1816.16203</v>
      </c>
      <c r="E246" s="5">
        <v>5.0539199999999997</v>
      </c>
      <c r="F246" s="5">
        <v>91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1799.16454</v>
      </c>
      <c r="E247" s="5">
        <v>5.0523199999999999</v>
      </c>
      <c r="F247" s="5">
        <v>91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1807.3055400000001</v>
      </c>
      <c r="E248" s="5">
        <v>5.0506200000000003</v>
      </c>
      <c r="F248" s="5">
        <v>91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1801.9849400000001</v>
      </c>
      <c r="E249" s="5">
        <v>5.04453</v>
      </c>
      <c r="F249" s="5">
        <v>89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1855.9856</v>
      </c>
      <c r="E250" s="5">
        <v>5.07247</v>
      </c>
      <c r="F250" s="5">
        <v>91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1764.95667</v>
      </c>
      <c r="E251" s="5">
        <v>9.4114599999999999</v>
      </c>
      <c r="F251" s="5">
        <v>161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1771.40509</v>
      </c>
      <c r="E252" s="5">
        <v>9.3871900000000004</v>
      </c>
      <c r="F252" s="5">
        <v>162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1771.96667</v>
      </c>
      <c r="E253" s="5">
        <v>9.4129500000000004</v>
      </c>
      <c r="F253" s="5">
        <v>164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1765.77259</v>
      </c>
      <c r="E254" s="5">
        <v>9.4068400000000008</v>
      </c>
      <c r="F254" s="5">
        <v>161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1775.79999</v>
      </c>
      <c r="E255" s="5">
        <v>9.37758</v>
      </c>
      <c r="F255" s="5">
        <v>161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1769.6566700000001</v>
      </c>
      <c r="E256" s="5">
        <v>9.3882899999999996</v>
      </c>
      <c r="F256" s="5">
        <v>165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1763.2393099999999</v>
      </c>
      <c r="E257" s="5">
        <v>9.3990799999999997</v>
      </c>
      <c r="F257" s="5">
        <v>166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1767.6536000000001</v>
      </c>
      <c r="E258" s="5">
        <v>9.4107900000000004</v>
      </c>
      <c r="F258" s="5">
        <v>164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1773.95497</v>
      </c>
      <c r="E259" s="5">
        <v>9.37805</v>
      </c>
      <c r="F259" s="5">
        <v>160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1762.5279800000001</v>
      </c>
      <c r="E260" s="5">
        <v>9.4061699999999995</v>
      </c>
      <c r="F260" s="5">
        <v>163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1757.4400800000001</v>
      </c>
      <c r="E261" s="5">
        <v>15.37969</v>
      </c>
      <c r="F261" s="5">
        <v>260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1758.41</v>
      </c>
      <c r="E262" s="5">
        <v>15.379060000000001</v>
      </c>
      <c r="F262" s="5">
        <v>260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1756.07</v>
      </c>
      <c r="E263" s="5">
        <v>15.357760000000001</v>
      </c>
      <c r="F263" s="5">
        <v>260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1756.42617</v>
      </c>
      <c r="E264" s="5">
        <v>15.360569999999999</v>
      </c>
      <c r="F264" s="5">
        <v>257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1758.70081</v>
      </c>
      <c r="E265" s="5">
        <v>15.375500000000001</v>
      </c>
      <c r="F265" s="5">
        <v>257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1757.27</v>
      </c>
      <c r="E266" s="5">
        <v>15.37853</v>
      </c>
      <c r="F266" s="5">
        <v>265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1757.9233300000001</v>
      </c>
      <c r="E267" s="5">
        <v>15.38058</v>
      </c>
      <c r="F267" s="5">
        <v>261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1755.8333299999999</v>
      </c>
      <c r="E268" s="5">
        <v>15.3544</v>
      </c>
      <c r="F268" s="5">
        <v>261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1757.3166699999999</v>
      </c>
      <c r="E269" s="5">
        <v>15.368040000000001</v>
      </c>
      <c r="F269" s="5">
        <v>265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1760.7261699999999</v>
      </c>
      <c r="E270" s="5">
        <v>15.35281</v>
      </c>
      <c r="F270" s="5">
        <v>265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42.003050000000002</v>
      </c>
      <c r="E271" s="5">
        <v>0.58662999999999998</v>
      </c>
      <c r="F271" s="5">
        <v>98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42.424349999999997</v>
      </c>
      <c r="E272" s="5">
        <v>0.58550000000000002</v>
      </c>
      <c r="F272" s="5">
        <v>90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41.318849999999998</v>
      </c>
      <c r="E273" s="5">
        <v>0.5887</v>
      </c>
      <c r="F273" s="5">
        <v>98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42.424349999999997</v>
      </c>
      <c r="E274" s="5">
        <v>0.58908000000000005</v>
      </c>
      <c r="F274" s="5">
        <v>86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42.424349999999997</v>
      </c>
      <c r="E275" s="5">
        <v>0.58670999999999995</v>
      </c>
      <c r="F275" s="5">
        <v>93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41.318849999999998</v>
      </c>
      <c r="E276" s="5">
        <v>0.58867999999999998</v>
      </c>
      <c r="F276" s="5">
        <v>97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41.318849999999998</v>
      </c>
      <c r="E277" s="5">
        <v>0.58709</v>
      </c>
      <c r="F277" s="5">
        <v>94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42.424349999999997</v>
      </c>
      <c r="E278" s="5">
        <v>0.58616999999999997</v>
      </c>
      <c r="F278" s="5">
        <v>95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42.424349999999997</v>
      </c>
      <c r="E279" s="5">
        <v>0.58803000000000005</v>
      </c>
      <c r="F279" s="5">
        <v>96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42.424349999999997</v>
      </c>
      <c r="E280" s="5">
        <v>0.58640999999999999</v>
      </c>
      <c r="F280" s="5">
        <v>96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0.87661</v>
      </c>
      <c r="F281" s="5">
        <v>149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0.87466999999999995</v>
      </c>
      <c r="F282" s="5">
        <v>150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28.65436</v>
      </c>
      <c r="E283" s="5">
        <v>0.87309000000000003</v>
      </c>
      <c r="F283" s="5">
        <v>156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28.664359999999999</v>
      </c>
      <c r="E284" s="5">
        <v>0.87444</v>
      </c>
      <c r="F284" s="5">
        <v>157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0.87680000000000002</v>
      </c>
      <c r="F285" s="5">
        <v>156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28.65624</v>
      </c>
      <c r="E286" s="5">
        <v>0.87983999999999996</v>
      </c>
      <c r="F286" s="5">
        <v>143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28.65436</v>
      </c>
      <c r="E287" s="5">
        <v>0.87556999999999996</v>
      </c>
      <c r="F287" s="5">
        <v>156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0.874</v>
      </c>
      <c r="F288" s="5">
        <v>157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28.682030000000001</v>
      </c>
      <c r="E289" s="5">
        <v>0.87570000000000003</v>
      </c>
      <c r="F289" s="5">
        <v>158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0.87307999999999997</v>
      </c>
      <c r="F290" s="5">
        <v>154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28.504100000000001</v>
      </c>
      <c r="E291" s="5">
        <v>1.1313599999999999</v>
      </c>
      <c r="F291" s="5">
        <v>185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28.592030000000001</v>
      </c>
      <c r="E292" s="5">
        <v>1.13286</v>
      </c>
      <c r="F292" s="5">
        <v>198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28.592030000000001</v>
      </c>
      <c r="E293" s="5">
        <v>1.1321600000000001</v>
      </c>
      <c r="F293" s="5">
        <v>178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28.587009999999999</v>
      </c>
      <c r="E294" s="5">
        <v>1.13449</v>
      </c>
      <c r="F294" s="5">
        <v>197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28.602029999999999</v>
      </c>
      <c r="E295" s="5">
        <v>1.1325400000000001</v>
      </c>
      <c r="F295" s="5">
        <v>201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28.602029999999999</v>
      </c>
      <c r="E296" s="5">
        <v>1.13452</v>
      </c>
      <c r="F296" s="5">
        <v>196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28.60624</v>
      </c>
      <c r="E297" s="5">
        <v>1.13154</v>
      </c>
      <c r="F297" s="5">
        <v>164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28.60624</v>
      </c>
      <c r="E298" s="5">
        <v>1.13215</v>
      </c>
      <c r="F298" s="5">
        <v>187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28.504100000000001</v>
      </c>
      <c r="E299" s="5">
        <v>1.13232</v>
      </c>
      <c r="F299" s="5">
        <v>196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28.602029999999999</v>
      </c>
      <c r="E300" s="5">
        <v>1.13615</v>
      </c>
      <c r="F300" s="5">
        <v>185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59.289859999999997</v>
      </c>
      <c r="E301" s="5">
        <v>1.92367</v>
      </c>
      <c r="F301" s="5">
        <v>119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59.129510000000003</v>
      </c>
      <c r="E302" s="5">
        <v>1.9212100000000001</v>
      </c>
      <c r="F302" s="5">
        <v>118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59.079509999999999</v>
      </c>
      <c r="E303" s="5">
        <v>1.9248000000000001</v>
      </c>
      <c r="F303" s="5">
        <v>114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58.266179999999999</v>
      </c>
      <c r="E304" s="5">
        <v>1.9206799999999999</v>
      </c>
      <c r="F304" s="5">
        <v>119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59.062849999999997</v>
      </c>
      <c r="E305" s="5">
        <v>1.92472</v>
      </c>
      <c r="F305" s="5">
        <v>116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59.279510000000002</v>
      </c>
      <c r="E306" s="5">
        <v>1.9225399999999999</v>
      </c>
      <c r="F306" s="5">
        <v>121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57.662329999999997</v>
      </c>
      <c r="E307" s="5">
        <v>1.92249</v>
      </c>
      <c r="F307" s="5">
        <v>116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58.81709</v>
      </c>
      <c r="E308" s="5">
        <v>1.9239900000000001</v>
      </c>
      <c r="F308" s="5">
        <v>121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56.899569999999997</v>
      </c>
      <c r="E309" s="5">
        <v>1.92259</v>
      </c>
      <c r="F309" s="5">
        <v>115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58.911859999999997</v>
      </c>
      <c r="E310" s="5">
        <v>1.9209400000000001</v>
      </c>
      <c r="F310" s="5">
        <v>119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53.385599999999997</v>
      </c>
      <c r="E311" s="5">
        <v>3.7517900000000002</v>
      </c>
      <c r="F311" s="5">
        <v>231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53.445520000000002</v>
      </c>
      <c r="E312" s="5">
        <v>3.7597100000000001</v>
      </c>
      <c r="F312" s="5">
        <v>228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54.217579999999998</v>
      </c>
      <c r="E313" s="5">
        <v>3.7532700000000001</v>
      </c>
      <c r="F313" s="5">
        <v>228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53.494979999999998</v>
      </c>
      <c r="E314" s="5">
        <v>3.7618499999999999</v>
      </c>
      <c r="F314" s="5">
        <v>225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53.515070000000001</v>
      </c>
      <c r="E315" s="5">
        <v>3.7538</v>
      </c>
      <c r="F315" s="5">
        <v>232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53.474980000000002</v>
      </c>
      <c r="E316" s="5">
        <v>3.7582599999999999</v>
      </c>
      <c r="F316" s="5">
        <v>231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53.802750000000003</v>
      </c>
      <c r="E317" s="5">
        <v>3.7582</v>
      </c>
      <c r="F317" s="5">
        <v>230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53.544980000000002</v>
      </c>
      <c r="E318" s="5">
        <v>3.7558799999999999</v>
      </c>
      <c r="F318" s="5">
        <v>232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53.622059999999998</v>
      </c>
      <c r="E319" s="5">
        <v>3.75508</v>
      </c>
      <c r="F319" s="5">
        <v>233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53.59498</v>
      </c>
      <c r="E320" s="5">
        <v>3.7508499999999998</v>
      </c>
      <c r="F320" s="5">
        <v>231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53.53877</v>
      </c>
      <c r="E321" s="5">
        <v>6.0871500000000003</v>
      </c>
      <c r="F321" s="5">
        <v>345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53.097569999999997</v>
      </c>
      <c r="E322" s="5">
        <v>6.08406</v>
      </c>
      <c r="F322" s="5">
        <v>355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53.38749</v>
      </c>
      <c r="E323" s="5">
        <v>6.0758700000000001</v>
      </c>
      <c r="F323" s="5">
        <v>355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53.687489999999997</v>
      </c>
      <c r="E324" s="5">
        <v>6.0748699999999998</v>
      </c>
      <c r="F324" s="5">
        <v>353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53.20749</v>
      </c>
      <c r="E325" s="5">
        <v>6.0807200000000003</v>
      </c>
      <c r="F325" s="5">
        <v>355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53.147489999999998</v>
      </c>
      <c r="E326" s="5">
        <v>6.0750400000000004</v>
      </c>
      <c r="F326" s="5">
        <v>348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53.169060000000002</v>
      </c>
      <c r="E327" s="5">
        <v>6.0828100000000003</v>
      </c>
      <c r="F327" s="5">
        <v>352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53.297490000000003</v>
      </c>
      <c r="E328" s="5">
        <v>6.0870199999999999</v>
      </c>
      <c r="F328" s="5">
        <v>352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53.247570000000003</v>
      </c>
      <c r="E329" s="5">
        <v>6.0753599999999999</v>
      </c>
      <c r="F329" s="5">
        <v>359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53.552329999999998</v>
      </c>
      <c r="E330" s="5">
        <v>6.0775199999999998</v>
      </c>
      <c r="F330" s="5">
        <v>346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148.18866</v>
      </c>
      <c r="E331" s="5">
        <v>7.0342500000000001</v>
      </c>
      <c r="F331" s="5">
        <v>121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148.23616999999999</v>
      </c>
      <c r="E332" s="5">
        <v>7.0249800000000002</v>
      </c>
      <c r="F332" s="5">
        <v>117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148.18414000000001</v>
      </c>
      <c r="E333" s="5">
        <v>7.0251799999999998</v>
      </c>
      <c r="F333" s="5">
        <v>121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148.14366000000001</v>
      </c>
      <c r="E334" s="5">
        <v>7.0415700000000001</v>
      </c>
      <c r="F334" s="5">
        <v>121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148.20735999999999</v>
      </c>
      <c r="E335" s="5">
        <v>7.0484600000000004</v>
      </c>
      <c r="F335" s="5">
        <v>122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148.33015</v>
      </c>
      <c r="E336" s="5">
        <v>7.0380200000000004</v>
      </c>
      <c r="F336" s="5">
        <v>120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148.35337999999999</v>
      </c>
      <c r="E337" s="5">
        <v>7.0489899999999999</v>
      </c>
      <c r="F337" s="5">
        <v>120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148.17283</v>
      </c>
      <c r="E338" s="5">
        <v>7.0333100000000002</v>
      </c>
      <c r="F338" s="5">
        <v>124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148.23365999999999</v>
      </c>
      <c r="E339" s="5">
        <v>7.06609</v>
      </c>
      <c r="F339" s="5">
        <v>121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148.12818999999999</v>
      </c>
      <c r="E340" s="5">
        <v>7.05863</v>
      </c>
      <c r="F340" s="5">
        <v>122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108.59198000000001</v>
      </c>
      <c r="E341" s="5">
        <v>16.824809999999999</v>
      </c>
      <c r="F341" s="5">
        <v>275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107.84837</v>
      </c>
      <c r="E342" s="5">
        <v>16.821840000000002</v>
      </c>
      <c r="F342" s="5">
        <v>270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108.05512</v>
      </c>
      <c r="E343" s="5">
        <v>16.82394</v>
      </c>
      <c r="F343" s="5">
        <v>274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108.00663</v>
      </c>
      <c r="E344" s="5">
        <v>16.832509999999999</v>
      </c>
      <c r="F344" s="5">
        <v>275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108.6995</v>
      </c>
      <c r="E345" s="5">
        <v>16.825800000000001</v>
      </c>
      <c r="F345" s="5">
        <v>271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107.87147</v>
      </c>
      <c r="E346" s="5">
        <v>16.835149999999999</v>
      </c>
      <c r="F346" s="5">
        <v>277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107.62163</v>
      </c>
      <c r="E347" s="5">
        <v>16.83239</v>
      </c>
      <c r="F347" s="5">
        <v>273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108.63516</v>
      </c>
      <c r="E348" s="5">
        <v>16.78837</v>
      </c>
      <c r="F348" s="5">
        <v>274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107.85337</v>
      </c>
      <c r="E349" s="5">
        <v>16.80969</v>
      </c>
      <c r="F349" s="5">
        <v>275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108.2383</v>
      </c>
      <c r="E350" s="5">
        <v>16.810569999999998</v>
      </c>
      <c r="F350" s="5">
        <v>274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103.66775</v>
      </c>
      <c r="E351" s="5">
        <v>29.370419999999999</v>
      </c>
      <c r="F351" s="5">
        <v>463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103.93753</v>
      </c>
      <c r="E352" s="5">
        <v>29.35127</v>
      </c>
      <c r="F352" s="5">
        <v>457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104.01336999999999</v>
      </c>
      <c r="E353" s="5">
        <v>29.374639999999999</v>
      </c>
      <c r="F353" s="5">
        <v>458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104.13</v>
      </c>
      <c r="E354" s="5">
        <v>29.358650000000001</v>
      </c>
      <c r="F354" s="5">
        <v>462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103.9808</v>
      </c>
      <c r="E355" s="5">
        <v>29.34057</v>
      </c>
      <c r="F355" s="5">
        <v>458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104.16913</v>
      </c>
      <c r="E356" s="5">
        <v>29.373370000000001</v>
      </c>
      <c r="F356" s="5">
        <v>452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103.8967</v>
      </c>
      <c r="E357" s="5">
        <v>29.337620000000001</v>
      </c>
      <c r="F357" s="5">
        <v>459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104.0458</v>
      </c>
      <c r="E358" s="5">
        <v>29.371559999999999</v>
      </c>
      <c r="F358" s="5">
        <v>458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103.6433</v>
      </c>
      <c r="E359" s="5">
        <v>29.345839999999999</v>
      </c>
      <c r="F359" s="5">
        <v>457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103.92919000000001</v>
      </c>
      <c r="E360" s="5">
        <v>29.39575</v>
      </c>
      <c r="F360" s="5">
        <v>461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0.54413</v>
      </c>
      <c r="F361" s="5">
        <v>65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0.54242999999999997</v>
      </c>
      <c r="F362" s="5">
        <v>72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0.54376000000000002</v>
      </c>
      <c r="F363" s="5">
        <v>79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0.54434000000000005</v>
      </c>
      <c r="F364" s="5">
        <v>79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0.54354000000000002</v>
      </c>
      <c r="F365" s="5">
        <v>79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0.54224000000000006</v>
      </c>
      <c r="F366" s="5">
        <v>78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0.54371999999999998</v>
      </c>
      <c r="F367" s="5">
        <v>78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0.54756000000000005</v>
      </c>
      <c r="F368" s="5">
        <v>72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0.54544000000000004</v>
      </c>
      <c r="F369" s="5">
        <v>75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0.54298999999999997</v>
      </c>
      <c r="F370" s="5">
        <v>78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0.87202999999999997</v>
      </c>
      <c r="F371" s="5">
        <v>127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0.87107999999999997</v>
      </c>
      <c r="F372" s="5">
        <v>106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0.87585000000000002</v>
      </c>
      <c r="F373" s="5">
        <v>111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0.87624000000000002</v>
      </c>
      <c r="F374" s="5">
        <v>128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0.87102000000000002</v>
      </c>
      <c r="F375" s="5">
        <v>128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0.87248000000000003</v>
      </c>
      <c r="F376" s="5">
        <v>126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0.87436999999999998</v>
      </c>
      <c r="F377" s="5">
        <v>127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0.87565000000000004</v>
      </c>
      <c r="F378" s="5">
        <v>115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0.87629999999999997</v>
      </c>
      <c r="F379" s="5">
        <v>128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0.87156</v>
      </c>
      <c r="F380" s="5">
        <v>125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1.15263</v>
      </c>
      <c r="F381" s="5">
        <v>159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1.1521399999999999</v>
      </c>
      <c r="F382" s="5">
        <v>167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1.1504799999999999</v>
      </c>
      <c r="F383" s="5">
        <v>157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1.1489400000000001</v>
      </c>
      <c r="F384" s="5">
        <v>169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1.1505799999999999</v>
      </c>
      <c r="F385" s="5">
        <v>169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1.1522600000000001</v>
      </c>
      <c r="F386" s="5">
        <v>170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1.1503099999999999</v>
      </c>
      <c r="F387" s="5">
        <v>156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1.1522300000000001</v>
      </c>
      <c r="F388" s="5">
        <v>168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1.1502699999999999</v>
      </c>
      <c r="F389" s="5">
        <v>158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1.1516299999999999</v>
      </c>
      <c r="F390" s="5">
        <v>162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1.11744</v>
      </c>
      <c r="F391" s="5">
        <v>49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1.11161</v>
      </c>
      <c r="F392" s="5">
        <v>56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1.12374</v>
      </c>
      <c r="F393" s="5">
        <v>56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1.1120399999999999</v>
      </c>
      <c r="F394" s="5">
        <v>56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1.12348</v>
      </c>
      <c r="F395" s="5">
        <v>54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1.1224099999999999</v>
      </c>
      <c r="F396" s="5">
        <v>56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1.11876</v>
      </c>
      <c r="F397" s="5">
        <v>56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1.1169100000000001</v>
      </c>
      <c r="F398" s="5">
        <v>50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1.10755</v>
      </c>
      <c r="F399" s="5">
        <v>56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1.12158</v>
      </c>
      <c r="F400" s="5">
        <v>56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2.4948100000000002</v>
      </c>
      <c r="F401" s="5">
        <v>120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2.4967000000000001</v>
      </c>
      <c r="F402" s="5">
        <v>120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2.4981900000000001</v>
      </c>
      <c r="F403" s="5">
        <v>124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2.5006599999999999</v>
      </c>
      <c r="F404" s="5">
        <v>121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2.4915500000000002</v>
      </c>
      <c r="F405" s="5">
        <v>119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2.4874000000000001</v>
      </c>
      <c r="F406" s="5">
        <v>122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2.50291</v>
      </c>
      <c r="F407" s="5">
        <v>117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2.4973100000000001</v>
      </c>
      <c r="F408" s="5">
        <v>122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2.5025400000000002</v>
      </c>
      <c r="F409" s="5">
        <v>119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2.5041699999999998</v>
      </c>
      <c r="F410" s="5">
        <v>120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2.7288199999999998</v>
      </c>
      <c r="F411" s="5">
        <v>125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2.7245200000000001</v>
      </c>
      <c r="F412" s="5">
        <v>130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2.73773</v>
      </c>
      <c r="F413" s="5">
        <v>126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2.7357499999999999</v>
      </c>
      <c r="F414" s="5">
        <v>125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2.7284000000000002</v>
      </c>
      <c r="F415" s="5">
        <v>130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2.73305</v>
      </c>
      <c r="F416" s="5">
        <v>126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2.7347100000000002</v>
      </c>
      <c r="F417" s="5">
        <v>127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2.738</v>
      </c>
      <c r="F418" s="5">
        <v>131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2.7357800000000001</v>
      </c>
      <c r="F419" s="5">
        <v>127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2.7377400000000001</v>
      </c>
      <c r="F420" s="5">
        <v>127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2.9672299999999998</v>
      </c>
      <c r="F421" s="5">
        <v>53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2.98583</v>
      </c>
      <c r="F422" s="5">
        <v>55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3.00949</v>
      </c>
      <c r="F423" s="5">
        <v>55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2.9687700000000001</v>
      </c>
      <c r="F424" s="5">
        <v>54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2.98001</v>
      </c>
      <c r="F425" s="5">
        <v>54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2.96665</v>
      </c>
      <c r="F426" s="5">
        <v>55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2.9714200000000002</v>
      </c>
      <c r="F427" s="5">
        <v>53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2.96746</v>
      </c>
      <c r="F428" s="5">
        <v>54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3.00888</v>
      </c>
      <c r="F429" s="5">
        <v>56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2.99058</v>
      </c>
      <c r="F430" s="5">
        <v>55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3.79833</v>
      </c>
      <c r="F431" s="5">
        <v>67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3.7961800000000001</v>
      </c>
      <c r="F432" s="5">
        <v>67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3.8106200000000001</v>
      </c>
      <c r="F433" s="5">
        <v>67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3.7761800000000001</v>
      </c>
      <c r="F434" s="5">
        <v>67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3.7698100000000001</v>
      </c>
      <c r="F435" s="5">
        <v>66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3.7909799999999998</v>
      </c>
      <c r="F436" s="5">
        <v>68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3.7890899999999998</v>
      </c>
      <c r="F437" s="5">
        <v>68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3.7789199999999998</v>
      </c>
      <c r="F438" s="5">
        <v>66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3.8131400000000002</v>
      </c>
      <c r="F439" s="5">
        <v>68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3.8144999999999998</v>
      </c>
      <c r="F440" s="5">
        <v>67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5.4776199999999999</v>
      </c>
      <c r="F441" s="5">
        <v>93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5.4724399999999997</v>
      </c>
      <c r="F442" s="5">
        <v>93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5.4766599999999999</v>
      </c>
      <c r="F443" s="5">
        <v>93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5.4835599999999998</v>
      </c>
      <c r="F444" s="5">
        <v>93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5.4896599999999998</v>
      </c>
      <c r="F445" s="5">
        <v>92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5.4907399999999997</v>
      </c>
      <c r="F446" s="5">
        <v>93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5.4731100000000001</v>
      </c>
      <c r="F447" s="5">
        <v>93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5.4986499999999996</v>
      </c>
      <c r="F448" s="5">
        <v>92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5.4869000000000003</v>
      </c>
      <c r="F449" s="5">
        <v>93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5.4826800000000002</v>
      </c>
      <c r="F450" s="5">
        <v>93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X1"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0.56772</v>
      </c>
      <c r="F1" s="5">
        <v>28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0.54620000000000002</v>
      </c>
      <c r="F2" s="5">
        <v>35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0.54937999999999998</v>
      </c>
      <c r="F3" s="5">
        <v>32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170.36338000000001</v>
      </c>
      <c r="W3" s="5">
        <f t="shared" ref="W3:W46" ca="1" si="12">AVERAGE(L3:U3)</f>
        <v>170.35137400000002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7.8309344688146025E-5</v>
      </c>
      <c r="AM3" s="5">
        <f t="shared" ref="AM3:AM46" ca="1" si="13">SUM(AB3:AK3)</f>
        <v>7.8309344688146025E-5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0.55215999999999998</v>
      </c>
      <c r="F4" s="5">
        <v>37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0.54705999999999999</v>
      </c>
      <c r="F5" s="5">
        <v>27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0.55305000000000004</v>
      </c>
      <c r="F6" s="5">
        <v>33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0.55515000000000003</v>
      </c>
      <c r="F7" s="5">
        <v>33</v>
      </c>
      <c r="H7" s="5" t="s">
        <v>27</v>
      </c>
      <c r="I7" s="5">
        <v>50</v>
      </c>
      <c r="J7" s="5">
        <v>1</v>
      </c>
      <c r="L7" s="5">
        <f t="shared" ca="1" si="11"/>
        <v>182.34269</v>
      </c>
      <c r="M7" s="5">
        <f t="shared" ca="1" si="0"/>
        <v>180.01333</v>
      </c>
      <c r="N7" s="5">
        <f t="shared" ca="1" si="0"/>
        <v>182.34269</v>
      </c>
      <c r="O7" s="5">
        <f t="shared" ca="1" si="0"/>
        <v>183.50812999999999</v>
      </c>
      <c r="P7" s="5">
        <f t="shared" ca="1" si="0"/>
        <v>181.89</v>
      </c>
      <c r="Q7" s="5">
        <f t="shared" ca="1" si="0"/>
        <v>179.67332999999999</v>
      </c>
      <c r="R7" s="5">
        <f t="shared" ca="1" si="0"/>
        <v>182.34583000000001</v>
      </c>
      <c r="S7" s="5">
        <f t="shared" ca="1" si="0"/>
        <v>182.34269</v>
      </c>
      <c r="T7" s="5">
        <f t="shared" ca="1" si="0"/>
        <v>182.34583000000001</v>
      </c>
      <c r="U7" s="5">
        <f t="shared" ca="1" si="0"/>
        <v>179.93769</v>
      </c>
      <c r="W7" s="5">
        <f t="shared" ca="1" si="12"/>
        <v>181.67422099999999</v>
      </c>
      <c r="Y7" s="5">
        <f ca="1">Total!E7</f>
        <v>179.67332999999999</v>
      </c>
      <c r="AB7" s="5">
        <f t="shared" ca="1" si="1"/>
        <v>1.4856740285272231E-2</v>
      </c>
      <c r="AC7" s="5">
        <f t="shared" ca="1" si="2"/>
        <v>1.8923231400008193E-3</v>
      </c>
      <c r="AD7" s="5">
        <f t="shared" ca="1" si="3"/>
        <v>1.4856740285272231E-2</v>
      </c>
      <c r="AE7" s="5">
        <f t="shared" ca="1" si="4"/>
        <v>2.1343178756691387E-2</v>
      </c>
      <c r="AF7" s="5">
        <f t="shared" ca="1" si="5"/>
        <v>1.2337223337486946E-2</v>
      </c>
      <c r="AG7" s="5">
        <f t="shared" ca="1" si="6"/>
        <v>0</v>
      </c>
      <c r="AH7" s="5">
        <f t="shared" ca="1" si="7"/>
        <v>1.4874216446035779E-2</v>
      </c>
      <c r="AI7" s="5">
        <f t="shared" ca="1" si="8"/>
        <v>1.4856740285272231E-2</v>
      </c>
      <c r="AJ7" s="5">
        <f t="shared" ca="1" si="9"/>
        <v>1.4874216446035779E-2</v>
      </c>
      <c r="AK7" s="5">
        <f t="shared" ca="1" si="10"/>
        <v>1.4713368979136225E-3</v>
      </c>
      <c r="AM7" s="5">
        <f t="shared" ca="1" si="13"/>
        <v>0.11136271587998102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0.54429000000000005</v>
      </c>
      <c r="F8" s="5">
        <v>33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0.54898999999999998</v>
      </c>
      <c r="F9" s="5">
        <v>38</v>
      </c>
      <c r="H9" s="5" t="s">
        <v>27</v>
      </c>
      <c r="I9" s="5">
        <v>100</v>
      </c>
      <c r="J9" s="5">
        <v>0.7</v>
      </c>
      <c r="L9" s="5">
        <f t="shared" ca="1" si="11"/>
        <v>257.07531999999998</v>
      </c>
      <c r="M9" s="5">
        <f t="shared" ca="1" si="0"/>
        <v>257.58519000000001</v>
      </c>
      <c r="N9" s="5">
        <f t="shared" ca="1" si="0"/>
        <v>257.53474999999997</v>
      </c>
      <c r="O9" s="5">
        <f t="shared" ca="1" si="0"/>
        <v>257.46519000000001</v>
      </c>
      <c r="P9" s="5">
        <f t="shared" ca="1" si="0"/>
        <v>257.21629000000001</v>
      </c>
      <c r="Q9" s="5">
        <f t="shared" ca="1" si="0"/>
        <v>257.66663999999997</v>
      </c>
      <c r="R9" s="5">
        <f t="shared" ca="1" si="0"/>
        <v>256.81540999999999</v>
      </c>
      <c r="S9" s="5">
        <f t="shared" ca="1" si="0"/>
        <v>257.59154000000001</v>
      </c>
      <c r="T9" s="5">
        <f t="shared" ca="1" si="0"/>
        <v>256.94277</v>
      </c>
      <c r="U9" s="5">
        <f t="shared" ca="1" si="0"/>
        <v>257.44295</v>
      </c>
      <c r="W9" s="5">
        <f t="shared" ca="1" si="12"/>
        <v>257.33360499999998</v>
      </c>
      <c r="Y9" s="5">
        <f ca="1">Total!E9</f>
        <v>255.18879999999999</v>
      </c>
      <c r="AB9" s="5">
        <f t="shared" ca="1" si="1"/>
        <v>7.3926441912810842E-3</v>
      </c>
      <c r="AC9" s="5">
        <f t="shared" ca="1" si="2"/>
        <v>9.3906550757714494E-3</v>
      </c>
      <c r="AD9" s="5">
        <f t="shared" ca="1" si="3"/>
        <v>9.1929974983227629E-3</v>
      </c>
      <c r="AE9" s="5">
        <f t="shared" ca="1" si="4"/>
        <v>8.9204150025393777E-3</v>
      </c>
      <c r="AF9" s="5">
        <f t="shared" ca="1" si="5"/>
        <v>7.9450587173105908E-3</v>
      </c>
      <c r="AG9" s="5">
        <f t="shared" ca="1" si="6"/>
        <v>9.7098305254775547E-3</v>
      </c>
      <c r="AH9" s="5">
        <f t="shared" ca="1" si="7"/>
        <v>6.3741433793332606E-3</v>
      </c>
      <c r="AI9" s="5">
        <f t="shared" ca="1" si="8"/>
        <v>9.4155386129799699E-3</v>
      </c>
      <c r="AJ9" s="5">
        <f t="shared" ca="1" si="9"/>
        <v>6.8732248437235865E-3</v>
      </c>
      <c r="AK9" s="5">
        <f t="shared" ca="1" si="10"/>
        <v>8.8332638423003276E-3</v>
      </c>
      <c r="AM9" s="5">
        <f t="shared" ca="1" si="13"/>
        <v>8.4047771689039957E-2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0.54679</v>
      </c>
      <c r="F10" s="5">
        <v>37</v>
      </c>
      <c r="H10" s="5" t="s">
        <v>27</v>
      </c>
      <c r="I10" s="5">
        <v>100</v>
      </c>
      <c r="J10" s="5">
        <v>1</v>
      </c>
      <c r="L10" s="5">
        <f t="shared" ca="1" si="11"/>
        <v>239.19667000000001</v>
      </c>
      <c r="M10" s="5">
        <f t="shared" ca="1" si="0"/>
        <v>238.86</v>
      </c>
      <c r="N10" s="5">
        <f t="shared" ca="1" si="0"/>
        <v>238.87026</v>
      </c>
      <c r="O10" s="5">
        <f t="shared" ca="1" si="0"/>
        <v>239.00667000000001</v>
      </c>
      <c r="P10" s="5">
        <f t="shared" ca="1" si="0"/>
        <v>238.96256</v>
      </c>
      <c r="Q10" s="5">
        <f t="shared" ca="1" si="0"/>
        <v>239.4324</v>
      </c>
      <c r="R10" s="5">
        <f t="shared" ca="1" si="0"/>
        <v>239.44336999999999</v>
      </c>
      <c r="S10" s="5">
        <f t="shared" ca="1" si="0"/>
        <v>240.21823000000001</v>
      </c>
      <c r="T10" s="5">
        <f t="shared" ca="1" si="0"/>
        <v>238.96163999999999</v>
      </c>
      <c r="U10" s="5">
        <f t="shared" ca="1" si="0"/>
        <v>238.95332999999999</v>
      </c>
      <c r="W10" s="5">
        <f t="shared" ca="1" si="12"/>
        <v>239.19051299999995</v>
      </c>
      <c r="Y10" s="5">
        <f ca="1">Total!E10</f>
        <v>238.77667</v>
      </c>
      <c r="AB10" s="5">
        <f t="shared" ca="1" si="1"/>
        <v>1.7589658152114105E-3</v>
      </c>
      <c r="AC10" s="5">
        <f t="shared" ca="1" si="2"/>
        <v>3.4898719376569699E-4</v>
      </c>
      <c r="AD10" s="5">
        <f t="shared" ca="1" si="3"/>
        <v>3.9195621582295315E-4</v>
      </c>
      <c r="AE10" s="5">
        <f t="shared" ca="1" si="4"/>
        <v>9.6324318452057397E-4</v>
      </c>
      <c r="AF10" s="5">
        <f t="shared" ca="1" si="5"/>
        <v>7.7850989378485161E-4</v>
      </c>
      <c r="AG10" s="5">
        <f t="shared" ca="1" si="6"/>
        <v>2.7462063190679619E-3</v>
      </c>
      <c r="AH10" s="5">
        <f t="shared" ca="1" si="7"/>
        <v>2.7921488309556861E-3</v>
      </c>
      <c r="AI10" s="5">
        <f t="shared" ca="1" si="8"/>
        <v>6.0372732394668614E-3</v>
      </c>
      <c r="AJ10" s="5">
        <f t="shared" ca="1" si="9"/>
        <v>7.746569210467369E-4</v>
      </c>
      <c r="AK10" s="5">
        <f t="shared" ca="1" si="10"/>
        <v>7.3985452598864985E-4</v>
      </c>
      <c r="AM10" s="5">
        <f t="shared" ca="1" si="13"/>
        <v>1.7331802139631383E-2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1.4349000000000001</v>
      </c>
      <c r="F11" s="5">
        <v>89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1.42126</v>
      </c>
      <c r="F12" s="5">
        <v>99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1.4281999999999999</v>
      </c>
      <c r="F13" s="5">
        <v>100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1.4236599999999999</v>
      </c>
      <c r="F14" s="5">
        <v>108</v>
      </c>
      <c r="H14" s="5" t="s">
        <v>2</v>
      </c>
      <c r="I14" s="5">
        <v>47</v>
      </c>
      <c r="J14" s="5">
        <v>0.4</v>
      </c>
      <c r="L14" s="5">
        <f t="shared" ca="1" si="11"/>
        <v>4348.0289499999999</v>
      </c>
      <c r="M14" s="5">
        <f t="shared" ca="1" si="0"/>
        <v>4348.0289499999999</v>
      </c>
      <c r="N14" s="5">
        <f t="shared" ca="1" si="0"/>
        <v>4348.0289499999999</v>
      </c>
      <c r="O14" s="5">
        <f t="shared" ca="1" si="0"/>
        <v>4348.0289499999999</v>
      </c>
      <c r="P14" s="5">
        <f t="shared" ca="1" si="0"/>
        <v>4348.0289499999999</v>
      </c>
      <c r="Q14" s="5">
        <f t="shared" ca="1" si="0"/>
        <v>4348.0289499999999</v>
      </c>
      <c r="R14" s="5">
        <f t="shared" ca="1" si="0"/>
        <v>4348.0289499999999</v>
      </c>
      <c r="S14" s="5">
        <f t="shared" ca="1" si="0"/>
        <v>4348.0289499999999</v>
      </c>
      <c r="T14" s="5">
        <f t="shared" ca="1" si="0"/>
        <v>4348.0289499999999</v>
      </c>
      <c r="U14" s="5">
        <f t="shared" ca="1" si="0"/>
        <v>4348.0289499999999</v>
      </c>
      <c r="W14" s="5">
        <f t="shared" ca="1" si="12"/>
        <v>4348.0289499999999</v>
      </c>
      <c r="Y14" s="5">
        <f ca="1">Total!E14</f>
        <v>4348.0289499999999</v>
      </c>
      <c r="AB14" s="5">
        <f t="shared" ca="1" si="1"/>
        <v>0</v>
      </c>
      <c r="AC14" s="5">
        <f t="shared" ca="1" si="2"/>
        <v>0</v>
      </c>
      <c r="AD14" s="5">
        <f t="shared" ca="1" si="3"/>
        <v>0</v>
      </c>
      <c r="AE14" s="5">
        <f t="shared" ca="1" si="4"/>
        <v>0</v>
      </c>
      <c r="AF14" s="5">
        <f t="shared" ca="1" si="5"/>
        <v>0</v>
      </c>
      <c r="AG14" s="5">
        <f t="shared" ca="1" si="6"/>
        <v>0</v>
      </c>
      <c r="AH14" s="5">
        <f t="shared" ca="1" si="7"/>
        <v>0</v>
      </c>
      <c r="AI14" s="5">
        <f t="shared" ca="1" si="8"/>
        <v>0</v>
      </c>
      <c r="AJ14" s="5">
        <f t="shared" ca="1" si="9"/>
        <v>0</v>
      </c>
      <c r="AK14" s="5">
        <f t="shared" ca="1" si="10"/>
        <v>0</v>
      </c>
      <c r="AM14" s="5">
        <f t="shared" ca="1" si="13"/>
        <v>0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1.42553</v>
      </c>
      <c r="F15" s="5">
        <v>99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1.42371</v>
      </c>
      <c r="F16" s="5">
        <v>92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1.42109</v>
      </c>
      <c r="F17" s="5">
        <v>97</v>
      </c>
      <c r="H17" s="5" t="s">
        <v>2</v>
      </c>
      <c r="I17" s="5">
        <v>100</v>
      </c>
      <c r="J17" s="5">
        <v>0.4</v>
      </c>
      <c r="L17" s="5">
        <f t="shared" ca="1" si="11"/>
        <v>42986.673049999998</v>
      </c>
      <c r="M17" s="5">
        <f t="shared" ca="1" si="0"/>
        <v>42986.403050000001</v>
      </c>
      <c r="N17" s="5">
        <f t="shared" ca="1" si="0"/>
        <v>42986.403050000001</v>
      </c>
      <c r="O17" s="5">
        <f t="shared" ca="1" si="0"/>
        <v>42986.673049999998</v>
      </c>
      <c r="P17" s="5">
        <f t="shared" ca="1" si="0"/>
        <v>42986.96256</v>
      </c>
      <c r="Q17" s="5">
        <f t="shared" ca="1" si="0"/>
        <v>42986.802479999998</v>
      </c>
      <c r="R17" s="5">
        <f t="shared" ca="1" si="0"/>
        <v>42986.802479999998</v>
      </c>
      <c r="S17" s="5">
        <f t="shared" ca="1" si="0"/>
        <v>42988.218220000002</v>
      </c>
      <c r="T17" s="5">
        <f t="shared" ca="1" si="0"/>
        <v>42986.403050000001</v>
      </c>
      <c r="U17" s="5">
        <f t="shared" ca="1" si="0"/>
        <v>42986.403050000001</v>
      </c>
      <c r="W17" s="5">
        <f t="shared" ca="1" si="12"/>
        <v>42986.774404000011</v>
      </c>
      <c r="Y17" s="5">
        <f ca="1">Total!E17</f>
        <v>42986.193919999998</v>
      </c>
      <c r="AB17" s="5">
        <f t="shared" ca="1" si="1"/>
        <v>1.1146136847830832E-5</v>
      </c>
      <c r="AC17" s="5">
        <f t="shared" ca="1" si="2"/>
        <v>4.8650504018131747E-6</v>
      </c>
      <c r="AD17" s="5">
        <f t="shared" ca="1" si="3"/>
        <v>4.8650504018131747E-6</v>
      </c>
      <c r="AE17" s="5">
        <f t="shared" ca="1" si="4"/>
        <v>1.1146136847830832E-5</v>
      </c>
      <c r="AF17" s="5">
        <f t="shared" ca="1" si="5"/>
        <v>1.7881089947915334E-5</v>
      </c>
      <c r="AG17" s="5">
        <f t="shared" ca="1" si="6"/>
        <v>1.4157103583842479E-5</v>
      </c>
      <c r="AH17" s="5">
        <f t="shared" ca="1" si="7"/>
        <v>1.4157103583842479E-5</v>
      </c>
      <c r="AI17" s="5">
        <f t="shared" ca="1" si="8"/>
        <v>4.7091864047604123E-5</v>
      </c>
      <c r="AJ17" s="5">
        <f t="shared" ca="1" si="9"/>
        <v>4.8650504018131747E-6</v>
      </c>
      <c r="AK17" s="5">
        <f t="shared" ca="1" si="10"/>
        <v>4.8650504018131747E-6</v>
      </c>
      <c r="AM17" s="5">
        <f t="shared" ca="1" si="13"/>
        <v>1.3503963646611879E-4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1.42869</v>
      </c>
      <c r="F18" s="5">
        <v>109</v>
      </c>
      <c r="H18" s="5" t="s">
        <v>2</v>
      </c>
      <c r="I18" s="5">
        <v>100</v>
      </c>
      <c r="J18" s="5">
        <v>0.7</v>
      </c>
      <c r="L18" s="5">
        <f t="shared" ca="1" si="11"/>
        <v>35814.254260000002</v>
      </c>
      <c r="M18" s="5">
        <f t="shared" ca="1" si="11"/>
        <v>35600.62573</v>
      </c>
      <c r="N18" s="5">
        <f t="shared" ca="1" si="11"/>
        <v>35818.963479999999</v>
      </c>
      <c r="O18" s="5">
        <f t="shared" ca="1" si="11"/>
        <v>35783.666940000003</v>
      </c>
      <c r="P18" s="5">
        <f t="shared" ca="1" si="11"/>
        <v>35801.149519999999</v>
      </c>
      <c r="Q18" s="5">
        <f t="shared" ca="1" si="11"/>
        <v>35993.44184</v>
      </c>
      <c r="R18" s="5">
        <f t="shared" ca="1" si="11"/>
        <v>35553.324560000001</v>
      </c>
      <c r="S18" s="5">
        <f t="shared" ca="1" si="11"/>
        <v>35830.6613</v>
      </c>
      <c r="T18" s="5">
        <f t="shared" ca="1" si="11"/>
        <v>35595.124349999998</v>
      </c>
      <c r="U18" s="5">
        <f t="shared" ca="1" si="11"/>
        <v>35810.005080000003</v>
      </c>
      <c r="W18" s="5">
        <f t="shared" ca="1" si="12"/>
        <v>35760.121706000005</v>
      </c>
      <c r="Y18" s="5">
        <f ca="1">Total!E18</f>
        <v>35336.072039999999</v>
      </c>
      <c r="AB18" s="5">
        <f t="shared" ca="1" si="1"/>
        <v>1.3532410151833119E-2</v>
      </c>
      <c r="AC18" s="5">
        <f t="shared" ca="1" si="2"/>
        <v>7.4867882797083141E-3</v>
      </c>
      <c r="AD18" s="5">
        <f t="shared" ca="1" si="3"/>
        <v>1.3665679633360839E-2</v>
      </c>
      <c r="AE18" s="5">
        <f t="shared" ca="1" si="4"/>
        <v>1.2666798377967189E-2</v>
      </c>
      <c r="AF18" s="5">
        <f t="shared" ca="1" si="5"/>
        <v>1.3161550029486524E-2</v>
      </c>
      <c r="AG18" s="5">
        <f t="shared" ca="1" si="6"/>
        <v>1.8603363703126534E-2</v>
      </c>
      <c r="AH18" s="5">
        <f t="shared" ca="1" si="7"/>
        <v>6.1481796775282394E-3</v>
      </c>
      <c r="AI18" s="5">
        <f t="shared" ca="1" si="8"/>
        <v>1.3996724351255898E-2</v>
      </c>
      <c r="AJ18" s="5">
        <f t="shared" ca="1" si="9"/>
        <v>7.3311009131619125E-3</v>
      </c>
      <c r="AK18" s="5">
        <f t="shared" ca="1" si="10"/>
        <v>1.3412159661195992E-2</v>
      </c>
      <c r="AM18" s="5">
        <f t="shared" ca="1" si="13"/>
        <v>0.12000475477862457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1.42306</v>
      </c>
      <c r="F19" s="5">
        <v>68</v>
      </c>
      <c r="H19" s="5" t="s">
        <v>2</v>
      </c>
      <c r="I19" s="5">
        <v>100</v>
      </c>
      <c r="J19" s="5">
        <v>1</v>
      </c>
      <c r="L19" s="5">
        <f t="shared" ca="1" si="11"/>
        <v>35270.914980000001</v>
      </c>
      <c r="M19" s="5">
        <f t="shared" ca="1" si="11"/>
        <v>35322.009239999999</v>
      </c>
      <c r="N19" s="5">
        <f t="shared" ca="1" si="11"/>
        <v>35271.296670000003</v>
      </c>
      <c r="O19" s="5">
        <f t="shared" ca="1" si="11"/>
        <v>35285.185389999999</v>
      </c>
      <c r="P19" s="5">
        <f t="shared" ca="1" si="11"/>
        <v>35249.364009999998</v>
      </c>
      <c r="Q19" s="5">
        <f t="shared" ca="1" si="11"/>
        <v>35306.531580000003</v>
      </c>
      <c r="R19" s="5">
        <f t="shared" ca="1" si="11"/>
        <v>35291.149770000004</v>
      </c>
      <c r="S19" s="5">
        <f t="shared" ca="1" si="11"/>
        <v>35273.755129999998</v>
      </c>
      <c r="T19" s="5">
        <f t="shared" ca="1" si="11"/>
        <v>35319.730320000002</v>
      </c>
      <c r="U19" s="5">
        <f t="shared" ca="1" si="11"/>
        <v>35277.915639999999</v>
      </c>
      <c r="W19" s="5">
        <f t="shared" ca="1" si="12"/>
        <v>35286.785273000001</v>
      </c>
      <c r="Y19" s="5">
        <f ca="1">Total!E19</f>
        <v>35203.853329999998</v>
      </c>
      <c r="AB19" s="5">
        <f t="shared" ca="1" si="1"/>
        <v>1.9049519770284557E-3</v>
      </c>
      <c r="AC19" s="5">
        <f t="shared" ca="1" si="2"/>
        <v>3.3563345720257071E-3</v>
      </c>
      <c r="AD19" s="5">
        <f t="shared" ca="1" si="3"/>
        <v>1.915794256037632E-3</v>
      </c>
      <c r="AE19" s="5">
        <f t="shared" ca="1" si="4"/>
        <v>2.3103169768830712E-3</v>
      </c>
      <c r="AF19" s="5">
        <f t="shared" ca="1" si="5"/>
        <v>1.2927755258318881E-3</v>
      </c>
      <c r="AG19" s="5">
        <f t="shared" ca="1" si="6"/>
        <v>2.9166764512254173E-3</v>
      </c>
      <c r="AH19" s="5">
        <f t="shared" ca="1" si="7"/>
        <v>2.4797410437343605E-3</v>
      </c>
      <c r="AI19" s="5">
        <f t="shared" ca="1" si="8"/>
        <v>1.9856292248675734E-3</v>
      </c>
      <c r="AJ19" s="5">
        <f t="shared" ca="1" si="9"/>
        <v>3.2915996130814555E-3</v>
      </c>
      <c r="AK19" s="5">
        <f t="shared" ca="1" si="10"/>
        <v>2.1038125941993625E-3</v>
      </c>
      <c r="AM19" s="5">
        <f t="shared" ca="1" si="13"/>
        <v>2.3557632234914923E-2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170.36338000000001</v>
      </c>
      <c r="E20" s="5">
        <v>1.4233199999999999</v>
      </c>
      <c r="F20" s="5">
        <v>111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1.7751300000000001</v>
      </c>
      <c r="F21" s="5">
        <v>148</v>
      </c>
      <c r="H21" s="5" t="s">
        <v>1</v>
      </c>
      <c r="I21" s="5">
        <v>30</v>
      </c>
      <c r="J21" s="5">
        <v>0.7</v>
      </c>
      <c r="L21" s="5">
        <f t="shared" ca="1" si="11"/>
        <v>675.36989000000005</v>
      </c>
      <c r="M21" s="5">
        <f t="shared" ca="1" si="11"/>
        <v>675.36989000000005</v>
      </c>
      <c r="N21" s="5">
        <f t="shared" ca="1" si="11"/>
        <v>677.26074000000006</v>
      </c>
      <c r="O21" s="5">
        <f t="shared" ca="1" si="11"/>
        <v>675.36989000000005</v>
      </c>
      <c r="P21" s="5">
        <f t="shared" ca="1" si="11"/>
        <v>675.36581000000001</v>
      </c>
      <c r="Q21" s="5">
        <f t="shared" ca="1" si="11"/>
        <v>675.36581000000001</v>
      </c>
      <c r="R21" s="5">
        <f t="shared" ca="1" si="11"/>
        <v>675.36989000000005</v>
      </c>
      <c r="S21" s="5">
        <f t="shared" ca="1" si="11"/>
        <v>675.36989000000005</v>
      </c>
      <c r="T21" s="5">
        <f t="shared" ca="1" si="11"/>
        <v>675.36581000000001</v>
      </c>
      <c r="U21" s="5">
        <f t="shared" ca="1" si="11"/>
        <v>675.36989000000005</v>
      </c>
      <c r="W21" s="5">
        <f t="shared" ca="1" si="12"/>
        <v>675.55775100000005</v>
      </c>
      <c r="Y21" s="5">
        <f ca="1">Total!E21</f>
        <v>675.36581000000001</v>
      </c>
      <c r="AB21" s="5">
        <f t="shared" ca="1" si="1"/>
        <v>6.0411704881010963E-6</v>
      </c>
      <c r="AC21" s="5">
        <f t="shared" ca="1" si="2"/>
        <v>6.0411704881010963E-6</v>
      </c>
      <c r="AD21" s="5">
        <f t="shared" ca="1" si="3"/>
        <v>2.8057831355129525E-3</v>
      </c>
      <c r="AE21" s="5">
        <f t="shared" ca="1" si="4"/>
        <v>6.0411704881010963E-6</v>
      </c>
      <c r="AF21" s="5">
        <f t="shared" ca="1" si="5"/>
        <v>0</v>
      </c>
      <c r="AG21" s="5">
        <f t="shared" ca="1" si="6"/>
        <v>0</v>
      </c>
      <c r="AH21" s="5">
        <f t="shared" ca="1" si="7"/>
        <v>6.0411704881010963E-6</v>
      </c>
      <c r="AI21" s="5">
        <f t="shared" ca="1" si="8"/>
        <v>6.0411704881010963E-6</v>
      </c>
      <c r="AJ21" s="5">
        <f t="shared" ca="1" si="9"/>
        <v>0</v>
      </c>
      <c r="AK21" s="5">
        <f t="shared" ca="1" si="10"/>
        <v>6.0411704881010963E-6</v>
      </c>
      <c r="AM21" s="5">
        <f t="shared" ca="1" si="13"/>
        <v>2.8420301584415591E-3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1.7706</v>
      </c>
      <c r="F22" s="5">
        <v>163</v>
      </c>
      <c r="H22" s="5" t="s">
        <v>1</v>
      </c>
      <c r="I22" s="5">
        <v>30</v>
      </c>
      <c r="J22" s="5">
        <v>1</v>
      </c>
      <c r="L22" s="5">
        <f t="shared" ca="1" si="11"/>
        <v>657.32380999999998</v>
      </c>
      <c r="M22" s="5">
        <f t="shared" ca="1" si="11"/>
        <v>656.34204</v>
      </c>
      <c r="N22" s="5">
        <f t="shared" ca="1" si="11"/>
        <v>655.43907999999999</v>
      </c>
      <c r="O22" s="5">
        <f t="shared" ca="1" si="11"/>
        <v>656.34204</v>
      </c>
      <c r="P22" s="5">
        <f t="shared" ca="1" si="11"/>
        <v>655.43295999999998</v>
      </c>
      <c r="Q22" s="5">
        <f t="shared" ca="1" si="11"/>
        <v>657.35562000000004</v>
      </c>
      <c r="R22" s="5">
        <f t="shared" ca="1" si="11"/>
        <v>657.45713999999998</v>
      </c>
      <c r="S22" s="5">
        <f t="shared" ca="1" si="11"/>
        <v>657.32380999999998</v>
      </c>
      <c r="T22" s="5">
        <f t="shared" ca="1" si="11"/>
        <v>655.43295999999998</v>
      </c>
      <c r="U22" s="5">
        <f t="shared" ca="1" si="11"/>
        <v>657.95457999999996</v>
      </c>
      <c r="W22" s="5">
        <f t="shared" ca="1" si="12"/>
        <v>656.64040399999999</v>
      </c>
      <c r="Y22" s="5">
        <f ca="1">Total!E22</f>
        <v>655.43295999999998</v>
      </c>
      <c r="AB22" s="5">
        <f t="shared" ca="1" si="1"/>
        <v>2.8848869608266272E-3</v>
      </c>
      <c r="AC22" s="5">
        <f t="shared" ca="1" si="2"/>
        <v>1.3869915849212362E-3</v>
      </c>
      <c r="AD22" s="5">
        <f t="shared" ca="1" si="3"/>
        <v>9.337339397777456E-6</v>
      </c>
      <c r="AE22" s="5">
        <f t="shared" ca="1" si="4"/>
        <v>1.3869915849212362E-3</v>
      </c>
      <c r="AF22" s="5">
        <f t="shared" ca="1" si="5"/>
        <v>0</v>
      </c>
      <c r="AG22" s="5">
        <f t="shared" ca="1" si="6"/>
        <v>2.9334197657683624E-3</v>
      </c>
      <c r="AH22" s="5">
        <f t="shared" ca="1" si="7"/>
        <v>3.088309748719383E-3</v>
      </c>
      <c r="AI22" s="5">
        <f t="shared" ca="1" si="8"/>
        <v>2.8848869608266272E-3</v>
      </c>
      <c r="AJ22" s="5">
        <f t="shared" ca="1" si="9"/>
        <v>0</v>
      </c>
      <c r="AK22" s="5">
        <f t="shared" ca="1" si="10"/>
        <v>3.847258459507414E-3</v>
      </c>
      <c r="AM22" s="5">
        <f t="shared" ca="1" si="13"/>
        <v>1.8422082404888664E-2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1.7737099999999999</v>
      </c>
      <c r="F23" s="5">
        <v>163</v>
      </c>
      <c r="H23" s="5" t="s">
        <v>1</v>
      </c>
      <c r="I23" s="5">
        <v>50</v>
      </c>
      <c r="J23" s="5">
        <v>0.4</v>
      </c>
      <c r="L23" s="5">
        <f t="shared" ca="1" si="11"/>
        <v>1460.86079</v>
      </c>
      <c r="M23" s="5">
        <f t="shared" ca="1" si="11"/>
        <v>1483.36385</v>
      </c>
      <c r="N23" s="5">
        <f t="shared" ca="1" si="11"/>
        <v>1459.9687899999999</v>
      </c>
      <c r="O23" s="5">
        <f t="shared" ca="1" si="11"/>
        <v>1460.80863</v>
      </c>
      <c r="P23" s="5">
        <f t="shared" ca="1" si="11"/>
        <v>1459.9687899999999</v>
      </c>
      <c r="Q23" s="5">
        <f t="shared" ca="1" si="11"/>
        <v>1459.9687899999999</v>
      </c>
      <c r="R23" s="5">
        <f t="shared" ca="1" si="11"/>
        <v>1467.96156</v>
      </c>
      <c r="S23" s="5">
        <f t="shared" ca="1" si="11"/>
        <v>1483.36385</v>
      </c>
      <c r="T23" s="5">
        <f t="shared" ca="1" si="11"/>
        <v>1483.36385</v>
      </c>
      <c r="U23" s="5">
        <f t="shared" ca="1" si="11"/>
        <v>1460.0209400000001</v>
      </c>
      <c r="W23" s="5">
        <f t="shared" ca="1" si="12"/>
        <v>1467.9649839999997</v>
      </c>
      <c r="Y23" s="5">
        <f ca="1">Total!E23</f>
        <v>1459.9687899999999</v>
      </c>
      <c r="AB23" s="5">
        <f t="shared" ca="1" si="1"/>
        <v>6.1097196468155521E-4</v>
      </c>
      <c r="AC23" s="5">
        <f t="shared" ca="1" si="2"/>
        <v>1.6024356246683916E-2</v>
      </c>
      <c r="AD23" s="5">
        <f t="shared" ca="1" si="3"/>
        <v>0</v>
      </c>
      <c r="AE23" s="5">
        <f t="shared" ca="1" si="4"/>
        <v>5.7524517356298749E-4</v>
      </c>
      <c r="AF23" s="5">
        <f t="shared" ca="1" si="5"/>
        <v>0</v>
      </c>
      <c r="AG23" s="5">
        <f t="shared" ca="1" si="6"/>
        <v>0</v>
      </c>
      <c r="AH23" s="5">
        <f t="shared" ca="1" si="7"/>
        <v>5.4746170293133905E-3</v>
      </c>
      <c r="AI23" s="5">
        <f t="shared" ca="1" si="8"/>
        <v>1.6024356246683916E-2</v>
      </c>
      <c r="AJ23" s="5">
        <f t="shared" ca="1" si="9"/>
        <v>1.6024356246683916E-2</v>
      </c>
      <c r="AK23" s="5">
        <f t="shared" ca="1" si="10"/>
        <v>3.5719941657253266E-5</v>
      </c>
      <c r="AM23" s="5">
        <f t="shared" ca="1" si="13"/>
        <v>5.4769622849266938E-2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1.77484</v>
      </c>
      <c r="F24" s="5">
        <v>160</v>
      </c>
      <c r="H24" s="5" t="s">
        <v>1</v>
      </c>
      <c r="I24" s="5">
        <v>50</v>
      </c>
      <c r="J24" s="5">
        <v>0.7</v>
      </c>
      <c r="L24" s="5">
        <f t="shared" ca="1" si="11"/>
        <v>1010.27211</v>
      </c>
      <c r="M24" s="5">
        <f t="shared" ca="1" si="11"/>
        <v>1026.9099100000001</v>
      </c>
      <c r="N24" s="5">
        <f t="shared" ca="1" si="11"/>
        <v>1016.14518</v>
      </c>
      <c r="O24" s="5">
        <f t="shared" ca="1" si="11"/>
        <v>1010.3379</v>
      </c>
      <c r="P24" s="5">
        <f t="shared" ca="1" si="11"/>
        <v>1008.16063</v>
      </c>
      <c r="Q24" s="5">
        <f t="shared" ca="1" si="11"/>
        <v>1023.35392</v>
      </c>
      <c r="R24" s="5">
        <f t="shared" ca="1" si="11"/>
        <v>1018.66241</v>
      </c>
      <c r="S24" s="5">
        <f t="shared" ca="1" si="11"/>
        <v>1020.4293699999999</v>
      </c>
      <c r="T24" s="5">
        <f t="shared" ca="1" si="11"/>
        <v>1018.71793</v>
      </c>
      <c r="U24" s="5">
        <f t="shared" ca="1" si="11"/>
        <v>1017.32584</v>
      </c>
      <c r="W24" s="5">
        <f t="shared" ca="1" si="12"/>
        <v>1017.0315199999999</v>
      </c>
      <c r="Y24" s="5">
        <f ca="1">Total!E24</f>
        <v>1005.95063</v>
      </c>
      <c r="AB24" s="5">
        <f t="shared" ca="1" si="1"/>
        <v>4.295916589862816E-3</v>
      </c>
      <c r="AC24" s="5">
        <f t="shared" ca="1" si="2"/>
        <v>2.0835296857461119E-2</v>
      </c>
      <c r="AD24" s="5">
        <f t="shared" ca="1" si="3"/>
        <v>1.0134244858517496E-2</v>
      </c>
      <c r="AE24" s="5">
        <f t="shared" ca="1" si="4"/>
        <v>4.3613174137581128E-3</v>
      </c>
      <c r="AF24" s="5">
        <f t="shared" ca="1" si="5"/>
        <v>2.1969269008757643E-3</v>
      </c>
      <c r="AG24" s="5">
        <f t="shared" ca="1" si="6"/>
        <v>1.7300342065494773E-2</v>
      </c>
      <c r="AH24" s="5">
        <f t="shared" ca="1" si="7"/>
        <v>1.263658436199794E-2</v>
      </c>
      <c r="AI24" s="5">
        <f t="shared" ca="1" si="8"/>
        <v>1.4393092034745186E-2</v>
      </c>
      <c r="AJ24" s="5">
        <f t="shared" ca="1" si="9"/>
        <v>1.2691775937353881E-2</v>
      </c>
      <c r="AK24" s="5">
        <f t="shared" ca="1" si="10"/>
        <v>1.130792074756186E-2</v>
      </c>
      <c r="AM24" s="5">
        <f t="shared" ca="1" si="13"/>
        <v>0.11015341776762895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1.7716000000000001</v>
      </c>
      <c r="F25" s="5">
        <v>164</v>
      </c>
      <c r="H25" s="5" t="s">
        <v>1</v>
      </c>
      <c r="I25" s="5">
        <v>50</v>
      </c>
      <c r="J25" s="5">
        <v>1</v>
      </c>
      <c r="L25" s="5">
        <f t="shared" ca="1" si="11"/>
        <v>997.69452000000001</v>
      </c>
      <c r="M25" s="5">
        <f t="shared" ca="1" si="11"/>
        <v>995.64540999999997</v>
      </c>
      <c r="N25" s="5">
        <f t="shared" ca="1" si="11"/>
        <v>994.08667000000003</v>
      </c>
      <c r="O25" s="5">
        <f t="shared" ca="1" si="11"/>
        <v>994.10667000000001</v>
      </c>
      <c r="P25" s="5">
        <f t="shared" ca="1" si="11"/>
        <v>995.86120000000005</v>
      </c>
      <c r="Q25" s="5">
        <f t="shared" ca="1" si="11"/>
        <v>1001.09667</v>
      </c>
      <c r="R25" s="5">
        <f t="shared" ca="1" si="11"/>
        <v>995.62945000000002</v>
      </c>
      <c r="S25" s="5">
        <f t="shared" ca="1" si="11"/>
        <v>993.07246999999995</v>
      </c>
      <c r="T25" s="5">
        <f t="shared" ca="1" si="11"/>
        <v>993.83</v>
      </c>
      <c r="U25" s="5">
        <f t="shared" ca="1" si="11"/>
        <v>992.44034999999997</v>
      </c>
      <c r="W25" s="5">
        <f t="shared" ca="1" si="12"/>
        <v>995.34634100000017</v>
      </c>
      <c r="Y25" s="5">
        <f ca="1">Total!E25</f>
        <v>990.69820000000004</v>
      </c>
      <c r="AB25" s="5">
        <f t="shared" ca="1" si="1"/>
        <v>7.0620093990278457E-3</v>
      </c>
      <c r="AC25" s="5">
        <f t="shared" ca="1" si="2"/>
        <v>4.9936600268375647E-3</v>
      </c>
      <c r="AD25" s="5">
        <f t="shared" ca="1" si="3"/>
        <v>3.4202848052010022E-3</v>
      </c>
      <c r="AE25" s="5">
        <f t="shared" ca="1" si="4"/>
        <v>3.4404725879182635E-3</v>
      </c>
      <c r="AF25" s="5">
        <f t="shared" ca="1" si="5"/>
        <v>5.2114761084657369E-3</v>
      </c>
      <c r="AG25" s="5">
        <f t="shared" ca="1" si="6"/>
        <v>1.049610264760749E-2</v>
      </c>
      <c r="AH25" s="5">
        <f t="shared" ca="1" si="7"/>
        <v>4.9775501762292264E-3</v>
      </c>
      <c r="AI25" s="5">
        <f t="shared" ca="1" si="8"/>
        <v>2.3965623436076802E-3</v>
      </c>
      <c r="AJ25" s="5">
        <f t="shared" ca="1" si="9"/>
        <v>3.1612048956988093E-3</v>
      </c>
      <c r="AK25" s="5">
        <f t="shared" ca="1" si="10"/>
        <v>1.7585072830453555E-3</v>
      </c>
      <c r="AM25" s="5">
        <f t="shared" ca="1" si="13"/>
        <v>4.6917830273638973E-2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1.77078</v>
      </c>
      <c r="F26" s="5">
        <v>156</v>
      </c>
      <c r="H26" s="5" t="s">
        <v>1</v>
      </c>
      <c r="I26" s="5">
        <v>100</v>
      </c>
      <c r="J26" s="5">
        <v>0.4</v>
      </c>
      <c r="L26" s="5">
        <f t="shared" ca="1" si="11"/>
        <v>1838.4531999999999</v>
      </c>
      <c r="M26" s="5">
        <f t="shared" ca="1" si="11"/>
        <v>1863.1282799999999</v>
      </c>
      <c r="N26" s="5">
        <f t="shared" ca="1" si="11"/>
        <v>1863.03756</v>
      </c>
      <c r="O26" s="5">
        <f t="shared" ca="1" si="11"/>
        <v>1879.43776</v>
      </c>
      <c r="P26" s="5">
        <f t="shared" ca="1" si="11"/>
        <v>1846.35</v>
      </c>
      <c r="Q26" s="5">
        <f t="shared" ca="1" si="11"/>
        <v>1829.2342599999999</v>
      </c>
      <c r="R26" s="5">
        <f t="shared" ca="1" si="11"/>
        <v>1833.84727</v>
      </c>
      <c r="S26" s="5">
        <f t="shared" ca="1" si="11"/>
        <v>1872.31727</v>
      </c>
      <c r="T26" s="5">
        <f t="shared" ca="1" si="11"/>
        <v>1862.29593</v>
      </c>
      <c r="U26" s="5">
        <f t="shared" ca="1" si="11"/>
        <v>1869.3601900000001</v>
      </c>
      <c r="W26" s="5">
        <f t="shared" ca="1" si="12"/>
        <v>1855.7461719999997</v>
      </c>
      <c r="Y26" s="5">
        <f ca="1">Total!E26</f>
        <v>1786.3248599999999</v>
      </c>
      <c r="AB26" s="5">
        <f t="shared" ca="1" si="1"/>
        <v>2.9181892480631983E-2</v>
      </c>
      <c r="AC26" s="5">
        <f t="shared" ca="1" si="2"/>
        <v>4.2995214207565788E-2</v>
      </c>
      <c r="AD26" s="5">
        <f t="shared" ca="1" si="3"/>
        <v>4.2944428372339867E-2</v>
      </c>
      <c r="AE26" s="5">
        <f t="shared" ca="1" si="4"/>
        <v>5.2125401199421301E-2</v>
      </c>
      <c r="AF26" s="5">
        <f t="shared" ca="1" si="5"/>
        <v>3.3602588949022391E-2</v>
      </c>
      <c r="AG26" s="5">
        <f t="shared" ca="1" si="6"/>
        <v>2.4021050683916478E-2</v>
      </c>
      <c r="AH26" s="5">
        <f t="shared" ca="1" si="7"/>
        <v>2.6603453304680561E-2</v>
      </c>
      <c r="AI26" s="5">
        <f t="shared" ca="1" si="8"/>
        <v>4.8139289737030286E-2</v>
      </c>
      <c r="AJ26" s="5">
        <f t="shared" ca="1" si="9"/>
        <v>4.2529257528219171E-2</v>
      </c>
      <c r="AK26" s="5">
        <f t="shared" ca="1" si="10"/>
        <v>4.6483890953631E-2</v>
      </c>
      <c r="AM26" s="5">
        <f t="shared" ca="1" si="13"/>
        <v>0.38862646741645879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1.7775300000000001</v>
      </c>
      <c r="F27" s="5">
        <v>164</v>
      </c>
      <c r="H27" s="5" t="s">
        <v>1</v>
      </c>
      <c r="I27" s="5">
        <v>100</v>
      </c>
      <c r="J27" s="5">
        <v>0.7</v>
      </c>
      <c r="L27" s="5">
        <f t="shared" ca="1" si="11"/>
        <v>1790.4234300000001</v>
      </c>
      <c r="M27" s="5">
        <f t="shared" ca="1" si="11"/>
        <v>1786.8795299999999</v>
      </c>
      <c r="N27" s="5">
        <f t="shared" ca="1" si="11"/>
        <v>1792.6279</v>
      </c>
      <c r="O27" s="5">
        <f t="shared" ca="1" si="11"/>
        <v>1795.46</v>
      </c>
      <c r="P27" s="5">
        <f t="shared" ca="1" si="11"/>
        <v>1772.7908399999999</v>
      </c>
      <c r="Q27" s="5">
        <f t="shared" ca="1" si="11"/>
        <v>1779.03333</v>
      </c>
      <c r="R27" s="5">
        <f t="shared" ca="1" si="11"/>
        <v>1785.9860799999999</v>
      </c>
      <c r="S27" s="5">
        <f t="shared" ca="1" si="11"/>
        <v>1782.77</v>
      </c>
      <c r="T27" s="5">
        <f t="shared" ca="1" si="11"/>
        <v>1767.7114899999999</v>
      </c>
      <c r="U27" s="5">
        <f t="shared" ca="1" si="11"/>
        <v>1789.78</v>
      </c>
      <c r="W27" s="5">
        <f t="shared" ca="1" si="12"/>
        <v>1784.3462600000003</v>
      </c>
      <c r="Y27" s="5">
        <f ca="1">Total!E27</f>
        <v>1761.02206</v>
      </c>
      <c r="AB27" s="5">
        <f t="shared" ca="1" si="1"/>
        <v>1.6695628446585186E-2</v>
      </c>
      <c r="AC27" s="5">
        <f t="shared" ca="1" si="2"/>
        <v>1.468321754015956E-2</v>
      </c>
      <c r="AD27" s="5">
        <f t="shared" ca="1" si="3"/>
        <v>1.7947441271689658E-2</v>
      </c>
      <c r="AE27" s="5">
        <f t="shared" ca="1" si="4"/>
        <v>1.9555655083616629E-2</v>
      </c>
      <c r="AF27" s="5">
        <f t="shared" ca="1" si="5"/>
        <v>6.6829259367709899E-3</v>
      </c>
      <c r="AG27" s="5">
        <f t="shared" ca="1" si="6"/>
        <v>1.0227736726932295E-2</v>
      </c>
      <c r="AH27" s="5">
        <f t="shared" ca="1" si="7"/>
        <v>1.4175870119423655E-2</v>
      </c>
      <c r="AI27" s="5">
        <f t="shared" ca="1" si="8"/>
        <v>1.2349612474474039E-2</v>
      </c>
      <c r="AJ27" s="5">
        <f t="shared" ca="1" si="9"/>
        <v>3.7986065887214964E-3</v>
      </c>
      <c r="AK27" s="5">
        <f t="shared" ca="1" si="10"/>
        <v>1.6330255397254911E-2</v>
      </c>
      <c r="AM27" s="5">
        <f t="shared" ca="1" si="13"/>
        <v>0.13244694958562842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1.7721899999999999</v>
      </c>
      <c r="F28" s="5">
        <v>152</v>
      </c>
      <c r="H28" s="5" t="s">
        <v>1</v>
      </c>
      <c r="I28" s="5">
        <v>100</v>
      </c>
      <c r="J28" s="5">
        <v>1</v>
      </c>
      <c r="L28" s="5">
        <f t="shared" ca="1" si="11"/>
        <v>1759.67841</v>
      </c>
      <c r="M28" s="5">
        <f t="shared" ca="1" si="11"/>
        <v>1758.8552</v>
      </c>
      <c r="N28" s="5">
        <f t="shared" ca="1" si="11"/>
        <v>1757.4339299999999</v>
      </c>
      <c r="O28" s="5">
        <f t="shared" ca="1" si="11"/>
        <v>1757.6624099999999</v>
      </c>
      <c r="P28" s="5">
        <f t="shared" ca="1" si="11"/>
        <v>1757.3866700000001</v>
      </c>
      <c r="Q28" s="5">
        <f t="shared" ca="1" si="11"/>
        <v>1758.1033299999999</v>
      </c>
      <c r="R28" s="5">
        <f t="shared" ca="1" si="11"/>
        <v>1755.1233299999999</v>
      </c>
      <c r="S28" s="5">
        <f t="shared" ca="1" si="11"/>
        <v>1756.6366700000001</v>
      </c>
      <c r="T28" s="5">
        <f t="shared" ca="1" si="11"/>
        <v>1759.0419099999999</v>
      </c>
      <c r="U28" s="5">
        <f t="shared" ca="1" si="11"/>
        <v>1763.76333</v>
      </c>
      <c r="W28" s="5">
        <f t="shared" ca="1" si="12"/>
        <v>1758.3685190000001</v>
      </c>
      <c r="Y28" s="5">
        <f ca="1">Total!E28</f>
        <v>1753.1198199999999</v>
      </c>
      <c r="AB28" s="5">
        <f t="shared" ca="1" si="1"/>
        <v>3.7410962588969505E-3</v>
      </c>
      <c r="AC28" s="5">
        <f t="shared" ca="1" si="2"/>
        <v>3.2715276700254737E-3</v>
      </c>
      <c r="AD28" s="5">
        <f t="shared" ca="1" si="3"/>
        <v>2.4608186792389511E-3</v>
      </c>
      <c r="AE28" s="5">
        <f t="shared" ca="1" si="4"/>
        <v>2.591146337048439E-3</v>
      </c>
      <c r="AF28" s="5">
        <f t="shared" ca="1" si="5"/>
        <v>2.4338610238290527E-3</v>
      </c>
      <c r="AG28" s="5">
        <f t="shared" ca="1" si="6"/>
        <v>2.8426522495193876E-3</v>
      </c>
      <c r="AH28" s="5">
        <f t="shared" ca="1" si="7"/>
        <v>1.1428254801203524E-3</v>
      </c>
      <c r="AI28" s="5">
        <f t="shared" ca="1" si="8"/>
        <v>2.0060522731413784E-3</v>
      </c>
      <c r="AJ28" s="5">
        <f t="shared" ca="1" si="9"/>
        <v>3.3780292324799717E-3</v>
      </c>
      <c r="AK28" s="5">
        <f t="shared" ca="1" si="10"/>
        <v>6.0711822880424151E-3</v>
      </c>
      <c r="AM28" s="5">
        <f t="shared" ca="1" si="13"/>
        <v>2.9939191492342372E-2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1.7715099999999999</v>
      </c>
      <c r="F29" s="5">
        <v>162</v>
      </c>
      <c r="H29" s="5" t="s">
        <v>0</v>
      </c>
      <c r="I29" s="5">
        <v>25</v>
      </c>
      <c r="J29" s="5">
        <v>0.4</v>
      </c>
      <c r="L29" s="5">
        <f t="shared" ca="1" si="11"/>
        <v>42.003050000000002</v>
      </c>
      <c r="M29" s="5">
        <f t="shared" ca="1" si="11"/>
        <v>42.424349999999997</v>
      </c>
      <c r="N29" s="5">
        <f t="shared" ca="1" si="11"/>
        <v>41.318849999999998</v>
      </c>
      <c r="O29" s="5">
        <f t="shared" ca="1" si="11"/>
        <v>41.318849999999998</v>
      </c>
      <c r="P29" s="5">
        <f t="shared" ca="1" si="11"/>
        <v>41.318849999999998</v>
      </c>
      <c r="Q29" s="5">
        <f t="shared" ca="1" si="11"/>
        <v>41.318849999999998</v>
      </c>
      <c r="R29" s="5">
        <f t="shared" ca="1" si="11"/>
        <v>41.318849999999998</v>
      </c>
      <c r="S29" s="5">
        <f t="shared" ca="1" si="11"/>
        <v>41.318849999999998</v>
      </c>
      <c r="T29" s="5">
        <f t="shared" ca="1" si="11"/>
        <v>41.319229999999997</v>
      </c>
      <c r="U29" s="5">
        <f t="shared" ca="1" si="11"/>
        <v>42.424349999999997</v>
      </c>
      <c r="W29" s="5">
        <f t="shared" ca="1" si="12"/>
        <v>41.608408000000004</v>
      </c>
      <c r="Y29" s="5">
        <f ca="1">Total!E29</f>
        <v>40.897550000000003</v>
      </c>
      <c r="AB29" s="5">
        <f t="shared" ca="1" si="1"/>
        <v>2.703095906723017E-2</v>
      </c>
      <c r="AC29" s="5">
        <f t="shared" ca="1" si="2"/>
        <v>3.7332309637129711E-2</v>
      </c>
      <c r="AD29" s="5">
        <f t="shared" ca="1" si="3"/>
        <v>1.0301350569899543E-2</v>
      </c>
      <c r="AE29" s="5">
        <f t="shared" ca="1" si="4"/>
        <v>1.0301350569899543E-2</v>
      </c>
      <c r="AF29" s="5">
        <f t="shared" ca="1" si="5"/>
        <v>1.0301350569899543E-2</v>
      </c>
      <c r="AG29" s="5">
        <f t="shared" ca="1" si="6"/>
        <v>1.0301350569899543E-2</v>
      </c>
      <c r="AH29" s="5">
        <f t="shared" ca="1" si="7"/>
        <v>1.0301350569899543E-2</v>
      </c>
      <c r="AI29" s="5">
        <f t="shared" ca="1" si="8"/>
        <v>1.0301350569899543E-2</v>
      </c>
      <c r="AJ29" s="5">
        <f t="shared" ca="1" si="9"/>
        <v>1.0310642080026675E-2</v>
      </c>
      <c r="AK29" s="5">
        <f t="shared" ca="1" si="10"/>
        <v>3.7332309637129711E-2</v>
      </c>
      <c r="AM29" s="5">
        <f t="shared" ca="1" si="13"/>
        <v>0.17381432384091353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1.7698499999999999</v>
      </c>
      <c r="F30" s="5">
        <v>165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1"/>
        <v>28.65436</v>
      </c>
      <c r="N30" s="5">
        <f t="shared" ca="1" si="11"/>
        <v>28.65436</v>
      </c>
      <c r="O30" s="5">
        <f t="shared" ca="1" si="11"/>
        <v>28.65436</v>
      </c>
      <c r="P30" s="5">
        <f t="shared" ca="1" si="11"/>
        <v>28.65436</v>
      </c>
      <c r="Q30" s="5">
        <f t="shared" ca="1" si="11"/>
        <v>28.664359999999999</v>
      </c>
      <c r="R30" s="5">
        <f t="shared" ca="1" si="11"/>
        <v>28.65436</v>
      </c>
      <c r="S30" s="5">
        <f t="shared" ca="1" si="11"/>
        <v>28.65436</v>
      </c>
      <c r="T30" s="5">
        <f t="shared" ca="1" si="11"/>
        <v>28.65436</v>
      </c>
      <c r="U30" s="5">
        <f t="shared" ca="1" si="11"/>
        <v>28.65436</v>
      </c>
      <c r="W30" s="5">
        <f t="shared" ca="1" si="12"/>
        <v>28.655360000000002</v>
      </c>
      <c r="Y30" s="5">
        <f ca="1">Total!E30</f>
        <v>28.65436</v>
      </c>
      <c r="AB30" s="5">
        <f t="shared" ca="1" si="1"/>
        <v>0</v>
      </c>
      <c r="AC30" s="5">
        <f t="shared" ca="1" si="2"/>
        <v>0</v>
      </c>
      <c r="AD30" s="5">
        <f t="shared" ca="1" si="3"/>
        <v>0</v>
      </c>
      <c r="AE30" s="5">
        <f t="shared" ca="1" si="4"/>
        <v>0</v>
      </c>
      <c r="AF30" s="5">
        <f t="shared" ca="1" si="5"/>
        <v>0</v>
      </c>
      <c r="AG30" s="5">
        <f t="shared" ca="1" si="6"/>
        <v>3.489870302459385E-4</v>
      </c>
      <c r="AH30" s="5">
        <f t="shared" ca="1" si="7"/>
        <v>0</v>
      </c>
      <c r="AI30" s="5">
        <f t="shared" ca="1" si="8"/>
        <v>0</v>
      </c>
      <c r="AJ30" s="5">
        <f t="shared" ca="1" si="9"/>
        <v>0</v>
      </c>
      <c r="AK30" s="5">
        <f t="shared" ca="1" si="10"/>
        <v>0</v>
      </c>
      <c r="AM30" s="5">
        <f t="shared" ca="1" si="13"/>
        <v>3.489870302459385E-4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1.2021900000000001</v>
      </c>
      <c r="F31" s="5">
        <v>33</v>
      </c>
      <c r="H31" s="5" t="s">
        <v>0</v>
      </c>
      <c r="I31" s="5">
        <v>25</v>
      </c>
      <c r="J31" s="5">
        <v>1</v>
      </c>
      <c r="L31" s="5">
        <f t="shared" ca="1" si="11"/>
        <v>28.546240000000001</v>
      </c>
      <c r="M31" s="5">
        <f t="shared" ca="1" si="11"/>
        <v>28.587009999999999</v>
      </c>
      <c r="N31" s="5">
        <f t="shared" ca="1" si="11"/>
        <v>28.587009999999999</v>
      </c>
      <c r="O31" s="5">
        <f t="shared" ca="1" si="11"/>
        <v>28.592030000000001</v>
      </c>
      <c r="P31" s="5">
        <f t="shared" ca="1" si="11"/>
        <v>28.571870000000001</v>
      </c>
      <c r="Q31" s="5">
        <f t="shared" ca="1" si="11"/>
        <v>28.546240000000001</v>
      </c>
      <c r="R31" s="5">
        <f t="shared" ca="1" si="11"/>
        <v>28.546240000000001</v>
      </c>
      <c r="S31" s="5">
        <f t="shared" ca="1" si="11"/>
        <v>28.592030000000001</v>
      </c>
      <c r="T31" s="5">
        <f t="shared" ca="1" si="11"/>
        <v>28.592030000000001</v>
      </c>
      <c r="U31" s="5">
        <f t="shared" ca="1" si="11"/>
        <v>28.546240000000001</v>
      </c>
      <c r="W31" s="5">
        <f t="shared" ca="1" si="12"/>
        <v>28.570694000000003</v>
      </c>
      <c r="Y31" s="5">
        <f ca="1">Total!E31</f>
        <v>28.504100000000001</v>
      </c>
      <c r="AB31" s="5">
        <f t="shared" ca="1" si="1"/>
        <v>1.4783838114516804E-3</v>
      </c>
      <c r="AC31" s="5">
        <f t="shared" ca="1" si="2"/>
        <v>2.9087043618285882E-3</v>
      </c>
      <c r="AD31" s="5">
        <f t="shared" ca="1" si="3"/>
        <v>2.9087043618285882E-3</v>
      </c>
      <c r="AE31" s="5">
        <f t="shared" ca="1" si="4"/>
        <v>3.0848193768615766E-3</v>
      </c>
      <c r="AF31" s="5">
        <f t="shared" ca="1" si="5"/>
        <v>2.3775527029444689E-3</v>
      </c>
      <c r="AG31" s="5">
        <f t="shared" ca="1" si="6"/>
        <v>1.4783838114516804E-3</v>
      </c>
      <c r="AH31" s="5">
        <f t="shared" ca="1" si="7"/>
        <v>1.4783838114516804E-3</v>
      </c>
      <c r="AI31" s="5">
        <f t="shared" ca="1" si="8"/>
        <v>3.0848193768615766E-3</v>
      </c>
      <c r="AJ31" s="5">
        <f t="shared" ca="1" si="9"/>
        <v>3.0848193768615766E-3</v>
      </c>
      <c r="AK31" s="5">
        <f t="shared" ca="1" si="10"/>
        <v>1.4783838114516804E-3</v>
      </c>
      <c r="AM31" s="5">
        <f t="shared" ca="1" si="13"/>
        <v>2.3362954802993094E-2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1.2198599999999999</v>
      </c>
      <c r="F32" s="5">
        <v>35</v>
      </c>
      <c r="H32" s="5" t="s">
        <v>0</v>
      </c>
      <c r="I32" s="5">
        <v>50</v>
      </c>
      <c r="J32" s="5">
        <v>0.4</v>
      </c>
      <c r="L32" s="5">
        <f t="shared" ca="1" si="11"/>
        <v>59.213940000000001</v>
      </c>
      <c r="M32" s="5">
        <f t="shared" ca="1" si="11"/>
        <v>59.136180000000003</v>
      </c>
      <c r="N32" s="5">
        <f t="shared" ca="1" si="11"/>
        <v>59.156500000000001</v>
      </c>
      <c r="O32" s="5">
        <f t="shared" ca="1" si="11"/>
        <v>58.684440000000002</v>
      </c>
      <c r="P32" s="5">
        <f t="shared" ca="1" si="11"/>
        <v>59.202849999999998</v>
      </c>
      <c r="Q32" s="5">
        <f t="shared" ca="1" si="11"/>
        <v>58.97777</v>
      </c>
      <c r="R32" s="5">
        <f t="shared" ca="1" si="11"/>
        <v>56.901339999999998</v>
      </c>
      <c r="S32" s="5">
        <f t="shared" ca="1" si="11"/>
        <v>57.143590000000003</v>
      </c>
      <c r="T32" s="5">
        <f t="shared" ca="1" si="11"/>
        <v>56.901339999999998</v>
      </c>
      <c r="U32" s="5">
        <f t="shared" ca="1" si="11"/>
        <v>56.901339999999998</v>
      </c>
      <c r="W32" s="5">
        <f t="shared" ca="1" si="12"/>
        <v>58.221929000000003</v>
      </c>
      <c r="Y32" s="5">
        <f ca="1">Total!E32</f>
        <v>56.511339999999997</v>
      </c>
      <c r="AB32" s="5">
        <f t="shared" ca="1" si="1"/>
        <v>4.7824029654933049E-2</v>
      </c>
      <c r="AC32" s="5">
        <f t="shared" ca="1" si="2"/>
        <v>4.6448022644658686E-2</v>
      </c>
      <c r="AD32" s="5">
        <f t="shared" ca="1" si="3"/>
        <v>4.6807596493022539E-2</v>
      </c>
      <c r="AE32" s="5">
        <f t="shared" ca="1" si="4"/>
        <v>3.8454228832655625E-2</v>
      </c>
      <c r="AF32" s="5">
        <f t="shared" ca="1" si="5"/>
        <v>4.7627785856785579E-2</v>
      </c>
      <c r="AG32" s="5">
        <f t="shared" ca="1" si="6"/>
        <v>4.3644868445873036E-2</v>
      </c>
      <c r="AH32" s="5">
        <f t="shared" ca="1" si="7"/>
        <v>6.901269727456482E-3</v>
      </c>
      <c r="AI32" s="5">
        <f t="shared" ca="1" si="8"/>
        <v>1.1188019962011275E-2</v>
      </c>
      <c r="AJ32" s="5">
        <f t="shared" ca="1" si="9"/>
        <v>6.901269727456482E-3</v>
      </c>
      <c r="AK32" s="5">
        <f t="shared" ca="1" si="10"/>
        <v>6.901269727456482E-3</v>
      </c>
      <c r="AM32" s="5">
        <f t="shared" ca="1" si="13"/>
        <v>0.30269836107230919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1.20871</v>
      </c>
      <c r="F33" s="5">
        <v>35</v>
      </c>
      <c r="H33" s="5" t="s">
        <v>0</v>
      </c>
      <c r="I33" s="5">
        <v>50</v>
      </c>
      <c r="J33" s="5">
        <v>0.7</v>
      </c>
      <c r="L33" s="5">
        <f t="shared" ca="1" si="11"/>
        <v>53.698729999999998</v>
      </c>
      <c r="M33" s="5">
        <f t="shared" ca="1" si="11"/>
        <v>53.472749999999998</v>
      </c>
      <c r="N33" s="5">
        <f t="shared" ca="1" si="11"/>
        <v>53.625070000000001</v>
      </c>
      <c r="O33" s="5">
        <f t="shared" ca="1" si="11"/>
        <v>53.354979999999998</v>
      </c>
      <c r="P33" s="5">
        <f t="shared" ca="1" si="11"/>
        <v>53.154980000000002</v>
      </c>
      <c r="Q33" s="5">
        <f t="shared" ca="1" si="11"/>
        <v>53.552750000000003</v>
      </c>
      <c r="R33" s="5">
        <f t="shared" ca="1" si="11"/>
        <v>53.242750000000001</v>
      </c>
      <c r="S33" s="5">
        <f t="shared" ca="1" si="11"/>
        <v>53.718299999999999</v>
      </c>
      <c r="T33" s="5">
        <f t="shared" ca="1" si="11"/>
        <v>53.666080000000001</v>
      </c>
      <c r="U33" s="5">
        <f t="shared" ca="1" si="11"/>
        <v>53.772750000000002</v>
      </c>
      <c r="W33" s="5">
        <f t="shared" ca="1" si="12"/>
        <v>53.525914</v>
      </c>
      <c r="Y33" s="5">
        <f ca="1">Total!E33</f>
        <v>53.115070000000003</v>
      </c>
      <c r="AB33" s="5">
        <f t="shared" ca="1" si="1"/>
        <v>1.0988595138818318E-2</v>
      </c>
      <c r="AC33" s="5">
        <f t="shared" ca="1" si="2"/>
        <v>6.7340587144099568E-3</v>
      </c>
      <c r="AD33" s="5">
        <f t="shared" ca="1" si="3"/>
        <v>9.6017947448812178E-3</v>
      </c>
      <c r="AE33" s="5">
        <f t="shared" ca="1" si="4"/>
        <v>4.5167972102831593E-3</v>
      </c>
      <c r="AF33" s="5">
        <f t="shared" ca="1" si="5"/>
        <v>7.5138750640823778E-4</v>
      </c>
      <c r="AG33" s="5">
        <f t="shared" ca="1" si="6"/>
        <v>8.2402225959600593E-3</v>
      </c>
      <c r="AH33" s="5">
        <f t="shared" ca="1" si="7"/>
        <v>2.4038375549537637E-3</v>
      </c>
      <c r="AI33" s="5">
        <f t="shared" ca="1" si="8"/>
        <v>1.1357040478342519E-2</v>
      </c>
      <c r="AJ33" s="5">
        <f t="shared" ca="1" si="9"/>
        <v>1.0373892004660787E-2</v>
      </c>
      <c r="AK33" s="5">
        <f t="shared" ca="1" si="10"/>
        <v>1.238217327022254E-2</v>
      </c>
      <c r="AM33" s="5">
        <f t="shared" ca="1" si="13"/>
        <v>7.7349799218940557E-2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1.2181900000000001</v>
      </c>
      <c r="F34" s="5">
        <v>36</v>
      </c>
      <c r="H34" s="5" t="s">
        <v>0</v>
      </c>
      <c r="I34" s="5">
        <v>50</v>
      </c>
      <c r="J34" s="5">
        <v>1</v>
      </c>
      <c r="L34" s="5">
        <f t="shared" ca="1" si="11"/>
        <v>53.217489999999998</v>
      </c>
      <c r="M34" s="5">
        <f t="shared" ca="1" si="11"/>
        <v>53.332180000000001</v>
      </c>
      <c r="N34" s="5">
        <f t="shared" ca="1" si="11"/>
        <v>53.542409999999997</v>
      </c>
      <c r="O34" s="5">
        <f t="shared" ca="1" si="11"/>
        <v>53.482410000000002</v>
      </c>
      <c r="P34" s="5">
        <f t="shared" ca="1" si="11"/>
        <v>53.264980000000001</v>
      </c>
      <c r="Q34" s="5">
        <f t="shared" ca="1" si="11"/>
        <v>53.252099999999999</v>
      </c>
      <c r="R34" s="5">
        <f t="shared" ca="1" si="11"/>
        <v>53.575519999999997</v>
      </c>
      <c r="S34" s="5">
        <f t="shared" ca="1" si="11"/>
        <v>53.088320000000003</v>
      </c>
      <c r="T34" s="5">
        <f t="shared" ca="1" si="11"/>
        <v>53.53877</v>
      </c>
      <c r="U34" s="5">
        <f t="shared" ca="1" si="11"/>
        <v>53.38749</v>
      </c>
      <c r="W34" s="5">
        <f t="shared" ca="1" si="12"/>
        <v>53.368166999999993</v>
      </c>
      <c r="Y34" s="5">
        <f ca="1">Total!E34</f>
        <v>53.003740000000001</v>
      </c>
      <c r="AB34" s="5">
        <f t="shared" ca="1" si="1"/>
        <v>4.0327342938441223E-3</v>
      </c>
      <c r="AC34" s="5">
        <f t="shared" ca="1" si="2"/>
        <v>6.1965438665271639E-3</v>
      </c>
      <c r="AD34" s="5">
        <f t="shared" ca="1" si="3"/>
        <v>1.016286775235099E-2</v>
      </c>
      <c r="AE34" s="5">
        <f t="shared" ca="1" si="4"/>
        <v>9.0308721610965759E-3</v>
      </c>
      <c r="AF34" s="5">
        <f t="shared" ca="1" si="5"/>
        <v>4.9287088043221249E-3</v>
      </c>
      <c r="AG34" s="5">
        <f t="shared" ca="1" si="6"/>
        <v>4.6857070840661081E-3</v>
      </c>
      <c r="AH34" s="5">
        <f t="shared" ca="1" si="7"/>
        <v>1.0787540652791611E-2</v>
      </c>
      <c r="AI34" s="5">
        <f t="shared" ca="1" si="8"/>
        <v>1.5957364518051471E-3</v>
      </c>
      <c r="AJ34" s="5">
        <f t="shared" ca="1" si="9"/>
        <v>1.0094193353148269E-2</v>
      </c>
      <c r="AK34" s="5">
        <f t="shared" ca="1" si="10"/>
        <v>7.2400551357319149E-3</v>
      </c>
      <c r="AM34" s="5">
        <f t="shared" ca="1" si="13"/>
        <v>6.8754959555684031E-2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1.2105999999999999</v>
      </c>
      <c r="F35" s="5">
        <v>33</v>
      </c>
      <c r="H35" s="5" t="s">
        <v>0</v>
      </c>
      <c r="I35" s="5">
        <v>100</v>
      </c>
      <c r="J35" s="5">
        <v>0.4</v>
      </c>
      <c r="L35" s="5">
        <f t="shared" ca="1" si="11"/>
        <v>148.28987000000001</v>
      </c>
      <c r="M35" s="5">
        <f t="shared" ca="1" si="11"/>
        <v>148.29338000000001</v>
      </c>
      <c r="N35" s="5">
        <f t="shared" ca="1" si="11"/>
        <v>148.29199</v>
      </c>
      <c r="O35" s="5">
        <f t="shared" ca="1" si="11"/>
        <v>148.17735999999999</v>
      </c>
      <c r="P35" s="5">
        <f t="shared" ca="1" si="11"/>
        <v>148.36840000000001</v>
      </c>
      <c r="Q35" s="5">
        <f t="shared" ca="1" si="11"/>
        <v>148.28881000000001</v>
      </c>
      <c r="R35" s="5">
        <f t="shared" ca="1" si="11"/>
        <v>148.26163</v>
      </c>
      <c r="S35" s="5">
        <f t="shared" ca="1" si="11"/>
        <v>147.96312</v>
      </c>
      <c r="T35" s="5">
        <f t="shared" ca="1" si="11"/>
        <v>148.25987000000001</v>
      </c>
      <c r="U35" s="5">
        <f t="shared" ca="1" si="11"/>
        <v>148.34403</v>
      </c>
      <c r="W35" s="5">
        <f t="shared" ca="1" si="12"/>
        <v>148.25384600000001</v>
      </c>
      <c r="Y35" s="5">
        <f ca="1">Total!E35</f>
        <v>147.96312</v>
      </c>
      <c r="AB35" s="5">
        <f t="shared" ca="1" si="1"/>
        <v>2.2083205598800843E-3</v>
      </c>
      <c r="AC35" s="5">
        <f t="shared" ca="1" si="2"/>
        <v>2.2320426873940597E-3</v>
      </c>
      <c r="AD35" s="5">
        <f t="shared" ca="1" si="3"/>
        <v>2.2226484545608046E-3</v>
      </c>
      <c r="AE35" s="5">
        <f t="shared" ca="1" si="4"/>
        <v>1.447928375665433E-3</v>
      </c>
      <c r="AF35" s="5">
        <f t="shared" ca="1" si="5"/>
        <v>2.7390609227488901E-3</v>
      </c>
      <c r="AG35" s="5">
        <f t="shared" ca="1" si="6"/>
        <v>2.2011566125397239E-3</v>
      </c>
      <c r="AH35" s="5">
        <f t="shared" ca="1" si="7"/>
        <v>2.0174621892265665E-3</v>
      </c>
      <c r="AI35" s="5">
        <f t="shared" ca="1" si="8"/>
        <v>0</v>
      </c>
      <c r="AJ35" s="5">
        <f t="shared" ca="1" si="9"/>
        <v>2.0055673332652281E-3</v>
      </c>
      <c r="AK35" s="5">
        <f t="shared" ca="1" si="10"/>
        <v>2.57435771832873E-3</v>
      </c>
      <c r="AM35" s="5">
        <f t="shared" ca="1" si="13"/>
        <v>1.9648544853609517E-2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1.2107399999999999</v>
      </c>
      <c r="F36" s="5">
        <v>35</v>
      </c>
      <c r="H36" s="5" t="s">
        <v>0</v>
      </c>
      <c r="I36" s="5">
        <v>100</v>
      </c>
      <c r="J36" s="5">
        <v>0.7</v>
      </c>
      <c r="L36" s="5">
        <f t="shared" ca="1" si="11"/>
        <v>108.75812000000001</v>
      </c>
      <c r="M36" s="5">
        <f t="shared" ca="1" si="11"/>
        <v>108.1314</v>
      </c>
      <c r="N36" s="5">
        <f t="shared" ca="1" si="11"/>
        <v>108.26239</v>
      </c>
      <c r="O36" s="5">
        <f t="shared" ca="1" si="11"/>
        <v>108.17784</v>
      </c>
      <c r="P36" s="5">
        <f t="shared" ca="1" si="11"/>
        <v>108.1658</v>
      </c>
      <c r="Q36" s="5">
        <f t="shared" ca="1" si="11"/>
        <v>108.43737</v>
      </c>
      <c r="R36" s="5">
        <f t="shared" ca="1" si="11"/>
        <v>108.40336000000001</v>
      </c>
      <c r="S36" s="5">
        <f t="shared" ca="1" si="11"/>
        <v>107.49760000000001</v>
      </c>
      <c r="T36" s="5">
        <f t="shared" ca="1" si="11"/>
        <v>108.25247</v>
      </c>
      <c r="U36" s="5">
        <f t="shared" ca="1" si="11"/>
        <v>108.34836</v>
      </c>
      <c r="W36" s="5">
        <f t="shared" ca="1" si="12"/>
        <v>108.243471</v>
      </c>
      <c r="Y36" s="5">
        <f ca="1">Total!E36</f>
        <v>107.28163000000001</v>
      </c>
      <c r="AB36" s="5">
        <f t="shared" ca="1" si="1"/>
        <v>1.3762747639087868E-2</v>
      </c>
      <c r="AC36" s="5">
        <f t="shared" ca="1" si="2"/>
        <v>7.9209273759169429E-3</v>
      </c>
      <c r="AD36" s="5">
        <f t="shared" ca="1" si="3"/>
        <v>9.1419192642765521E-3</v>
      </c>
      <c r="AE36" s="5">
        <f t="shared" ca="1" si="4"/>
        <v>8.353806704838436E-3</v>
      </c>
      <c r="AF36" s="5">
        <f t="shared" ca="1" si="5"/>
        <v>8.2415787306736234E-3</v>
      </c>
      <c r="AG36" s="5">
        <f t="shared" ca="1" si="6"/>
        <v>1.0772953393791597E-2</v>
      </c>
      <c r="AH36" s="5">
        <f t="shared" ca="1" si="7"/>
        <v>1.0455937330556959E-2</v>
      </c>
      <c r="AI36" s="5">
        <f t="shared" ca="1" si="8"/>
        <v>2.0131125897322648E-3</v>
      </c>
      <c r="AJ36" s="5">
        <f t="shared" ca="1" si="9"/>
        <v>9.0494523619746962E-3</v>
      </c>
      <c r="AK36" s="5">
        <f t="shared" ca="1" si="10"/>
        <v>9.9432680133587879E-3</v>
      </c>
      <c r="AM36" s="5">
        <f t="shared" ca="1" si="13"/>
        <v>8.9655703404207726E-2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1.2157100000000001</v>
      </c>
      <c r="F37" s="5">
        <v>35</v>
      </c>
      <c r="H37" s="5" t="s">
        <v>0</v>
      </c>
      <c r="I37" s="5">
        <v>100</v>
      </c>
      <c r="J37" s="5">
        <v>1</v>
      </c>
      <c r="L37" s="5">
        <f t="shared" ca="1" si="11"/>
        <v>104.01996</v>
      </c>
      <c r="M37" s="5">
        <f t="shared" ca="1" si="11"/>
        <v>104.05669</v>
      </c>
      <c r="N37" s="5">
        <f t="shared" ca="1" si="11"/>
        <v>103.94580000000001</v>
      </c>
      <c r="O37" s="5">
        <f t="shared" ca="1" si="11"/>
        <v>103.9584</v>
      </c>
      <c r="P37" s="5">
        <f t="shared" ca="1" si="11"/>
        <v>104.11552</v>
      </c>
      <c r="Q37" s="5">
        <f t="shared" ca="1" si="11"/>
        <v>103.93452000000001</v>
      </c>
      <c r="R37" s="5">
        <f t="shared" ca="1" si="11"/>
        <v>104.05247</v>
      </c>
      <c r="S37" s="5">
        <f t="shared" ca="1" si="11"/>
        <v>104.02663</v>
      </c>
      <c r="T37" s="5">
        <f t="shared" ca="1" si="11"/>
        <v>103.99025</v>
      </c>
      <c r="U37" s="5">
        <f t="shared" ca="1" si="11"/>
        <v>103.94747</v>
      </c>
      <c r="W37" s="5">
        <f t="shared" ca="1" si="12"/>
        <v>104.00477100000001</v>
      </c>
      <c r="Y37" s="5">
        <f ca="1">Total!E37</f>
        <v>103.21266</v>
      </c>
      <c r="AB37" s="5">
        <f t="shared" ca="1" si="1"/>
        <v>7.8217148942774841E-3</v>
      </c>
      <c r="AC37" s="5">
        <f t="shared" ca="1" si="2"/>
        <v>8.1775820911892359E-3</v>
      </c>
      <c r="AD37" s="5">
        <f t="shared" ca="1" si="3"/>
        <v>7.1031983867095947E-3</v>
      </c>
      <c r="AE37" s="5">
        <f t="shared" ca="1" si="4"/>
        <v>7.2252764341118412E-3</v>
      </c>
      <c r="AF37" s="5">
        <f t="shared" ca="1" si="5"/>
        <v>8.7475703077510448E-3</v>
      </c>
      <c r="AG37" s="5">
        <f t="shared" ca="1" si="6"/>
        <v>6.9939094680827587E-3</v>
      </c>
      <c r="AH37" s="5">
        <f t="shared" ca="1" si="7"/>
        <v>8.1366956340433432E-3</v>
      </c>
      <c r="AI37" s="5">
        <f t="shared" ca="1" si="8"/>
        <v>7.8863387495293463E-3</v>
      </c>
      <c r="AJ37" s="5">
        <f t="shared" ca="1" si="9"/>
        <v>7.5338626094899946E-3</v>
      </c>
      <c r="AK37" s="5">
        <f t="shared" ca="1" si="10"/>
        <v>7.1193785723572666E-3</v>
      </c>
      <c r="AM37" s="5">
        <f t="shared" ca="1" si="13"/>
        <v>7.6745527147541903E-2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1.2043200000000001</v>
      </c>
      <c r="F38" s="5">
        <v>31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1.2105699999999999</v>
      </c>
      <c r="F39" s="5">
        <v>35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1.2170700000000001</v>
      </c>
      <c r="F40" s="5">
        <v>34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2.8908700000000001</v>
      </c>
      <c r="F41" s="5">
        <v>97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2.90672</v>
      </c>
      <c r="F42" s="5">
        <v>101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2.9005399999999999</v>
      </c>
      <c r="F43" s="5">
        <v>104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2.8997700000000002</v>
      </c>
      <c r="F44" s="5">
        <v>100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2.9030399999999998</v>
      </c>
      <c r="F45" s="5">
        <v>98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2.9060600000000001</v>
      </c>
      <c r="F46" s="5">
        <v>103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2.8914200000000001</v>
      </c>
      <c r="F47" s="5">
        <v>100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2.8963000000000001</v>
      </c>
      <c r="F48" s="5">
        <v>100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2.9066999999999998</v>
      </c>
      <c r="F49" s="5">
        <v>103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2.9000300000000001</v>
      </c>
      <c r="F50" s="5">
        <v>101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182.34269</v>
      </c>
      <c r="E51" s="5">
        <v>4.6087999999999996</v>
      </c>
      <c r="F51" s="5">
        <v>157</v>
      </c>
    </row>
    <row r="52" spans="1:6" x14ac:dyDescent="0.25">
      <c r="A52" s="5" t="s">
        <v>27</v>
      </c>
      <c r="B52" s="5">
        <v>50</v>
      </c>
      <c r="C52" s="5">
        <v>1</v>
      </c>
      <c r="D52" s="5">
        <v>180.01333</v>
      </c>
      <c r="E52" s="5">
        <v>4.5949299999999997</v>
      </c>
      <c r="F52" s="5">
        <v>160</v>
      </c>
    </row>
    <row r="53" spans="1:6" x14ac:dyDescent="0.25">
      <c r="A53" s="5" t="s">
        <v>27</v>
      </c>
      <c r="B53" s="5">
        <v>50</v>
      </c>
      <c r="C53" s="5">
        <v>1</v>
      </c>
      <c r="D53" s="5">
        <v>182.34269</v>
      </c>
      <c r="E53" s="5">
        <v>4.60297</v>
      </c>
      <c r="F53" s="5">
        <v>161</v>
      </c>
    </row>
    <row r="54" spans="1:6" x14ac:dyDescent="0.25">
      <c r="A54" s="5" t="s">
        <v>27</v>
      </c>
      <c r="B54" s="5">
        <v>50</v>
      </c>
      <c r="C54" s="5">
        <v>1</v>
      </c>
      <c r="D54" s="5">
        <v>183.50812999999999</v>
      </c>
      <c r="E54" s="5">
        <v>4.6046100000000001</v>
      </c>
      <c r="F54" s="5">
        <v>162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181.89</v>
      </c>
      <c r="E55" s="5">
        <v>4.60466</v>
      </c>
      <c r="F55" s="5">
        <v>161</v>
      </c>
    </row>
    <row r="56" spans="1:6" x14ac:dyDescent="0.25">
      <c r="A56" s="5" t="s">
        <v>27</v>
      </c>
      <c r="B56" s="5">
        <v>50</v>
      </c>
      <c r="C56" s="5">
        <v>1</v>
      </c>
      <c r="D56" s="5">
        <v>179.67332999999999</v>
      </c>
      <c r="E56" s="5">
        <v>4.5972</v>
      </c>
      <c r="F56" s="5">
        <v>160</v>
      </c>
    </row>
    <row r="57" spans="1:6" x14ac:dyDescent="0.25">
      <c r="A57" s="5" t="s">
        <v>27</v>
      </c>
      <c r="B57" s="5">
        <v>50</v>
      </c>
      <c r="C57" s="5">
        <v>1</v>
      </c>
      <c r="D57" s="5">
        <v>182.34583000000001</v>
      </c>
      <c r="E57" s="5">
        <v>4.5915100000000004</v>
      </c>
      <c r="F57" s="5">
        <v>160</v>
      </c>
    </row>
    <row r="58" spans="1:6" x14ac:dyDescent="0.25">
      <c r="A58" s="5" t="s">
        <v>27</v>
      </c>
      <c r="B58" s="5">
        <v>50</v>
      </c>
      <c r="C58" s="5">
        <v>1</v>
      </c>
      <c r="D58" s="5">
        <v>182.34269</v>
      </c>
      <c r="E58" s="5">
        <v>4.5970599999999999</v>
      </c>
      <c r="F58" s="5">
        <v>161</v>
      </c>
    </row>
    <row r="59" spans="1:6" x14ac:dyDescent="0.25">
      <c r="A59" s="5" t="s">
        <v>27</v>
      </c>
      <c r="B59" s="5">
        <v>50</v>
      </c>
      <c r="C59" s="5">
        <v>1</v>
      </c>
      <c r="D59" s="5">
        <v>182.34583000000001</v>
      </c>
      <c r="E59" s="5">
        <v>4.6020099999999999</v>
      </c>
      <c r="F59" s="5">
        <v>161</v>
      </c>
    </row>
    <row r="60" spans="1:6" x14ac:dyDescent="0.25">
      <c r="A60" s="5" t="s">
        <v>27</v>
      </c>
      <c r="B60" s="5">
        <v>50</v>
      </c>
      <c r="C60" s="5">
        <v>1</v>
      </c>
      <c r="D60" s="5">
        <v>179.93769</v>
      </c>
      <c r="E60" s="5">
        <v>4.5938699999999999</v>
      </c>
      <c r="F60" s="5">
        <v>162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5.5983700000000001</v>
      </c>
      <c r="F61" s="5">
        <v>53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5.6351800000000001</v>
      </c>
      <c r="F62" s="5">
        <v>53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5.6461499999999996</v>
      </c>
      <c r="F63" s="5">
        <v>53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5.6247400000000001</v>
      </c>
      <c r="F64" s="5">
        <v>54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5.6375700000000002</v>
      </c>
      <c r="F65" s="5">
        <v>53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5.5896800000000004</v>
      </c>
      <c r="F66" s="5">
        <v>53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5.6394599999999997</v>
      </c>
      <c r="F67" s="5">
        <v>53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5.6156699999999997</v>
      </c>
      <c r="F68" s="5">
        <v>53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5.6031300000000002</v>
      </c>
      <c r="F69" s="5">
        <v>53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5.6210399999999998</v>
      </c>
      <c r="F70" s="5">
        <v>53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257.07531999999998</v>
      </c>
      <c r="E71" s="5">
        <v>11.7136</v>
      </c>
      <c r="F71" s="5">
        <v>106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257.58519000000001</v>
      </c>
      <c r="E72" s="5">
        <v>11.717790000000001</v>
      </c>
      <c r="F72" s="5">
        <v>106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257.53474999999997</v>
      </c>
      <c r="E73" s="5">
        <v>11.72559</v>
      </c>
      <c r="F73" s="5">
        <v>106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257.46519000000001</v>
      </c>
      <c r="E74" s="5">
        <v>11.660880000000001</v>
      </c>
      <c r="F74" s="5">
        <v>106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257.21629000000001</v>
      </c>
      <c r="E75" s="5">
        <v>11.684620000000001</v>
      </c>
      <c r="F75" s="5">
        <v>107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257.66663999999997</v>
      </c>
      <c r="E76" s="5">
        <v>11.69267</v>
      </c>
      <c r="F76" s="5">
        <v>106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256.81540999999999</v>
      </c>
      <c r="E77" s="5">
        <v>11.66287</v>
      </c>
      <c r="F77" s="5">
        <v>106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257.59154000000001</v>
      </c>
      <c r="E78" s="5">
        <v>11.65386</v>
      </c>
      <c r="F78" s="5">
        <v>106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256.94277</v>
      </c>
      <c r="E79" s="5">
        <v>11.673</v>
      </c>
      <c r="F79" s="5">
        <v>106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257.44295</v>
      </c>
      <c r="E80" s="5">
        <v>11.667899999999999</v>
      </c>
      <c r="F80" s="5">
        <v>106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239.19667000000001</v>
      </c>
      <c r="E81" s="5">
        <v>30.134789999999999</v>
      </c>
      <c r="F81" s="5">
        <v>270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238.86</v>
      </c>
      <c r="E82" s="5">
        <v>30.20627</v>
      </c>
      <c r="F82" s="5">
        <v>273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238.87026</v>
      </c>
      <c r="E83" s="5">
        <v>30.150089999999999</v>
      </c>
      <c r="F83" s="5">
        <v>272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239.00667000000001</v>
      </c>
      <c r="E84" s="5">
        <v>30.210129999999999</v>
      </c>
      <c r="F84" s="5">
        <v>271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238.96256</v>
      </c>
      <c r="E85" s="5">
        <v>30.188110000000002</v>
      </c>
      <c r="F85" s="5">
        <v>271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239.4324</v>
      </c>
      <c r="E86" s="5">
        <v>30.171209999999999</v>
      </c>
      <c r="F86" s="5">
        <v>272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239.44336999999999</v>
      </c>
      <c r="E87" s="5">
        <v>30.130210000000002</v>
      </c>
      <c r="F87" s="5">
        <v>271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240.21823000000001</v>
      </c>
      <c r="E88" s="5">
        <v>30.210930000000001</v>
      </c>
      <c r="F88" s="5">
        <v>271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238.96163999999999</v>
      </c>
      <c r="E89" s="5">
        <v>30.200620000000001</v>
      </c>
      <c r="F89" s="5">
        <v>271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238.95332999999999</v>
      </c>
      <c r="E90" s="5">
        <v>30.14181</v>
      </c>
      <c r="F90" s="5">
        <v>271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0.58362000000000003</v>
      </c>
      <c r="F91" s="5">
        <v>84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0.58304999999999996</v>
      </c>
      <c r="F92" s="5">
        <v>78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0.58657000000000004</v>
      </c>
      <c r="F93" s="5">
        <v>87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0.58618000000000003</v>
      </c>
      <c r="F94" s="5">
        <v>83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0.58642000000000005</v>
      </c>
      <c r="F95" s="5">
        <v>79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0.58128000000000002</v>
      </c>
      <c r="F96" s="5">
        <v>83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0.58496000000000004</v>
      </c>
      <c r="F97" s="5">
        <v>84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0.58106999999999998</v>
      </c>
      <c r="F98" s="5">
        <v>83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0.58603000000000005</v>
      </c>
      <c r="F99" s="5">
        <v>84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0.58455999999999997</v>
      </c>
      <c r="F100" s="5">
        <v>85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0.73958999999999997</v>
      </c>
      <c r="F101" s="5">
        <v>104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0.73694000000000004</v>
      </c>
      <c r="F102" s="5">
        <v>106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0.73543999999999998</v>
      </c>
      <c r="F103" s="5">
        <v>97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0.73745000000000005</v>
      </c>
      <c r="F104" s="5">
        <v>103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0.73492000000000002</v>
      </c>
      <c r="F105" s="5">
        <v>106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0.73479000000000005</v>
      </c>
      <c r="F106" s="5">
        <v>105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0.73582999999999998</v>
      </c>
      <c r="F107" s="5">
        <v>105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0.73814999999999997</v>
      </c>
      <c r="F108" s="5">
        <v>109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0.73579000000000006</v>
      </c>
      <c r="F109" s="5">
        <v>95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0.73963000000000001</v>
      </c>
      <c r="F110" s="5">
        <v>109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1.2773000000000001</v>
      </c>
      <c r="F111" s="5">
        <v>160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1.2752600000000001</v>
      </c>
      <c r="F112" s="5">
        <v>181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1.2743500000000001</v>
      </c>
      <c r="F113" s="5">
        <v>178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1.2790900000000001</v>
      </c>
      <c r="F114" s="5">
        <v>171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1.27593</v>
      </c>
      <c r="F115" s="5">
        <v>179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1.27504</v>
      </c>
      <c r="F116" s="5">
        <v>182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1.2773699999999999</v>
      </c>
      <c r="F117" s="5">
        <v>179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1.27826</v>
      </c>
      <c r="F118" s="5">
        <v>169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1.2762899999999999</v>
      </c>
      <c r="F119" s="5">
        <v>178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1.2779</v>
      </c>
      <c r="F120" s="5">
        <v>184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4348.0289499999999</v>
      </c>
      <c r="E121" s="5">
        <v>1.9928699999999999</v>
      </c>
      <c r="F121" s="5">
        <v>85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4348.0289499999999</v>
      </c>
      <c r="E122" s="5">
        <v>2.0076700000000001</v>
      </c>
      <c r="F122" s="5">
        <v>85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4348.0289499999999</v>
      </c>
      <c r="E123" s="5">
        <v>2.0024899999999999</v>
      </c>
      <c r="F123" s="5">
        <v>87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4348.0289499999999</v>
      </c>
      <c r="E124" s="5">
        <v>2.0055499999999999</v>
      </c>
      <c r="F124" s="5">
        <v>84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4348.0289499999999</v>
      </c>
      <c r="E125" s="5">
        <v>1.99454</v>
      </c>
      <c r="F125" s="5">
        <v>87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4348.0289499999999</v>
      </c>
      <c r="E126" s="5">
        <v>2.0037400000000001</v>
      </c>
      <c r="F126" s="5">
        <v>84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1.9940500000000001</v>
      </c>
      <c r="F127" s="5">
        <v>86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2.0091800000000002</v>
      </c>
      <c r="F128" s="5">
        <v>84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1.9976400000000001</v>
      </c>
      <c r="F129" s="5">
        <v>86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4348.0289499999999</v>
      </c>
      <c r="E130" s="5">
        <v>2.0202100000000001</v>
      </c>
      <c r="F130" s="5">
        <v>85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2.8989799999999999</v>
      </c>
      <c r="F131" s="5">
        <v>120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2.8685499999999999</v>
      </c>
      <c r="F132" s="5">
        <v>125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2.8658700000000001</v>
      </c>
      <c r="F133" s="5">
        <v>122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2.8757299999999999</v>
      </c>
      <c r="F134" s="5">
        <v>119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2.86158</v>
      </c>
      <c r="F135" s="5">
        <v>122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2.8765299999999998</v>
      </c>
      <c r="F136" s="5">
        <v>120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2.8634900000000001</v>
      </c>
      <c r="F137" s="5">
        <v>119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2.8673700000000002</v>
      </c>
      <c r="F138" s="5">
        <v>122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2.86781</v>
      </c>
      <c r="F139" s="5">
        <v>118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2.8740299999999999</v>
      </c>
      <c r="F140" s="5">
        <v>119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3.5181</v>
      </c>
      <c r="F141" s="5">
        <v>148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3.5245600000000001</v>
      </c>
      <c r="F142" s="5">
        <v>152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3.5259</v>
      </c>
      <c r="F143" s="5">
        <v>149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3.5172599999999998</v>
      </c>
      <c r="F144" s="5">
        <v>148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3.5137200000000002</v>
      </c>
      <c r="F145" s="5">
        <v>148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3.5227200000000001</v>
      </c>
      <c r="F146" s="5">
        <v>149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3.5223</v>
      </c>
      <c r="F147" s="5">
        <v>149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3.5180699999999998</v>
      </c>
      <c r="F148" s="5">
        <v>151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3.5291199999999998</v>
      </c>
      <c r="F149" s="5">
        <v>149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3.5186199999999999</v>
      </c>
      <c r="F150" s="5">
        <v>152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42986.673049999998</v>
      </c>
      <c r="E151" s="5">
        <v>4.9465000000000003</v>
      </c>
      <c r="F151" s="5">
        <v>50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42986.403050000001</v>
      </c>
      <c r="E152" s="5">
        <v>4.9151699999999998</v>
      </c>
      <c r="F152" s="5">
        <v>49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42986.403050000001</v>
      </c>
      <c r="E153" s="5">
        <v>4.9468100000000002</v>
      </c>
      <c r="F153" s="5">
        <v>50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42986.673049999998</v>
      </c>
      <c r="E154" s="5">
        <v>4.92035</v>
      </c>
      <c r="F154" s="5">
        <v>50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42986.96256</v>
      </c>
      <c r="E155" s="5">
        <v>4.9446199999999996</v>
      </c>
      <c r="F155" s="5">
        <v>50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42986.802479999998</v>
      </c>
      <c r="E156" s="5">
        <v>4.9552800000000001</v>
      </c>
      <c r="F156" s="5">
        <v>50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42986.802479999998</v>
      </c>
      <c r="E157" s="5">
        <v>4.93804</v>
      </c>
      <c r="F157" s="5">
        <v>50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42988.218220000002</v>
      </c>
      <c r="E158" s="5">
        <v>4.9269999999999996</v>
      </c>
      <c r="F158" s="5">
        <v>50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42986.403050000001</v>
      </c>
      <c r="E159" s="5">
        <v>4.9298400000000004</v>
      </c>
      <c r="F159" s="5">
        <v>50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42986.403050000001</v>
      </c>
      <c r="E160" s="5">
        <v>4.9126000000000003</v>
      </c>
      <c r="F160" s="5">
        <v>50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35814.254260000002</v>
      </c>
      <c r="E161" s="5">
        <v>12.77651</v>
      </c>
      <c r="F161" s="5">
        <v>123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35600.62573</v>
      </c>
      <c r="E162" s="5">
        <v>12.70317</v>
      </c>
      <c r="F162" s="5">
        <v>122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35818.963479999999</v>
      </c>
      <c r="E163" s="5">
        <v>12.756130000000001</v>
      </c>
      <c r="F163" s="5">
        <v>123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35783.666940000003</v>
      </c>
      <c r="E164" s="5">
        <v>12.77651</v>
      </c>
      <c r="F164" s="5">
        <v>123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35801.149519999999</v>
      </c>
      <c r="E165" s="5">
        <v>12.724349999999999</v>
      </c>
      <c r="F165" s="5">
        <v>122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35993.44184</v>
      </c>
      <c r="E166" s="5">
        <v>12.75895</v>
      </c>
      <c r="F166" s="5">
        <v>123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35553.324560000001</v>
      </c>
      <c r="E167" s="5">
        <v>12.73372</v>
      </c>
      <c r="F167" s="5">
        <v>122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35830.6613</v>
      </c>
      <c r="E168" s="5">
        <v>12.788410000000001</v>
      </c>
      <c r="F168" s="5">
        <v>122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35595.124349999998</v>
      </c>
      <c r="E169" s="5">
        <v>12.74241</v>
      </c>
      <c r="F169" s="5">
        <v>123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35810.005080000003</v>
      </c>
      <c r="E170" s="5">
        <v>12.760820000000001</v>
      </c>
      <c r="F170" s="5">
        <v>122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35270.914980000001</v>
      </c>
      <c r="E171" s="5">
        <v>28.49756</v>
      </c>
      <c r="F171" s="5">
        <v>279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35322.009239999999</v>
      </c>
      <c r="E172" s="5">
        <v>28.499300000000002</v>
      </c>
      <c r="F172" s="5">
        <v>276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35271.296670000003</v>
      </c>
      <c r="E173" s="5">
        <v>28.51116</v>
      </c>
      <c r="F173" s="5">
        <v>283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35285.185389999999</v>
      </c>
      <c r="E174" s="5">
        <v>28.491479999999999</v>
      </c>
      <c r="F174" s="5">
        <v>277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35249.364009999998</v>
      </c>
      <c r="E175" s="5">
        <v>28.515339999999998</v>
      </c>
      <c r="F175" s="5">
        <v>284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35306.531580000003</v>
      </c>
      <c r="E176" s="5">
        <v>28.556989999999999</v>
      </c>
      <c r="F176" s="5">
        <v>277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35291.149770000004</v>
      </c>
      <c r="E177" s="5">
        <v>28.492290000000001</v>
      </c>
      <c r="F177" s="5">
        <v>282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35273.755129999998</v>
      </c>
      <c r="E178" s="5">
        <v>28.542079999999999</v>
      </c>
      <c r="F178" s="5">
        <v>282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35319.730320000002</v>
      </c>
      <c r="E179" s="5">
        <v>28.491250000000001</v>
      </c>
      <c r="F179" s="5">
        <v>276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35277.915639999999</v>
      </c>
      <c r="E180" s="5">
        <v>28.51717</v>
      </c>
      <c r="F180" s="5">
        <v>278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0.73514999999999997</v>
      </c>
      <c r="F181" s="5">
        <v>70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0.73709999999999998</v>
      </c>
      <c r="F182" s="5">
        <v>70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0.73346999999999996</v>
      </c>
      <c r="F183" s="5">
        <v>71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0.73468999999999995</v>
      </c>
      <c r="F184" s="5">
        <v>66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0.73024</v>
      </c>
      <c r="F185" s="5">
        <v>71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0.73314000000000001</v>
      </c>
      <c r="F186" s="5">
        <v>72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0.73419999999999996</v>
      </c>
      <c r="F187" s="5">
        <v>73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0.73243000000000003</v>
      </c>
      <c r="F188" s="5">
        <v>66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0.73067000000000004</v>
      </c>
      <c r="F189" s="5">
        <v>74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0.73490999999999995</v>
      </c>
      <c r="F190" s="5">
        <v>73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675.36989000000005</v>
      </c>
      <c r="E191" s="5">
        <v>1.1377299999999999</v>
      </c>
      <c r="F191" s="5">
        <v>107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675.36989000000005</v>
      </c>
      <c r="E192" s="5">
        <v>1.13985</v>
      </c>
      <c r="F192" s="5">
        <v>113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677.26074000000006</v>
      </c>
      <c r="E193" s="5">
        <v>1.14127</v>
      </c>
      <c r="F193" s="5">
        <v>106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675.36989000000005</v>
      </c>
      <c r="E194" s="5">
        <v>1.13504</v>
      </c>
      <c r="F194" s="5">
        <v>113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675.36581000000001</v>
      </c>
      <c r="E195" s="5">
        <v>1.1361399999999999</v>
      </c>
      <c r="F195" s="5">
        <v>111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675.36581000000001</v>
      </c>
      <c r="E196" s="5">
        <v>1.1352100000000001</v>
      </c>
      <c r="F196" s="5">
        <v>109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675.36989000000005</v>
      </c>
      <c r="E197" s="5">
        <v>1.13764</v>
      </c>
      <c r="F197" s="5">
        <v>99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675.36989000000005</v>
      </c>
      <c r="E198" s="5">
        <v>1.14019</v>
      </c>
      <c r="F198" s="5">
        <v>111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675.36581000000001</v>
      </c>
      <c r="E199" s="5">
        <v>1.13565</v>
      </c>
      <c r="F199" s="5">
        <v>107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675.36989000000005</v>
      </c>
      <c r="E200" s="5">
        <v>1.1385799999999999</v>
      </c>
      <c r="F200" s="5">
        <v>108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657.32380999999998</v>
      </c>
      <c r="E201" s="5">
        <v>2.0677699999999999</v>
      </c>
      <c r="F201" s="5">
        <v>189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656.34204</v>
      </c>
      <c r="E202" s="5">
        <v>2.06671</v>
      </c>
      <c r="F202" s="5">
        <v>199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655.43907999999999</v>
      </c>
      <c r="E203" s="5">
        <v>2.06637</v>
      </c>
      <c r="F203" s="5">
        <v>192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656.34204</v>
      </c>
      <c r="E204" s="5">
        <v>2.0667900000000001</v>
      </c>
      <c r="F204" s="5">
        <v>195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655.43295999999998</v>
      </c>
      <c r="E205" s="5">
        <v>2.0702400000000001</v>
      </c>
      <c r="F205" s="5">
        <v>192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657.35562000000004</v>
      </c>
      <c r="E206" s="5">
        <v>2.0718299999999998</v>
      </c>
      <c r="F206" s="5">
        <v>203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657.45713999999998</v>
      </c>
      <c r="E207" s="5">
        <v>2.0795699999999999</v>
      </c>
      <c r="F207" s="5">
        <v>191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657.32380999999998</v>
      </c>
      <c r="E208" s="5">
        <v>2.0731700000000002</v>
      </c>
      <c r="F208" s="5">
        <v>198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655.43295999999998</v>
      </c>
      <c r="E209" s="5">
        <v>2.0664500000000001</v>
      </c>
      <c r="F209" s="5">
        <v>188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657.95457999999996</v>
      </c>
      <c r="E210" s="5">
        <v>2.0710600000000001</v>
      </c>
      <c r="F210" s="5">
        <v>197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1460.86079</v>
      </c>
      <c r="E211" s="5">
        <v>1.58992</v>
      </c>
      <c r="F211" s="5">
        <v>63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1483.36385</v>
      </c>
      <c r="E212" s="5">
        <v>1.6037300000000001</v>
      </c>
      <c r="F212" s="5">
        <v>62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1459.9687899999999</v>
      </c>
      <c r="E213" s="5">
        <v>1.58945</v>
      </c>
      <c r="F213" s="5">
        <v>64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1460.80863</v>
      </c>
      <c r="E214" s="5">
        <v>1.58951</v>
      </c>
      <c r="F214" s="5">
        <v>64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1459.9687899999999</v>
      </c>
      <c r="E215" s="5">
        <v>1.6016699999999999</v>
      </c>
      <c r="F215" s="5">
        <v>61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1459.9687899999999</v>
      </c>
      <c r="E216" s="5">
        <v>1.59083</v>
      </c>
      <c r="F216" s="5">
        <v>64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1467.96156</v>
      </c>
      <c r="E217" s="5">
        <v>1.5921099999999999</v>
      </c>
      <c r="F217" s="5">
        <v>64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1483.36385</v>
      </c>
      <c r="E218" s="5">
        <v>1.5942799999999999</v>
      </c>
      <c r="F218" s="5">
        <v>63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1483.36385</v>
      </c>
      <c r="E219" s="5">
        <v>1.6041099999999999</v>
      </c>
      <c r="F219" s="5">
        <v>64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1460.0209400000001</v>
      </c>
      <c r="E220" s="5">
        <v>1.6040300000000001</v>
      </c>
      <c r="F220" s="5">
        <v>63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1010.27211</v>
      </c>
      <c r="E221" s="5">
        <v>4.5421500000000004</v>
      </c>
      <c r="F221" s="5">
        <v>181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1026.9099100000001</v>
      </c>
      <c r="E222" s="5">
        <v>4.5538100000000004</v>
      </c>
      <c r="F222" s="5">
        <v>182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1016.14518</v>
      </c>
      <c r="E223" s="5">
        <v>4.5509300000000001</v>
      </c>
      <c r="F223" s="5">
        <v>182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1010.3379</v>
      </c>
      <c r="E224" s="5">
        <v>4.55626</v>
      </c>
      <c r="F224" s="5">
        <v>180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1008.16063</v>
      </c>
      <c r="E225" s="5">
        <v>4.5427299999999997</v>
      </c>
      <c r="F225" s="5">
        <v>181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1023.35392</v>
      </c>
      <c r="E226" s="5">
        <v>4.54467</v>
      </c>
      <c r="F226" s="5">
        <v>180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1018.66241</v>
      </c>
      <c r="E227" s="5">
        <v>4.5571200000000003</v>
      </c>
      <c r="F227" s="5">
        <v>182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1020.4293699999999</v>
      </c>
      <c r="E228" s="5">
        <v>4.5507600000000004</v>
      </c>
      <c r="F228" s="5">
        <v>183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1018.71793</v>
      </c>
      <c r="E229" s="5">
        <v>4.5543800000000001</v>
      </c>
      <c r="F229" s="5">
        <v>183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1017.32584</v>
      </c>
      <c r="E230" s="5">
        <v>4.5485100000000003</v>
      </c>
      <c r="F230" s="5">
        <v>183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997.69452000000001</v>
      </c>
      <c r="E231" s="5">
        <v>8.3925699999999992</v>
      </c>
      <c r="F231" s="5">
        <v>331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995.64540999999997</v>
      </c>
      <c r="E232" s="5">
        <v>8.3933199999999992</v>
      </c>
      <c r="F232" s="5">
        <v>333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994.08667000000003</v>
      </c>
      <c r="E233" s="5">
        <v>8.4032400000000003</v>
      </c>
      <c r="F233" s="5">
        <v>331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994.10667000000001</v>
      </c>
      <c r="E234" s="5">
        <v>8.3986400000000003</v>
      </c>
      <c r="F234" s="5">
        <v>332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995.86120000000005</v>
      </c>
      <c r="E235" s="5">
        <v>8.3963999999999999</v>
      </c>
      <c r="F235" s="5">
        <v>334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1001.09667</v>
      </c>
      <c r="E236" s="5">
        <v>8.3922100000000004</v>
      </c>
      <c r="F236" s="5">
        <v>334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995.62945000000002</v>
      </c>
      <c r="E237" s="5">
        <v>8.3872300000000006</v>
      </c>
      <c r="F237" s="5">
        <v>326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993.07246999999995</v>
      </c>
      <c r="E238" s="5">
        <v>8.3957999999999995</v>
      </c>
      <c r="F238" s="5">
        <v>330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993.83</v>
      </c>
      <c r="E239" s="5">
        <v>8.3891299999999998</v>
      </c>
      <c r="F239" s="5">
        <v>334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992.44034999999997</v>
      </c>
      <c r="E240" s="5">
        <v>8.3956900000000001</v>
      </c>
      <c r="F240" s="5">
        <v>329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1838.4531999999999</v>
      </c>
      <c r="E241" s="5">
        <v>5.0502099999999999</v>
      </c>
      <c r="F241" s="5">
        <v>56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1863.1282799999999</v>
      </c>
      <c r="E242" s="5">
        <v>5.0624900000000004</v>
      </c>
      <c r="F242" s="5">
        <v>56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1863.03756</v>
      </c>
      <c r="E243" s="5">
        <v>5.10222</v>
      </c>
      <c r="F243" s="5">
        <v>57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1879.43776</v>
      </c>
      <c r="E244" s="5">
        <v>5.0595699999999999</v>
      </c>
      <c r="F244" s="5">
        <v>56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1846.35</v>
      </c>
      <c r="E245" s="5">
        <v>5.08148</v>
      </c>
      <c r="F245" s="5">
        <v>57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1829.2342599999999</v>
      </c>
      <c r="E246" s="5">
        <v>5.0987099999999996</v>
      </c>
      <c r="F246" s="5">
        <v>57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1833.84727</v>
      </c>
      <c r="E247" s="5">
        <v>5.0933799999999998</v>
      </c>
      <c r="F247" s="5">
        <v>57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1872.31727</v>
      </c>
      <c r="E248" s="5">
        <v>5.0929399999999996</v>
      </c>
      <c r="F248" s="5">
        <v>56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1862.29593</v>
      </c>
      <c r="E249" s="5">
        <v>5.0952500000000001</v>
      </c>
      <c r="F249" s="5">
        <v>57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1869.3601900000001</v>
      </c>
      <c r="E250" s="5">
        <v>5.04427</v>
      </c>
      <c r="F250" s="5">
        <v>56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1790.4234300000001</v>
      </c>
      <c r="E251" s="5">
        <v>9.3717400000000008</v>
      </c>
      <c r="F251" s="5">
        <v>101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1786.8795299999999</v>
      </c>
      <c r="E252" s="5">
        <v>9.3996499999999994</v>
      </c>
      <c r="F252" s="5">
        <v>101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1792.6279</v>
      </c>
      <c r="E253" s="5">
        <v>9.3836200000000005</v>
      </c>
      <c r="F253" s="5">
        <v>101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1795.46</v>
      </c>
      <c r="E254" s="5">
        <v>9.4160500000000003</v>
      </c>
      <c r="F254" s="5">
        <v>101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1772.7908399999999</v>
      </c>
      <c r="E255" s="5">
        <v>9.4068799999999992</v>
      </c>
      <c r="F255" s="5">
        <v>102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1779.03333</v>
      </c>
      <c r="E256" s="5">
        <v>9.3789700000000007</v>
      </c>
      <c r="F256" s="5">
        <v>103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1785.9860799999999</v>
      </c>
      <c r="E257" s="5">
        <v>9.4156499999999994</v>
      </c>
      <c r="F257" s="5">
        <v>101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1782.77</v>
      </c>
      <c r="E258" s="5">
        <v>9.3877699999999997</v>
      </c>
      <c r="F258" s="5">
        <v>101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1767.7114899999999</v>
      </c>
      <c r="E259" s="5">
        <v>9.4326699999999999</v>
      </c>
      <c r="F259" s="5">
        <v>101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1789.78</v>
      </c>
      <c r="E260" s="5">
        <v>9.3736800000000002</v>
      </c>
      <c r="F260" s="5">
        <v>100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1759.67841</v>
      </c>
      <c r="E261" s="5">
        <v>15.3422</v>
      </c>
      <c r="F261" s="5">
        <v>162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1758.8552</v>
      </c>
      <c r="E262" s="5">
        <v>15.33508</v>
      </c>
      <c r="F262" s="5">
        <v>164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1757.4339299999999</v>
      </c>
      <c r="E263" s="5">
        <v>15.40156</v>
      </c>
      <c r="F263" s="5">
        <v>162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1757.6624099999999</v>
      </c>
      <c r="E264" s="5">
        <v>15.37</v>
      </c>
      <c r="F264" s="5">
        <v>163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1757.3866700000001</v>
      </c>
      <c r="E265" s="5">
        <v>15.334949999999999</v>
      </c>
      <c r="F265" s="5">
        <v>164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1758.1033299999999</v>
      </c>
      <c r="E266" s="5">
        <v>15.35416</v>
      </c>
      <c r="F266" s="5">
        <v>163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1755.1233299999999</v>
      </c>
      <c r="E267" s="5">
        <v>15.3376</v>
      </c>
      <c r="F267" s="5">
        <v>163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1756.6366700000001</v>
      </c>
      <c r="E268" s="5">
        <v>15.39174</v>
      </c>
      <c r="F268" s="5">
        <v>164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1759.0419099999999</v>
      </c>
      <c r="E269" s="5">
        <v>15.38679</v>
      </c>
      <c r="F269" s="5">
        <v>163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1763.76333</v>
      </c>
      <c r="E270" s="5">
        <v>15.35135</v>
      </c>
      <c r="F270" s="5">
        <v>163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42.003050000000002</v>
      </c>
      <c r="E271" s="5">
        <v>0.58550999999999997</v>
      </c>
      <c r="F271" s="5">
        <v>62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42.424349999999997</v>
      </c>
      <c r="E272" s="5">
        <v>0.58823999999999999</v>
      </c>
      <c r="F272" s="5">
        <v>63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41.318849999999998</v>
      </c>
      <c r="E273" s="5">
        <v>0.59087000000000001</v>
      </c>
      <c r="F273" s="5">
        <v>69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41.318849999999998</v>
      </c>
      <c r="E274" s="5">
        <v>0.58589999999999998</v>
      </c>
      <c r="F274" s="5">
        <v>67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41.318849999999998</v>
      </c>
      <c r="E275" s="5">
        <v>0.58720000000000006</v>
      </c>
      <c r="F275" s="5">
        <v>68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41.318849999999998</v>
      </c>
      <c r="E276" s="5">
        <v>0.59030000000000005</v>
      </c>
      <c r="F276" s="5">
        <v>69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41.318849999999998</v>
      </c>
      <c r="E277" s="5">
        <v>0.58831999999999995</v>
      </c>
      <c r="F277" s="5">
        <v>67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41.318849999999998</v>
      </c>
      <c r="E278" s="5">
        <v>0.58575999999999995</v>
      </c>
      <c r="F278" s="5">
        <v>67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41.319229999999997</v>
      </c>
      <c r="E279" s="5">
        <v>0.58748</v>
      </c>
      <c r="F279" s="5">
        <v>67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42.424349999999997</v>
      </c>
      <c r="E280" s="5">
        <v>0.59014</v>
      </c>
      <c r="F280" s="5">
        <v>68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0.87814000000000003</v>
      </c>
      <c r="F281" s="5">
        <v>95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0.87880999999999998</v>
      </c>
      <c r="F282" s="5">
        <v>109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28.65436</v>
      </c>
      <c r="E283" s="5">
        <v>0.87712999999999997</v>
      </c>
      <c r="F283" s="5">
        <v>109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0.87383</v>
      </c>
      <c r="F284" s="5">
        <v>108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0.87885000000000002</v>
      </c>
      <c r="F285" s="5">
        <v>110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28.664359999999999</v>
      </c>
      <c r="E286" s="5">
        <v>0.87926000000000004</v>
      </c>
      <c r="F286" s="5">
        <v>102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28.65436</v>
      </c>
      <c r="E287" s="5">
        <v>0.87333000000000005</v>
      </c>
      <c r="F287" s="5">
        <v>105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0.87638000000000005</v>
      </c>
      <c r="F288" s="5">
        <v>110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28.65436</v>
      </c>
      <c r="E289" s="5">
        <v>0.87895000000000001</v>
      </c>
      <c r="F289" s="5">
        <v>110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0.87322999999999995</v>
      </c>
      <c r="F290" s="5">
        <v>103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28.546240000000001</v>
      </c>
      <c r="E291" s="5">
        <v>1.1366099999999999</v>
      </c>
      <c r="F291" s="5">
        <v>132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28.587009999999999</v>
      </c>
      <c r="E292" s="5">
        <v>1.13165</v>
      </c>
      <c r="F292" s="5">
        <v>134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28.587009999999999</v>
      </c>
      <c r="E293" s="5">
        <v>1.1369499999999999</v>
      </c>
      <c r="F293" s="5">
        <v>134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28.592030000000001</v>
      </c>
      <c r="E294" s="5">
        <v>1.1331500000000001</v>
      </c>
      <c r="F294" s="5">
        <v>128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28.571870000000001</v>
      </c>
      <c r="E295" s="5">
        <v>1.1357900000000001</v>
      </c>
      <c r="F295" s="5">
        <v>136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28.546240000000001</v>
      </c>
      <c r="E296" s="5">
        <v>1.1364700000000001</v>
      </c>
      <c r="F296" s="5">
        <v>137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28.546240000000001</v>
      </c>
      <c r="E297" s="5">
        <v>1.13144</v>
      </c>
      <c r="F297" s="5">
        <v>135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28.592030000000001</v>
      </c>
      <c r="E298" s="5">
        <v>1.1349899999999999</v>
      </c>
      <c r="F298" s="5">
        <v>131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28.592030000000001</v>
      </c>
      <c r="E299" s="5">
        <v>1.1326799999999999</v>
      </c>
      <c r="F299" s="5">
        <v>135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28.546240000000001</v>
      </c>
      <c r="E300" s="5">
        <v>1.1347</v>
      </c>
      <c r="F300" s="5">
        <v>135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59.213940000000001</v>
      </c>
      <c r="E301" s="5">
        <v>1.93096</v>
      </c>
      <c r="F301" s="5">
        <v>71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59.136180000000003</v>
      </c>
      <c r="E302" s="5">
        <v>1.9277200000000001</v>
      </c>
      <c r="F302" s="5">
        <v>76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59.156500000000001</v>
      </c>
      <c r="E303" s="5">
        <v>1.93191</v>
      </c>
      <c r="F303" s="5">
        <v>75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58.684440000000002</v>
      </c>
      <c r="E304" s="5">
        <v>1.9409700000000001</v>
      </c>
      <c r="F304" s="5">
        <v>75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59.202849999999998</v>
      </c>
      <c r="E305" s="5">
        <v>1.9403600000000001</v>
      </c>
      <c r="F305" s="5">
        <v>77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58.97777</v>
      </c>
      <c r="E306" s="5">
        <v>1.9304300000000001</v>
      </c>
      <c r="F306" s="5">
        <v>74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56.901339999999998</v>
      </c>
      <c r="E307" s="5">
        <v>1.94017</v>
      </c>
      <c r="F307" s="5">
        <v>76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57.143590000000003</v>
      </c>
      <c r="E308" s="5">
        <v>1.9339999999999999</v>
      </c>
      <c r="F308" s="5">
        <v>74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56.901339999999998</v>
      </c>
      <c r="E309" s="5">
        <v>1.9252899999999999</v>
      </c>
      <c r="F309" s="5">
        <v>75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56.901339999999998</v>
      </c>
      <c r="E310" s="5">
        <v>1.92954</v>
      </c>
      <c r="F310" s="5">
        <v>73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53.698729999999998</v>
      </c>
      <c r="E311" s="5">
        <v>3.7562000000000002</v>
      </c>
      <c r="F311" s="5">
        <v>139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53.472749999999998</v>
      </c>
      <c r="E312" s="5">
        <v>3.7696499999999999</v>
      </c>
      <c r="F312" s="5">
        <v>142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53.625070000000001</v>
      </c>
      <c r="E313" s="5">
        <v>3.7621099999999998</v>
      </c>
      <c r="F313" s="5">
        <v>143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53.354979999999998</v>
      </c>
      <c r="E314" s="5">
        <v>3.76756</v>
      </c>
      <c r="F314" s="5">
        <v>144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53.154980000000002</v>
      </c>
      <c r="E315" s="5">
        <v>3.7500800000000001</v>
      </c>
      <c r="F315" s="5">
        <v>142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53.552750000000003</v>
      </c>
      <c r="E316" s="5">
        <v>3.7683599999999999</v>
      </c>
      <c r="F316" s="5">
        <v>144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53.242750000000001</v>
      </c>
      <c r="E317" s="5">
        <v>3.7705700000000002</v>
      </c>
      <c r="F317" s="5">
        <v>143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53.718299999999999</v>
      </c>
      <c r="E318" s="5">
        <v>3.76769</v>
      </c>
      <c r="F318" s="5">
        <v>142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53.666080000000001</v>
      </c>
      <c r="E319" s="5">
        <v>3.7506499999999998</v>
      </c>
      <c r="F319" s="5">
        <v>145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53.772750000000002</v>
      </c>
      <c r="E320" s="5">
        <v>3.7655500000000002</v>
      </c>
      <c r="F320" s="5">
        <v>144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53.217489999999998</v>
      </c>
      <c r="E321" s="5">
        <v>6.0923299999999996</v>
      </c>
      <c r="F321" s="5">
        <v>225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53.332180000000001</v>
      </c>
      <c r="E322" s="5">
        <v>6.0870300000000004</v>
      </c>
      <c r="F322" s="5">
        <v>224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53.542409999999997</v>
      </c>
      <c r="E323" s="5">
        <v>6.0904499999999997</v>
      </c>
      <c r="F323" s="5">
        <v>222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53.482410000000002</v>
      </c>
      <c r="E324" s="5">
        <v>6.0886399999999998</v>
      </c>
      <c r="F324" s="5">
        <v>224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53.264980000000001</v>
      </c>
      <c r="E325" s="5">
        <v>6.0828499999999996</v>
      </c>
      <c r="F325" s="5">
        <v>222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53.252099999999999</v>
      </c>
      <c r="E326" s="5">
        <v>6.0906900000000004</v>
      </c>
      <c r="F326" s="5">
        <v>227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53.575519999999997</v>
      </c>
      <c r="E327" s="5">
        <v>6.0901199999999998</v>
      </c>
      <c r="F327" s="5">
        <v>223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53.088320000000003</v>
      </c>
      <c r="E328" s="5">
        <v>6.0906099999999999</v>
      </c>
      <c r="F328" s="5">
        <v>227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53.53877</v>
      </c>
      <c r="E329" s="5">
        <v>6.0823200000000002</v>
      </c>
      <c r="F329" s="5">
        <v>222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53.38749</v>
      </c>
      <c r="E330" s="5">
        <v>6.0929500000000001</v>
      </c>
      <c r="F330" s="5">
        <v>223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148.28987000000001</v>
      </c>
      <c r="E331" s="5">
        <v>7.04298</v>
      </c>
      <c r="F331" s="5">
        <v>74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148.29338000000001</v>
      </c>
      <c r="E332" s="5">
        <v>7.0644999999999998</v>
      </c>
      <c r="F332" s="5">
        <v>74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148.29199</v>
      </c>
      <c r="E333" s="5">
        <v>7.0704799999999999</v>
      </c>
      <c r="F333" s="5">
        <v>74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148.17735999999999</v>
      </c>
      <c r="E334" s="5">
        <v>7.0444599999999999</v>
      </c>
      <c r="F334" s="5">
        <v>75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148.36840000000001</v>
      </c>
      <c r="E335" s="5">
        <v>7.0436699999999997</v>
      </c>
      <c r="F335" s="5">
        <v>74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148.28881000000001</v>
      </c>
      <c r="E336" s="5">
        <v>7.0483500000000001</v>
      </c>
      <c r="F336" s="5">
        <v>74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148.26163</v>
      </c>
      <c r="E337" s="5">
        <v>7.0912800000000002</v>
      </c>
      <c r="F337" s="5">
        <v>75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147.96312</v>
      </c>
      <c r="E338" s="5">
        <v>7.0578799999999999</v>
      </c>
      <c r="F338" s="5">
        <v>75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148.25987000000001</v>
      </c>
      <c r="E339" s="5">
        <v>7.0296399999999997</v>
      </c>
      <c r="F339" s="5">
        <v>74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148.34403</v>
      </c>
      <c r="E340" s="5">
        <v>7.0823200000000002</v>
      </c>
      <c r="F340" s="5">
        <v>74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108.75812000000001</v>
      </c>
      <c r="E341" s="5">
        <v>16.845690000000001</v>
      </c>
      <c r="F341" s="5">
        <v>171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108.1314</v>
      </c>
      <c r="E342" s="5">
        <v>16.84834</v>
      </c>
      <c r="F342" s="5">
        <v>170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108.26239</v>
      </c>
      <c r="E343" s="5">
        <v>16.830220000000001</v>
      </c>
      <c r="F343" s="5">
        <v>172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108.17784</v>
      </c>
      <c r="E344" s="5">
        <v>16.855039999999999</v>
      </c>
      <c r="F344" s="5">
        <v>170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108.1658</v>
      </c>
      <c r="E345" s="5">
        <v>16.80958</v>
      </c>
      <c r="F345" s="5">
        <v>170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108.43737</v>
      </c>
      <c r="E346" s="5">
        <v>16.80686</v>
      </c>
      <c r="F346" s="5">
        <v>170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108.40336000000001</v>
      </c>
      <c r="E347" s="5">
        <v>16.837389999999999</v>
      </c>
      <c r="F347" s="5">
        <v>170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107.49760000000001</v>
      </c>
      <c r="E348" s="5">
        <v>16.806339999999999</v>
      </c>
      <c r="F348" s="5">
        <v>170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108.25247</v>
      </c>
      <c r="E349" s="5">
        <v>16.846579999999999</v>
      </c>
      <c r="F349" s="5">
        <v>170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108.34836</v>
      </c>
      <c r="E350" s="5">
        <v>16.812729999999998</v>
      </c>
      <c r="F350" s="5">
        <v>170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104.01996</v>
      </c>
      <c r="E351" s="5">
        <v>29.33568</v>
      </c>
      <c r="F351" s="5">
        <v>287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104.05669</v>
      </c>
      <c r="E352" s="5">
        <v>29.410620000000002</v>
      </c>
      <c r="F352" s="5">
        <v>289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103.94580000000001</v>
      </c>
      <c r="E353" s="5">
        <v>29.399840000000001</v>
      </c>
      <c r="F353" s="5">
        <v>289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103.9584</v>
      </c>
      <c r="E354" s="5">
        <v>29.338640000000002</v>
      </c>
      <c r="F354" s="5">
        <v>286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104.11552</v>
      </c>
      <c r="E355" s="5">
        <v>29.391680000000001</v>
      </c>
      <c r="F355" s="5">
        <v>289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103.93452000000001</v>
      </c>
      <c r="E356" s="5">
        <v>29.375869999999999</v>
      </c>
      <c r="F356" s="5">
        <v>287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104.05247</v>
      </c>
      <c r="E357" s="5">
        <v>29.399329999999999</v>
      </c>
      <c r="F357" s="5">
        <v>288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104.02663</v>
      </c>
      <c r="E358" s="5">
        <v>29.39751</v>
      </c>
      <c r="F358" s="5">
        <v>286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103.99025</v>
      </c>
      <c r="E359" s="5">
        <v>29.363700000000001</v>
      </c>
      <c r="F359" s="5">
        <v>289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103.94747</v>
      </c>
      <c r="E360" s="5">
        <v>29.36082</v>
      </c>
      <c r="F360" s="5">
        <v>286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0.54601999999999995</v>
      </c>
      <c r="F361" s="5">
        <v>56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0.54374</v>
      </c>
      <c r="F362" s="5">
        <v>50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0.54183999999999999</v>
      </c>
      <c r="F363" s="5">
        <v>57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0.54735</v>
      </c>
      <c r="F364" s="5">
        <v>58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0.54574999999999996</v>
      </c>
      <c r="F365" s="5">
        <v>56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0.54434000000000005</v>
      </c>
      <c r="F366" s="5">
        <v>49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0.54490000000000005</v>
      </c>
      <c r="F367" s="5">
        <v>56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0.54381000000000002</v>
      </c>
      <c r="F368" s="5">
        <v>56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0.54520000000000002</v>
      </c>
      <c r="F369" s="5">
        <v>56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0.54530999999999996</v>
      </c>
      <c r="F370" s="5">
        <v>44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0.87517999999999996</v>
      </c>
      <c r="F371" s="5">
        <v>88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0.88721000000000005</v>
      </c>
      <c r="F372" s="5">
        <v>87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0.877</v>
      </c>
      <c r="F373" s="5">
        <v>88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0.87690999999999997</v>
      </c>
      <c r="F374" s="5">
        <v>93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0.87299000000000004</v>
      </c>
      <c r="F375" s="5">
        <v>90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0.87338000000000005</v>
      </c>
      <c r="F376" s="5">
        <v>91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0.87187999999999999</v>
      </c>
      <c r="F377" s="5">
        <v>82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0.87634999999999996</v>
      </c>
      <c r="F378" s="5">
        <v>92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0.87683</v>
      </c>
      <c r="F379" s="5">
        <v>92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0.87673000000000001</v>
      </c>
      <c r="F380" s="5">
        <v>89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1.1547799999999999</v>
      </c>
      <c r="F381" s="5">
        <v>114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1.1532100000000001</v>
      </c>
      <c r="F382" s="5">
        <v>120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1.1498200000000001</v>
      </c>
      <c r="F383" s="5">
        <v>119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1.1512</v>
      </c>
      <c r="F384" s="5">
        <v>107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1.1533800000000001</v>
      </c>
      <c r="F385" s="5">
        <v>117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1.15419</v>
      </c>
      <c r="F386" s="5">
        <v>117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1.149</v>
      </c>
      <c r="F387" s="5">
        <v>117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1.15479</v>
      </c>
      <c r="F388" s="5">
        <v>114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1.1551400000000001</v>
      </c>
      <c r="F389" s="5">
        <v>120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1.15273</v>
      </c>
      <c r="F390" s="5">
        <v>121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1.1117999999999999</v>
      </c>
      <c r="F391" s="5">
        <v>32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1.1105700000000001</v>
      </c>
      <c r="F392" s="5">
        <v>32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1.1276299999999999</v>
      </c>
      <c r="F393" s="5">
        <v>34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1.1097900000000001</v>
      </c>
      <c r="F394" s="5">
        <v>34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1.1353</v>
      </c>
      <c r="F395" s="5">
        <v>33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1.1288499999999999</v>
      </c>
      <c r="F396" s="5">
        <v>34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1.13018</v>
      </c>
      <c r="F397" s="5">
        <v>34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1.12477</v>
      </c>
      <c r="F398" s="5">
        <v>34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1.1115600000000001</v>
      </c>
      <c r="F399" s="5">
        <v>31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1.12117</v>
      </c>
      <c r="F400" s="5">
        <v>34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2.4989599999999998</v>
      </c>
      <c r="F401" s="5">
        <v>74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2.4934799999999999</v>
      </c>
      <c r="F402" s="5">
        <v>75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2.5011800000000002</v>
      </c>
      <c r="F403" s="5">
        <v>78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2.50427</v>
      </c>
      <c r="F404" s="5">
        <v>75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2.5153599999999998</v>
      </c>
      <c r="F405" s="5">
        <v>77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2.5087299999999999</v>
      </c>
      <c r="F406" s="5">
        <v>78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2.4968499999999998</v>
      </c>
      <c r="F407" s="5">
        <v>75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2.5120100000000001</v>
      </c>
      <c r="F408" s="5">
        <v>78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2.5087799999999998</v>
      </c>
      <c r="F409" s="5">
        <v>76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2.4987300000000001</v>
      </c>
      <c r="F410" s="5">
        <v>75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2.73197</v>
      </c>
      <c r="F411" s="5">
        <v>82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2.7462499999999999</v>
      </c>
      <c r="F412" s="5">
        <v>82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2.72411</v>
      </c>
      <c r="F413" s="5">
        <v>80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2.7244899999999999</v>
      </c>
      <c r="F414" s="5">
        <v>81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2.7299600000000002</v>
      </c>
      <c r="F415" s="5">
        <v>81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2.7406999999999999</v>
      </c>
      <c r="F416" s="5">
        <v>81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2.73935</v>
      </c>
      <c r="F417" s="5">
        <v>83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2.7442799999999998</v>
      </c>
      <c r="F418" s="5">
        <v>81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2.74173</v>
      </c>
      <c r="F419" s="5">
        <v>81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2.7377600000000002</v>
      </c>
      <c r="F420" s="5">
        <v>83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3.0111599999999998</v>
      </c>
      <c r="F421" s="5">
        <v>33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3.0190700000000001</v>
      </c>
      <c r="F422" s="5">
        <v>34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2.9819900000000001</v>
      </c>
      <c r="F423" s="5">
        <v>34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3.0134599999999998</v>
      </c>
      <c r="F424" s="5">
        <v>34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3.01125</v>
      </c>
      <c r="F425" s="5">
        <v>34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3.0128900000000001</v>
      </c>
      <c r="F426" s="5">
        <v>34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3.0325299999999999</v>
      </c>
      <c r="F427" s="5">
        <v>35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3.0174099999999999</v>
      </c>
      <c r="F428" s="5">
        <v>34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3.0041600000000002</v>
      </c>
      <c r="F429" s="5">
        <v>34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3.0066999999999999</v>
      </c>
      <c r="F430" s="5">
        <v>34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3.8113999999999999</v>
      </c>
      <c r="F431" s="5">
        <v>42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3.7827500000000001</v>
      </c>
      <c r="F432" s="5">
        <v>42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3.8038699999999999</v>
      </c>
      <c r="F433" s="5">
        <v>42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3.8151600000000001</v>
      </c>
      <c r="F434" s="5">
        <v>42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3.8037899999999998</v>
      </c>
      <c r="F435" s="5">
        <v>42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3.7786200000000001</v>
      </c>
      <c r="F436" s="5">
        <v>42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3.8286899999999999</v>
      </c>
      <c r="F437" s="5">
        <v>42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3.8199900000000002</v>
      </c>
      <c r="F438" s="5">
        <v>42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3.7779699999999998</v>
      </c>
      <c r="F439" s="5">
        <v>42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3.8378000000000001</v>
      </c>
      <c r="F440" s="5">
        <v>43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5.52597</v>
      </c>
      <c r="F441" s="5">
        <v>59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5.5018000000000002</v>
      </c>
      <c r="F442" s="5">
        <v>59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5.5238800000000001</v>
      </c>
      <c r="F443" s="5">
        <v>59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5.4960599999999999</v>
      </c>
      <c r="F444" s="5">
        <v>59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5.4665900000000001</v>
      </c>
      <c r="F445" s="5">
        <v>59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5.5195299999999996</v>
      </c>
      <c r="F446" s="5">
        <v>59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5.5137999999999998</v>
      </c>
      <c r="F447" s="5">
        <v>59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5.5057499999999999</v>
      </c>
      <c r="F448" s="5">
        <v>59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5.4829299999999996</v>
      </c>
      <c r="F449" s="5">
        <v>59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5.4588599999999996</v>
      </c>
      <c r="F450" s="5">
        <v>58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U1"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0.54493999999999998</v>
      </c>
      <c r="F1" s="5">
        <v>39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0.54927000000000004</v>
      </c>
      <c r="F2" s="5">
        <v>35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0.54534000000000005</v>
      </c>
      <c r="F3" s="5">
        <v>41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170.35004000000001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0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0.54647999999999997</v>
      </c>
      <c r="F4" s="5">
        <v>27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0.54888000000000003</v>
      </c>
      <c r="F5" s="5">
        <v>36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0.54569999999999996</v>
      </c>
      <c r="F6" s="5">
        <v>35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0.54706999999999995</v>
      </c>
      <c r="F7" s="5">
        <v>40</v>
      </c>
      <c r="H7" s="5" t="s">
        <v>27</v>
      </c>
      <c r="I7" s="5">
        <v>50</v>
      </c>
      <c r="J7" s="5">
        <v>1</v>
      </c>
      <c r="L7" s="5">
        <f t="shared" ca="1" si="11"/>
        <v>180.05332999999999</v>
      </c>
      <c r="M7" s="5">
        <f t="shared" ca="1" si="0"/>
        <v>179.93769</v>
      </c>
      <c r="N7" s="5">
        <f t="shared" ca="1" si="0"/>
        <v>181.5967</v>
      </c>
      <c r="O7" s="5">
        <f t="shared" ca="1" si="0"/>
        <v>182.34583000000001</v>
      </c>
      <c r="P7" s="5">
        <f t="shared" ca="1" si="0"/>
        <v>181.40834000000001</v>
      </c>
      <c r="Q7" s="5">
        <f t="shared" ca="1" si="0"/>
        <v>180.05332999999999</v>
      </c>
      <c r="R7" s="5">
        <f t="shared" ca="1" si="0"/>
        <v>180.38311999999999</v>
      </c>
      <c r="S7" s="5">
        <f t="shared" ca="1" si="0"/>
        <v>179.67332999999999</v>
      </c>
      <c r="T7" s="5">
        <f t="shared" ca="1" si="0"/>
        <v>179.95332999999999</v>
      </c>
      <c r="U7" s="5">
        <f t="shared" ca="1" si="0"/>
        <v>181.5967</v>
      </c>
      <c r="W7" s="5">
        <f t="shared" ca="1" si="12"/>
        <v>180.70017000000001</v>
      </c>
      <c r="Y7" s="5">
        <f ca="1">Total!E7</f>
        <v>179.67332999999999</v>
      </c>
      <c r="AB7" s="5">
        <f t="shared" ca="1" si="1"/>
        <v>2.1149493917655754E-3</v>
      </c>
      <c r="AC7" s="5">
        <f t="shared" ca="1" si="2"/>
        <v>1.4713368979136225E-3</v>
      </c>
      <c r="AD7" s="5">
        <f t="shared" ca="1" si="3"/>
        <v>1.0704816346421618E-2</v>
      </c>
      <c r="AE7" s="5">
        <f t="shared" ca="1" si="4"/>
        <v>1.4874216446035779E-2</v>
      </c>
      <c r="AF7" s="5">
        <f t="shared" ca="1" si="5"/>
        <v>9.6564693268612369E-3</v>
      </c>
      <c r="AG7" s="5">
        <f t="shared" ca="1" si="6"/>
        <v>2.1149493917655754E-3</v>
      </c>
      <c r="AH7" s="5">
        <f t="shared" ca="1" si="7"/>
        <v>3.9504471810034251E-3</v>
      </c>
      <c r="AI7" s="5">
        <f t="shared" ca="1" si="8"/>
        <v>0</v>
      </c>
      <c r="AJ7" s="5">
        <f t="shared" ca="1" si="9"/>
        <v>1.5583837623536067E-3</v>
      </c>
      <c r="AK7" s="5">
        <f t="shared" ca="1" si="10"/>
        <v>1.0704816346421618E-2</v>
      </c>
      <c r="AM7" s="5">
        <f t="shared" ca="1" si="13"/>
        <v>5.7150385090542058E-2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0.54967999999999995</v>
      </c>
      <c r="F8" s="5">
        <v>36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0.55389999999999995</v>
      </c>
      <c r="F9" s="5">
        <v>38</v>
      </c>
      <c r="H9" s="5" t="s">
        <v>27</v>
      </c>
      <c r="I9" s="5">
        <v>100</v>
      </c>
      <c r="J9" s="5">
        <v>0.7</v>
      </c>
      <c r="L9" s="5">
        <f t="shared" ca="1" si="11"/>
        <v>255.76089999999999</v>
      </c>
      <c r="M9" s="5">
        <f t="shared" ca="1" si="0"/>
        <v>255.43852000000001</v>
      </c>
      <c r="N9" s="5">
        <f t="shared" ca="1" si="0"/>
        <v>257.21629000000001</v>
      </c>
      <c r="O9" s="5">
        <f t="shared" ca="1" si="0"/>
        <v>255.60731999999999</v>
      </c>
      <c r="P9" s="5">
        <f t="shared" ca="1" si="0"/>
        <v>257.07461999999998</v>
      </c>
      <c r="Q9" s="5">
        <f t="shared" ca="1" si="0"/>
        <v>258.66257000000002</v>
      </c>
      <c r="R9" s="5">
        <f t="shared" ca="1" si="0"/>
        <v>256.99954000000002</v>
      </c>
      <c r="S9" s="5">
        <f t="shared" ca="1" si="0"/>
        <v>256.64003000000002</v>
      </c>
      <c r="T9" s="5">
        <f t="shared" ca="1" si="0"/>
        <v>259.23403000000002</v>
      </c>
      <c r="U9" s="5">
        <f t="shared" ca="1" si="0"/>
        <v>256.05065000000002</v>
      </c>
      <c r="W9" s="5">
        <f t="shared" ca="1" si="12"/>
        <v>256.86844700000006</v>
      </c>
      <c r="Y9" s="5">
        <f ca="1">Total!E9</f>
        <v>255.18879999999999</v>
      </c>
      <c r="AB9" s="5">
        <f t="shared" ca="1" si="1"/>
        <v>2.2418695491338418E-3</v>
      </c>
      <c r="AC9" s="5">
        <f t="shared" ca="1" si="2"/>
        <v>9.7856959239600171E-4</v>
      </c>
      <c r="AD9" s="5">
        <f t="shared" ca="1" si="3"/>
        <v>7.9450587173105908E-3</v>
      </c>
      <c r="AE9" s="5">
        <f t="shared" ca="1" si="4"/>
        <v>1.6400406287423309E-3</v>
      </c>
      <c r="AF9" s="5">
        <f t="shared" ca="1" si="5"/>
        <v>7.3899011241872507E-3</v>
      </c>
      <c r="AG9" s="5">
        <f t="shared" ca="1" si="6"/>
        <v>1.3612548826594391E-2</v>
      </c>
      <c r="AH9" s="5">
        <f t="shared" ca="1" si="7"/>
        <v>7.0956875850352302E-3</v>
      </c>
      <c r="AI9" s="5">
        <f t="shared" ca="1" si="8"/>
        <v>5.6868875123047644E-3</v>
      </c>
      <c r="AJ9" s="5">
        <f t="shared" ca="1" si="9"/>
        <v>1.5851910428670977E-2</v>
      </c>
      <c r="AK9" s="5">
        <f t="shared" ca="1" si="10"/>
        <v>3.3773033926255088E-3</v>
      </c>
      <c r="AM9" s="5">
        <f t="shared" ca="1" si="13"/>
        <v>6.5819777357000883E-2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0.54705000000000004</v>
      </c>
      <c r="F10" s="5">
        <v>36</v>
      </c>
      <c r="H10" s="5" t="s">
        <v>27</v>
      </c>
      <c r="I10" s="5">
        <v>100</v>
      </c>
      <c r="J10" s="5">
        <v>1</v>
      </c>
      <c r="L10" s="5">
        <f t="shared" ca="1" si="11"/>
        <v>239.56438</v>
      </c>
      <c r="M10" s="5">
        <f t="shared" ca="1" si="0"/>
        <v>239.26256000000001</v>
      </c>
      <c r="N10" s="5">
        <f t="shared" ca="1" si="0"/>
        <v>239.15333000000001</v>
      </c>
      <c r="O10" s="5">
        <f t="shared" ca="1" si="0"/>
        <v>239.03666999999999</v>
      </c>
      <c r="P10" s="5">
        <f t="shared" ca="1" si="0"/>
        <v>238.89332999999999</v>
      </c>
      <c r="Q10" s="5">
        <f t="shared" ca="1" si="0"/>
        <v>239.12</v>
      </c>
      <c r="R10" s="5">
        <f t="shared" ca="1" si="0"/>
        <v>238.93333000000001</v>
      </c>
      <c r="S10" s="5">
        <f t="shared" ca="1" si="0"/>
        <v>241.11418</v>
      </c>
      <c r="T10" s="5">
        <f t="shared" ca="1" si="0"/>
        <v>239.38613000000001</v>
      </c>
      <c r="U10" s="5">
        <f t="shared" ca="1" si="0"/>
        <v>239.08</v>
      </c>
      <c r="W10" s="5">
        <f t="shared" ca="1" si="12"/>
        <v>239.35439099999999</v>
      </c>
      <c r="Y10" s="5">
        <f ca="1">Total!E10</f>
        <v>238.77667</v>
      </c>
      <c r="AB10" s="5">
        <f t="shared" ca="1" si="1"/>
        <v>3.2989403864288926E-3</v>
      </c>
      <c r="AC10" s="5">
        <f t="shared" ca="1" si="2"/>
        <v>2.0349140475072877E-3</v>
      </c>
      <c r="AD10" s="5">
        <f t="shared" ca="1" si="3"/>
        <v>1.5774572951369802E-3</v>
      </c>
      <c r="AE10" s="5">
        <f t="shared" ca="1" si="4"/>
        <v>1.0888835998926986E-3</v>
      </c>
      <c r="AF10" s="5">
        <f t="shared" ca="1" si="5"/>
        <v>4.8857369524416266E-4</v>
      </c>
      <c r="AG10" s="5">
        <f t="shared" ca="1" si="6"/>
        <v>1.4378707936583955E-3</v>
      </c>
      <c r="AH10" s="5">
        <f t="shared" ca="1" si="7"/>
        <v>6.5609424907390015E-4</v>
      </c>
      <c r="AI10" s="5">
        <f t="shared" ca="1" si="8"/>
        <v>9.7895242445587699E-3</v>
      </c>
      <c r="AJ10" s="5">
        <f t="shared" ca="1" si="9"/>
        <v>2.5524269184255431E-3</v>
      </c>
      <c r="AK10" s="5">
        <f t="shared" ca="1" si="10"/>
        <v>1.270350239828777E-3</v>
      </c>
      <c r="AM10" s="5">
        <f t="shared" ca="1" si="13"/>
        <v>2.4195035469755408E-2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1.42215</v>
      </c>
      <c r="F11" s="5">
        <v>95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1.4231199999999999</v>
      </c>
      <c r="F12" s="5">
        <v>77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1.4217200000000001</v>
      </c>
      <c r="F13" s="5">
        <v>141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1.42302</v>
      </c>
      <c r="F14" s="5">
        <v>133</v>
      </c>
      <c r="H14" s="5" t="s">
        <v>2</v>
      </c>
      <c r="I14" s="5">
        <v>47</v>
      </c>
      <c r="J14" s="5">
        <v>0.4</v>
      </c>
      <c r="L14" s="5">
        <f t="shared" ca="1" si="11"/>
        <v>4348.0289499999999</v>
      </c>
      <c r="M14" s="5">
        <f t="shared" ca="1" si="0"/>
        <v>4348.0289499999999</v>
      </c>
      <c r="N14" s="5">
        <f t="shared" ca="1" si="0"/>
        <v>4348.0289499999999</v>
      </c>
      <c r="O14" s="5">
        <f t="shared" ca="1" si="0"/>
        <v>4348.0289499999999</v>
      </c>
      <c r="P14" s="5">
        <f t="shared" ca="1" si="0"/>
        <v>4348.0289499999999</v>
      </c>
      <c r="Q14" s="5">
        <f t="shared" ca="1" si="0"/>
        <v>4348.0289499999999</v>
      </c>
      <c r="R14" s="5">
        <f t="shared" ca="1" si="0"/>
        <v>4348.0289499999999</v>
      </c>
      <c r="S14" s="5">
        <f t="shared" ca="1" si="0"/>
        <v>4348.0289499999999</v>
      </c>
      <c r="T14" s="5">
        <f t="shared" ca="1" si="0"/>
        <v>4348.0289499999999</v>
      </c>
      <c r="U14" s="5">
        <f t="shared" ca="1" si="0"/>
        <v>4348.0289499999999</v>
      </c>
      <c r="W14" s="5">
        <f t="shared" ca="1" si="12"/>
        <v>4348.0289499999999</v>
      </c>
      <c r="Y14" s="5">
        <f ca="1">Total!E14</f>
        <v>4348.0289499999999</v>
      </c>
      <c r="AB14" s="5">
        <f t="shared" ca="1" si="1"/>
        <v>0</v>
      </c>
      <c r="AC14" s="5">
        <f t="shared" ca="1" si="2"/>
        <v>0</v>
      </c>
      <c r="AD14" s="5">
        <f t="shared" ca="1" si="3"/>
        <v>0</v>
      </c>
      <c r="AE14" s="5">
        <f t="shared" ca="1" si="4"/>
        <v>0</v>
      </c>
      <c r="AF14" s="5">
        <f t="shared" ca="1" si="5"/>
        <v>0</v>
      </c>
      <c r="AG14" s="5">
        <f t="shared" ca="1" si="6"/>
        <v>0</v>
      </c>
      <c r="AH14" s="5">
        <f t="shared" ca="1" si="7"/>
        <v>0</v>
      </c>
      <c r="AI14" s="5">
        <f t="shared" ca="1" si="8"/>
        <v>0</v>
      </c>
      <c r="AJ14" s="5">
        <f t="shared" ca="1" si="9"/>
        <v>0</v>
      </c>
      <c r="AK14" s="5">
        <f t="shared" ca="1" si="10"/>
        <v>0</v>
      </c>
      <c r="AM14" s="5">
        <f t="shared" ca="1" si="13"/>
        <v>0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1.42374</v>
      </c>
      <c r="F15" s="5">
        <v>137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1.42605</v>
      </c>
      <c r="F16" s="5">
        <v>137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1.4273199999999999</v>
      </c>
      <c r="F17" s="5">
        <v>133</v>
      </c>
      <c r="H17" s="5" t="s">
        <v>2</v>
      </c>
      <c r="I17" s="5">
        <v>100</v>
      </c>
      <c r="J17" s="5">
        <v>0.4</v>
      </c>
      <c r="L17" s="5">
        <f t="shared" ca="1" si="11"/>
        <v>42986.673049999998</v>
      </c>
      <c r="M17" s="5">
        <f t="shared" ca="1" si="0"/>
        <v>42986.403050000001</v>
      </c>
      <c r="N17" s="5">
        <f t="shared" ca="1" si="0"/>
        <v>42986.797890000002</v>
      </c>
      <c r="O17" s="5">
        <f t="shared" ca="1" si="0"/>
        <v>42986.403050000001</v>
      </c>
      <c r="P17" s="5">
        <f t="shared" ca="1" si="0"/>
        <v>42986.403050000001</v>
      </c>
      <c r="Q17" s="5">
        <f t="shared" ca="1" si="0"/>
        <v>42986.836920000002</v>
      </c>
      <c r="R17" s="5">
        <f t="shared" ca="1" si="0"/>
        <v>42986.403050000001</v>
      </c>
      <c r="S17" s="5">
        <f t="shared" ca="1" si="0"/>
        <v>42987.644590000004</v>
      </c>
      <c r="T17" s="5">
        <f t="shared" ca="1" si="0"/>
        <v>42986.673049999998</v>
      </c>
      <c r="U17" s="5">
        <f t="shared" ca="1" si="0"/>
        <v>42986.836920000002</v>
      </c>
      <c r="W17" s="5">
        <f t="shared" ca="1" si="12"/>
        <v>42986.707461999998</v>
      </c>
      <c r="Y17" s="5">
        <f ca="1">Total!E17</f>
        <v>42986.193919999998</v>
      </c>
      <c r="AB17" s="5">
        <f t="shared" ca="1" si="1"/>
        <v>1.1146136847830832E-5</v>
      </c>
      <c r="AC17" s="5">
        <f t="shared" ca="1" si="2"/>
        <v>4.8650504018131747E-6</v>
      </c>
      <c r="AD17" s="5">
        <f t="shared" ca="1" si="3"/>
        <v>1.4050325114332792E-5</v>
      </c>
      <c r="AE17" s="5">
        <f t="shared" ca="1" si="4"/>
        <v>4.8650504018131747E-6</v>
      </c>
      <c r="AF17" s="5">
        <f t="shared" ca="1" si="5"/>
        <v>4.8650504018131747E-6</v>
      </c>
      <c r="AG17" s="5">
        <f t="shared" ca="1" si="6"/>
        <v>1.4958291055038052E-5</v>
      </c>
      <c r="AH17" s="5">
        <f t="shared" ca="1" si="7"/>
        <v>4.8650504018131747E-6</v>
      </c>
      <c r="AI17" s="5">
        <f t="shared" ca="1" si="8"/>
        <v>3.3747346943658645E-5</v>
      </c>
      <c r="AJ17" s="5">
        <f t="shared" ca="1" si="9"/>
        <v>1.1146136847830832E-5</v>
      </c>
      <c r="AK17" s="5">
        <f t="shared" ca="1" si="10"/>
        <v>1.4958291055038052E-5</v>
      </c>
      <c r="AM17" s="5">
        <f t="shared" ca="1" si="13"/>
        <v>1.1946672947098191E-4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1.4236</v>
      </c>
      <c r="F18" s="5">
        <v>137</v>
      </c>
      <c r="H18" s="5" t="s">
        <v>2</v>
      </c>
      <c r="I18" s="5">
        <v>100</v>
      </c>
      <c r="J18" s="5">
        <v>0.7</v>
      </c>
      <c r="L18" s="5">
        <f t="shared" ca="1" si="11"/>
        <v>35748.436860000002</v>
      </c>
      <c r="M18" s="5">
        <f t="shared" ca="1" si="11"/>
        <v>35749.502379999998</v>
      </c>
      <c r="N18" s="5">
        <f t="shared" ca="1" si="11"/>
        <v>35647.037250000001</v>
      </c>
      <c r="O18" s="5">
        <f t="shared" ca="1" si="11"/>
        <v>35808.978869999999</v>
      </c>
      <c r="P18" s="5">
        <f t="shared" ca="1" si="11"/>
        <v>35534.581460000001</v>
      </c>
      <c r="Q18" s="5">
        <f t="shared" ca="1" si="11"/>
        <v>35647.593849999997</v>
      </c>
      <c r="R18" s="5">
        <f t="shared" ca="1" si="11"/>
        <v>35606.980860000003</v>
      </c>
      <c r="S18" s="5">
        <f t="shared" ca="1" si="11"/>
        <v>35582.158669999997</v>
      </c>
      <c r="T18" s="5">
        <f t="shared" ca="1" si="11"/>
        <v>35620.937760000001</v>
      </c>
      <c r="U18" s="5">
        <f t="shared" ca="1" si="11"/>
        <v>35687.224730000002</v>
      </c>
      <c r="W18" s="5">
        <f t="shared" ca="1" si="12"/>
        <v>35663.343268999997</v>
      </c>
      <c r="Y18" s="5">
        <f ca="1">Total!E18</f>
        <v>35336.072039999999</v>
      </c>
      <c r="AB18" s="5">
        <f t="shared" ca="1" si="1"/>
        <v>1.166979792018792E-2</v>
      </c>
      <c r="AC18" s="5">
        <f t="shared" ca="1" si="2"/>
        <v>1.1699951809357897E-2</v>
      </c>
      <c r="AD18" s="5">
        <f t="shared" ca="1" si="3"/>
        <v>8.8002200597732914E-3</v>
      </c>
      <c r="AE18" s="5">
        <f t="shared" ca="1" si="4"/>
        <v>1.3383118232968146E-2</v>
      </c>
      <c r="AF18" s="5">
        <f t="shared" ca="1" si="5"/>
        <v>5.617755696651623E-3</v>
      </c>
      <c r="AG18" s="5">
        <f t="shared" ca="1" si="6"/>
        <v>8.8159716690457135E-3</v>
      </c>
      <c r="AH18" s="5">
        <f t="shared" ca="1" si="7"/>
        <v>7.6666365093816524E-3</v>
      </c>
      <c r="AI18" s="5">
        <f t="shared" ca="1" si="8"/>
        <v>6.9641761461610935E-3</v>
      </c>
      <c r="AJ18" s="5">
        <f t="shared" ca="1" si="9"/>
        <v>8.0616124983426875E-3</v>
      </c>
      <c r="AK18" s="5">
        <f t="shared" ca="1" si="10"/>
        <v>9.937513416955401E-3</v>
      </c>
      <c r="AM18" s="5">
        <f t="shared" ca="1" si="13"/>
        <v>9.2616753958825418E-2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1.43588</v>
      </c>
      <c r="F19" s="5">
        <v>135</v>
      </c>
      <c r="H19" s="5" t="s">
        <v>2</v>
      </c>
      <c r="I19" s="5">
        <v>100</v>
      </c>
      <c r="J19" s="5">
        <v>1</v>
      </c>
      <c r="L19" s="5">
        <f t="shared" ca="1" si="11"/>
        <v>35279.076670000002</v>
      </c>
      <c r="M19" s="5">
        <f t="shared" ca="1" si="11"/>
        <v>35235.24</v>
      </c>
      <c r="N19" s="5">
        <f t="shared" ca="1" si="11"/>
        <v>35262.056669999998</v>
      </c>
      <c r="O19" s="5">
        <f t="shared" ca="1" si="11"/>
        <v>35330.286289999996</v>
      </c>
      <c r="P19" s="5">
        <f t="shared" ca="1" si="11"/>
        <v>35244.262439999999</v>
      </c>
      <c r="Q19" s="5">
        <f t="shared" ca="1" si="11"/>
        <v>35375.399619999997</v>
      </c>
      <c r="R19" s="5">
        <f t="shared" ca="1" si="11"/>
        <v>35379.776409999999</v>
      </c>
      <c r="S19" s="5">
        <f t="shared" ca="1" si="11"/>
        <v>35322.61361</v>
      </c>
      <c r="T19" s="5">
        <f t="shared" ca="1" si="11"/>
        <v>35250.590989999997</v>
      </c>
      <c r="U19" s="5">
        <f t="shared" ca="1" si="11"/>
        <v>35291.88119</v>
      </c>
      <c r="W19" s="5">
        <f t="shared" ca="1" si="12"/>
        <v>35297.118388999996</v>
      </c>
      <c r="Y19" s="5">
        <f ca="1">Total!E19</f>
        <v>35203.853329999998</v>
      </c>
      <c r="AB19" s="5">
        <f t="shared" ca="1" si="1"/>
        <v>2.1367927906886354E-3</v>
      </c>
      <c r="AC19" s="5">
        <f t="shared" ca="1" si="2"/>
        <v>8.9156916164210903E-4</v>
      </c>
      <c r="AD19" s="5">
        <f t="shared" ca="1" si="3"/>
        <v>1.6533229886627309E-3</v>
      </c>
      <c r="AE19" s="5">
        <f t="shared" ca="1" si="4"/>
        <v>3.5914522996905772E-3</v>
      </c>
      <c r="AF19" s="5">
        <f t="shared" ca="1" si="5"/>
        <v>1.1478604237214196E-3</v>
      </c>
      <c r="AG19" s="5">
        <f t="shared" ca="1" si="6"/>
        <v>4.8729407088459317E-3</v>
      </c>
      <c r="AH19" s="5">
        <f t="shared" ca="1" si="7"/>
        <v>4.9972677238171101E-3</v>
      </c>
      <c r="AI19" s="5">
        <f t="shared" ca="1" si="8"/>
        <v>3.3735022949546601E-3</v>
      </c>
      <c r="AJ19" s="5">
        <f t="shared" ca="1" si="9"/>
        <v>1.3276290967889585E-3</v>
      </c>
      <c r="AK19" s="5">
        <f t="shared" ca="1" si="10"/>
        <v>2.5005177465895882E-3</v>
      </c>
      <c r="AM19" s="5">
        <f t="shared" ca="1" si="13"/>
        <v>2.6492855235401725E-2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1.4229400000000001</v>
      </c>
      <c r="F20" s="5">
        <v>139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1.7752399999999999</v>
      </c>
      <c r="F21" s="5">
        <v>160</v>
      </c>
      <c r="H21" s="5" t="s">
        <v>1</v>
      </c>
      <c r="I21" s="5">
        <v>30</v>
      </c>
      <c r="J21" s="5">
        <v>0.7</v>
      </c>
      <c r="L21" s="5">
        <f t="shared" ca="1" si="11"/>
        <v>675.36989000000005</v>
      </c>
      <c r="M21" s="5">
        <f t="shared" ca="1" si="11"/>
        <v>677.26074000000006</v>
      </c>
      <c r="N21" s="5">
        <f t="shared" ca="1" si="11"/>
        <v>675.38611000000003</v>
      </c>
      <c r="O21" s="5">
        <f t="shared" ca="1" si="11"/>
        <v>675.36989000000005</v>
      </c>
      <c r="P21" s="5">
        <f t="shared" ca="1" si="11"/>
        <v>675.36989000000005</v>
      </c>
      <c r="Q21" s="5">
        <f t="shared" ca="1" si="11"/>
        <v>675.36989000000005</v>
      </c>
      <c r="R21" s="5">
        <f t="shared" ca="1" si="11"/>
        <v>675.36989000000005</v>
      </c>
      <c r="S21" s="5">
        <f t="shared" ca="1" si="11"/>
        <v>675.36989000000005</v>
      </c>
      <c r="T21" s="5">
        <f t="shared" ca="1" si="11"/>
        <v>675.36989000000005</v>
      </c>
      <c r="U21" s="5">
        <f t="shared" ca="1" si="11"/>
        <v>675.36989000000005</v>
      </c>
      <c r="W21" s="5">
        <f t="shared" ca="1" si="12"/>
        <v>675.56059699999992</v>
      </c>
      <c r="Y21" s="5">
        <f ca="1">Total!E21</f>
        <v>675.36581000000001</v>
      </c>
      <c r="AB21" s="5">
        <f t="shared" ca="1" si="1"/>
        <v>6.0411704881010963E-6</v>
      </c>
      <c r="AC21" s="5">
        <f t="shared" ca="1" si="2"/>
        <v>2.8057831355129525E-3</v>
      </c>
      <c r="AD21" s="5">
        <f t="shared" ca="1" si="3"/>
        <v>3.0057784536087472E-5</v>
      </c>
      <c r="AE21" s="5">
        <f t="shared" ca="1" si="4"/>
        <v>6.0411704881010963E-6</v>
      </c>
      <c r="AF21" s="5">
        <f t="shared" ca="1" si="5"/>
        <v>6.0411704881010963E-6</v>
      </c>
      <c r="AG21" s="5">
        <f t="shared" ca="1" si="6"/>
        <v>6.0411704881010963E-6</v>
      </c>
      <c r="AH21" s="5">
        <f t="shared" ca="1" si="7"/>
        <v>6.0411704881010963E-6</v>
      </c>
      <c r="AI21" s="5">
        <f t="shared" ca="1" si="8"/>
        <v>6.0411704881010963E-6</v>
      </c>
      <c r="AJ21" s="5">
        <f t="shared" ca="1" si="9"/>
        <v>6.0411704881010963E-6</v>
      </c>
      <c r="AK21" s="5">
        <f t="shared" ca="1" si="10"/>
        <v>6.0411704881010963E-6</v>
      </c>
      <c r="AM21" s="5">
        <f t="shared" ca="1" si="13"/>
        <v>2.8841702839538489E-3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1.7699199999999999</v>
      </c>
      <c r="F22" s="5">
        <v>173</v>
      </c>
      <c r="H22" s="5" t="s">
        <v>1</v>
      </c>
      <c r="I22" s="5">
        <v>30</v>
      </c>
      <c r="J22" s="5">
        <v>1</v>
      </c>
      <c r="L22" s="5">
        <f t="shared" ca="1" si="11"/>
        <v>657.32380999999998</v>
      </c>
      <c r="M22" s="5">
        <f t="shared" ca="1" si="11"/>
        <v>657.35562000000004</v>
      </c>
      <c r="N22" s="5">
        <f t="shared" ca="1" si="11"/>
        <v>655.43295999999998</v>
      </c>
      <c r="O22" s="5">
        <f t="shared" ca="1" si="11"/>
        <v>655.43295999999998</v>
      </c>
      <c r="P22" s="5">
        <f t="shared" ca="1" si="11"/>
        <v>657.95457999999996</v>
      </c>
      <c r="Q22" s="5">
        <f t="shared" ca="1" si="11"/>
        <v>657.35562000000004</v>
      </c>
      <c r="R22" s="5">
        <f t="shared" ca="1" si="11"/>
        <v>657.32380999999998</v>
      </c>
      <c r="S22" s="5">
        <f t="shared" ca="1" si="11"/>
        <v>658.36622</v>
      </c>
      <c r="T22" s="5">
        <f t="shared" ca="1" si="11"/>
        <v>655.46475999999996</v>
      </c>
      <c r="U22" s="5">
        <f t="shared" ca="1" si="11"/>
        <v>655.43907999999999</v>
      </c>
      <c r="W22" s="5">
        <f t="shared" ca="1" si="12"/>
        <v>656.74494200000004</v>
      </c>
      <c r="Y22" s="5">
        <f ca="1">Total!E22</f>
        <v>655.43295999999998</v>
      </c>
      <c r="AB22" s="5">
        <f t="shared" ca="1" si="1"/>
        <v>2.8848869608266272E-3</v>
      </c>
      <c r="AC22" s="5">
        <f t="shared" ca="1" si="2"/>
        <v>2.9334197657683624E-3</v>
      </c>
      <c r="AD22" s="5">
        <f t="shared" ca="1" si="3"/>
        <v>0</v>
      </c>
      <c r="AE22" s="5">
        <f t="shared" ca="1" si="4"/>
        <v>0</v>
      </c>
      <c r="AF22" s="5">
        <f t="shared" ca="1" si="5"/>
        <v>3.847258459507414E-3</v>
      </c>
      <c r="AG22" s="5">
        <f t="shared" ca="1" si="6"/>
        <v>2.9334197657683624E-3</v>
      </c>
      <c r="AH22" s="5">
        <f t="shared" ca="1" si="7"/>
        <v>2.8848869608266272E-3</v>
      </c>
      <c r="AI22" s="5">
        <f t="shared" ca="1" si="8"/>
        <v>4.4753013336406187E-3</v>
      </c>
      <c r="AJ22" s="5">
        <f t="shared" ca="1" si="9"/>
        <v>4.8517547851080951E-5</v>
      </c>
      <c r="AK22" s="5">
        <f t="shared" ca="1" si="10"/>
        <v>9.337339397777456E-6</v>
      </c>
      <c r="AM22" s="5">
        <f t="shared" ca="1" si="13"/>
        <v>2.0017028133586873E-2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1.7716099999999999</v>
      </c>
      <c r="F23" s="5">
        <v>161</v>
      </c>
      <c r="H23" s="5" t="s">
        <v>1</v>
      </c>
      <c r="I23" s="5">
        <v>50</v>
      </c>
      <c r="J23" s="5">
        <v>0.4</v>
      </c>
      <c r="L23" s="5">
        <f t="shared" ca="1" si="11"/>
        <v>1459.9687899999999</v>
      </c>
      <c r="M23" s="5">
        <f t="shared" ca="1" si="11"/>
        <v>1459.9687899999999</v>
      </c>
      <c r="N23" s="5">
        <f t="shared" ca="1" si="11"/>
        <v>1459.9687899999999</v>
      </c>
      <c r="O23" s="5">
        <f t="shared" ca="1" si="11"/>
        <v>1459.9687899999999</v>
      </c>
      <c r="P23" s="5">
        <f t="shared" ca="1" si="11"/>
        <v>1460.80863</v>
      </c>
      <c r="Q23" s="5">
        <f t="shared" ca="1" si="11"/>
        <v>1459.9687899999999</v>
      </c>
      <c r="R23" s="5">
        <f t="shared" ca="1" si="11"/>
        <v>1467.0878600000001</v>
      </c>
      <c r="S23" s="5">
        <f t="shared" ca="1" si="11"/>
        <v>1459.9687899999999</v>
      </c>
      <c r="T23" s="5">
        <f t="shared" ca="1" si="11"/>
        <v>1459.9687899999999</v>
      </c>
      <c r="U23" s="5">
        <f t="shared" ca="1" si="11"/>
        <v>1460.8172199999999</v>
      </c>
      <c r="W23" s="5">
        <f t="shared" ca="1" si="12"/>
        <v>1460.8495239999997</v>
      </c>
      <c r="Y23" s="5">
        <f ca="1">Total!E23</f>
        <v>1459.9687899999999</v>
      </c>
      <c r="AB23" s="5">
        <f t="shared" ca="1" si="1"/>
        <v>0</v>
      </c>
      <c r="AC23" s="5">
        <f t="shared" ca="1" si="2"/>
        <v>0</v>
      </c>
      <c r="AD23" s="5">
        <f t="shared" ca="1" si="3"/>
        <v>0</v>
      </c>
      <c r="AE23" s="5">
        <f t="shared" ca="1" si="4"/>
        <v>0</v>
      </c>
      <c r="AF23" s="5">
        <f t="shared" ca="1" si="5"/>
        <v>5.7524517356298749E-4</v>
      </c>
      <c r="AG23" s="5">
        <f t="shared" ca="1" si="6"/>
        <v>0</v>
      </c>
      <c r="AH23" s="5">
        <f t="shared" ca="1" si="7"/>
        <v>4.8761795791540125E-3</v>
      </c>
      <c r="AI23" s="5">
        <f t="shared" ca="1" si="8"/>
        <v>0</v>
      </c>
      <c r="AJ23" s="5">
        <f t="shared" ca="1" si="9"/>
        <v>0</v>
      </c>
      <c r="AK23" s="5">
        <f t="shared" ca="1" si="10"/>
        <v>5.8112886098065676E-4</v>
      </c>
      <c r="AM23" s="5">
        <f t="shared" ca="1" si="13"/>
        <v>6.0325536136976565E-3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1.7720400000000001</v>
      </c>
      <c r="F24" s="5">
        <v>168</v>
      </c>
      <c r="H24" s="5" t="s">
        <v>1</v>
      </c>
      <c r="I24" s="5">
        <v>50</v>
      </c>
      <c r="J24" s="5">
        <v>0.7</v>
      </c>
      <c r="L24" s="5">
        <f t="shared" ca="1" si="11"/>
        <v>1015.73215</v>
      </c>
      <c r="M24" s="5">
        <f t="shared" ca="1" si="11"/>
        <v>1023.5172</v>
      </c>
      <c r="N24" s="5">
        <f t="shared" ca="1" si="11"/>
        <v>1020.41811</v>
      </c>
      <c r="O24" s="5">
        <f t="shared" ca="1" si="11"/>
        <v>1014.09273</v>
      </c>
      <c r="P24" s="5">
        <f t="shared" ca="1" si="11"/>
        <v>1018.81067</v>
      </c>
      <c r="Q24" s="5">
        <f t="shared" ca="1" si="11"/>
        <v>1014.11221</v>
      </c>
      <c r="R24" s="5">
        <f t="shared" ca="1" si="11"/>
        <v>1013.71888</v>
      </c>
      <c r="S24" s="5">
        <f t="shared" ca="1" si="11"/>
        <v>1013.60725</v>
      </c>
      <c r="T24" s="5">
        <f t="shared" ca="1" si="11"/>
        <v>1012.4837199999999</v>
      </c>
      <c r="U24" s="5">
        <f t="shared" ca="1" si="11"/>
        <v>1012.58742</v>
      </c>
      <c r="W24" s="5">
        <f t="shared" ca="1" si="12"/>
        <v>1015.908034</v>
      </c>
      <c r="Y24" s="5">
        <f ca="1">Total!E24</f>
        <v>1005.95063</v>
      </c>
      <c r="AB24" s="5">
        <f t="shared" ca="1" si="1"/>
        <v>9.7236581083507048E-3</v>
      </c>
      <c r="AC24" s="5">
        <f t="shared" ca="1" si="2"/>
        <v>1.7462656194171235E-2</v>
      </c>
      <c r="AD24" s="5">
        <f t="shared" ca="1" si="3"/>
        <v>1.4381898642481001E-2</v>
      </c>
      <c r="AE24" s="5">
        <f t="shared" ca="1" si="4"/>
        <v>8.0939359817289586E-3</v>
      </c>
      <c r="AF24" s="5">
        <f t="shared" ca="1" si="5"/>
        <v>1.2783967340424959E-2</v>
      </c>
      <c r="AG24" s="5">
        <f t="shared" ca="1" si="6"/>
        <v>8.1133007491629664E-3</v>
      </c>
      <c r="AH24" s="5">
        <f t="shared" ca="1" si="7"/>
        <v>7.7222974650356015E-3</v>
      </c>
      <c r="AI24" s="5">
        <f t="shared" ca="1" si="8"/>
        <v>7.6113278044271171E-3</v>
      </c>
      <c r="AJ24" s="5">
        <f t="shared" ca="1" si="9"/>
        <v>6.4944439668971647E-3</v>
      </c>
      <c r="AK24" s="5">
        <f t="shared" ca="1" si="10"/>
        <v>6.5975305368613417E-3</v>
      </c>
      <c r="AM24" s="5">
        <f t="shared" ca="1" si="13"/>
        <v>9.8985016789541053E-2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1.7726999999999999</v>
      </c>
      <c r="F25" s="5">
        <v>163</v>
      </c>
      <c r="H25" s="5" t="s">
        <v>1</v>
      </c>
      <c r="I25" s="5">
        <v>50</v>
      </c>
      <c r="J25" s="5">
        <v>1</v>
      </c>
      <c r="L25" s="5">
        <f t="shared" ca="1" si="11"/>
        <v>1006.15126</v>
      </c>
      <c r="M25" s="5">
        <f t="shared" ca="1" si="11"/>
        <v>997.68631000000005</v>
      </c>
      <c r="N25" s="5">
        <f t="shared" ca="1" si="11"/>
        <v>993.95667000000003</v>
      </c>
      <c r="O25" s="5">
        <f t="shared" ca="1" si="11"/>
        <v>994.48815000000002</v>
      </c>
      <c r="P25" s="5">
        <f t="shared" ca="1" si="11"/>
        <v>991.72820000000002</v>
      </c>
      <c r="Q25" s="5">
        <f t="shared" ca="1" si="11"/>
        <v>997.68502000000001</v>
      </c>
      <c r="R25" s="5">
        <f t="shared" ca="1" si="11"/>
        <v>997.34631000000002</v>
      </c>
      <c r="S25" s="5">
        <f t="shared" ca="1" si="11"/>
        <v>991.31416000000002</v>
      </c>
      <c r="T25" s="5">
        <f t="shared" ca="1" si="11"/>
        <v>1008.1417</v>
      </c>
      <c r="U25" s="5">
        <f t="shared" ca="1" si="11"/>
        <v>1002.20636</v>
      </c>
      <c r="W25" s="5">
        <f t="shared" ca="1" si="12"/>
        <v>998.07041400000003</v>
      </c>
      <c r="Y25" s="5">
        <f ca="1">Total!E25</f>
        <v>990.69820000000004</v>
      </c>
      <c r="AB25" s="5">
        <f t="shared" ca="1" si="1"/>
        <v>1.5598150879854163E-2</v>
      </c>
      <c r="AC25" s="5">
        <f t="shared" ca="1" si="2"/>
        <v>7.0537223142224399E-3</v>
      </c>
      <c r="AD25" s="5">
        <f t="shared" ca="1" si="3"/>
        <v>3.2890642175386897E-3</v>
      </c>
      <c r="AE25" s="5">
        <f t="shared" ca="1" si="4"/>
        <v>3.8255343554676651E-3</v>
      </c>
      <c r="AF25" s="5">
        <f t="shared" ca="1" si="5"/>
        <v>1.0396708099398714E-3</v>
      </c>
      <c r="AG25" s="5">
        <f t="shared" ca="1" si="6"/>
        <v>7.0524202022371352E-3</v>
      </c>
      <c r="AH25" s="5">
        <f t="shared" ca="1" si="7"/>
        <v>6.7105300080286551E-3</v>
      </c>
      <c r="AI25" s="5">
        <f t="shared" ca="1" si="8"/>
        <v>6.2174333212674929E-4</v>
      </c>
      <c r="AJ25" s="5">
        <f t="shared" ca="1" si="9"/>
        <v>1.7607279391443298E-2</v>
      </c>
      <c r="AK25" s="5">
        <f t="shared" ca="1" si="10"/>
        <v>1.1616211677784389E-2</v>
      </c>
      <c r="AM25" s="5">
        <f t="shared" ca="1" si="13"/>
        <v>7.4414327188643062E-2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1.7721499999999999</v>
      </c>
      <c r="F26" s="5">
        <v>170</v>
      </c>
      <c r="H26" s="5" t="s">
        <v>1</v>
      </c>
      <c r="I26" s="5">
        <v>100</v>
      </c>
      <c r="J26" s="5">
        <v>0.4</v>
      </c>
      <c r="L26" s="5">
        <f t="shared" ca="1" si="11"/>
        <v>1868.36177</v>
      </c>
      <c r="M26" s="5">
        <f t="shared" ca="1" si="11"/>
        <v>1865.9458500000001</v>
      </c>
      <c r="N26" s="5">
        <f t="shared" ca="1" si="11"/>
        <v>1845.2697900000001</v>
      </c>
      <c r="O26" s="5">
        <f t="shared" ca="1" si="11"/>
        <v>1837.55008</v>
      </c>
      <c r="P26" s="5">
        <f t="shared" ca="1" si="11"/>
        <v>1890.7171000000001</v>
      </c>
      <c r="Q26" s="5">
        <f t="shared" ca="1" si="11"/>
        <v>1824.72435</v>
      </c>
      <c r="R26" s="5">
        <f t="shared" ca="1" si="11"/>
        <v>1852.1847600000001</v>
      </c>
      <c r="S26" s="5">
        <f t="shared" ca="1" si="11"/>
        <v>1842.4516000000001</v>
      </c>
      <c r="T26" s="5">
        <f t="shared" ca="1" si="11"/>
        <v>1901.56999</v>
      </c>
      <c r="U26" s="5">
        <f t="shared" ca="1" si="11"/>
        <v>1839.6726799999999</v>
      </c>
      <c r="W26" s="5">
        <f t="shared" ca="1" si="12"/>
        <v>1856.8447970000002</v>
      </c>
      <c r="Y26" s="5">
        <f ca="1">Total!E26</f>
        <v>1786.3248599999999</v>
      </c>
      <c r="AB26" s="5">
        <f t="shared" ca="1" si="1"/>
        <v>4.5924966861850672E-2</v>
      </c>
      <c r="AC26" s="5">
        <f t="shared" ca="1" si="2"/>
        <v>4.4572514094664797E-2</v>
      </c>
      <c r="AD26" s="5">
        <f t="shared" ca="1" si="3"/>
        <v>3.2997878112719162E-2</v>
      </c>
      <c r="AE26" s="5">
        <f t="shared" ca="1" si="4"/>
        <v>2.8676318147416946E-2</v>
      </c>
      <c r="AF26" s="5">
        <f t="shared" ca="1" si="5"/>
        <v>5.8439672613636542E-2</v>
      </c>
      <c r="AG26" s="5">
        <f t="shared" ca="1" si="6"/>
        <v>2.1496364328714553E-2</v>
      </c>
      <c r="AH26" s="5">
        <f t="shared" ca="1" si="7"/>
        <v>3.6868937713826676E-2</v>
      </c>
      <c r="AI26" s="5">
        <f t="shared" ca="1" si="8"/>
        <v>3.1420231144294861E-2</v>
      </c>
      <c r="AJ26" s="5">
        <f t="shared" ca="1" si="9"/>
        <v>6.4515213654922784E-2</v>
      </c>
      <c r="AK26" s="5">
        <f t="shared" ca="1" si="10"/>
        <v>2.9864567859174258E-2</v>
      </c>
      <c r="AM26" s="5">
        <f t="shared" ca="1" si="13"/>
        <v>0.39477666453122123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1.77637</v>
      </c>
      <c r="F27" s="5">
        <v>173</v>
      </c>
      <c r="H27" s="5" t="s">
        <v>1</v>
      </c>
      <c r="I27" s="5">
        <v>100</v>
      </c>
      <c r="J27" s="5">
        <v>0.7</v>
      </c>
      <c r="L27" s="5">
        <f t="shared" ca="1" si="11"/>
        <v>1787.5060800000001</v>
      </c>
      <c r="M27" s="5">
        <f t="shared" ca="1" si="11"/>
        <v>1790.6033299999999</v>
      </c>
      <c r="N27" s="5">
        <f t="shared" ca="1" si="11"/>
        <v>1798.6146000000001</v>
      </c>
      <c r="O27" s="5">
        <f t="shared" ca="1" si="11"/>
        <v>1777.29429</v>
      </c>
      <c r="P27" s="5">
        <f t="shared" ca="1" si="11"/>
        <v>1790.44</v>
      </c>
      <c r="Q27" s="5">
        <f t="shared" ca="1" si="11"/>
        <v>1787.0452</v>
      </c>
      <c r="R27" s="5">
        <f t="shared" ca="1" si="11"/>
        <v>1794.7624900000001</v>
      </c>
      <c r="S27" s="5">
        <f t="shared" ca="1" si="11"/>
        <v>1796.3238699999999</v>
      </c>
      <c r="T27" s="5">
        <f t="shared" ca="1" si="11"/>
        <v>1777.6570400000001</v>
      </c>
      <c r="U27" s="5">
        <f t="shared" ca="1" si="11"/>
        <v>1789.5921699999999</v>
      </c>
      <c r="W27" s="5">
        <f t="shared" ca="1" si="12"/>
        <v>1788.9839070000003</v>
      </c>
      <c r="Y27" s="5">
        <f ca="1">Total!E27</f>
        <v>1761.02206</v>
      </c>
      <c r="AB27" s="5">
        <f t="shared" ca="1" si="1"/>
        <v>1.5039005246759999E-2</v>
      </c>
      <c r="AC27" s="5">
        <f t="shared" ca="1" si="2"/>
        <v>1.6797785031721808E-2</v>
      </c>
      <c r="AD27" s="5">
        <f t="shared" ca="1" si="3"/>
        <v>2.1347001184073809E-2</v>
      </c>
      <c r="AE27" s="5">
        <f t="shared" ca="1" si="4"/>
        <v>9.2402192849305002E-3</v>
      </c>
      <c r="AF27" s="5">
        <f t="shared" ca="1" si="5"/>
        <v>1.6705037755177267E-2</v>
      </c>
      <c r="AG27" s="5">
        <f t="shared" ca="1" si="6"/>
        <v>1.4777293590518685E-2</v>
      </c>
      <c r="AH27" s="5">
        <f t="shared" ca="1" si="7"/>
        <v>1.9159572595019089E-2</v>
      </c>
      <c r="AI27" s="5">
        <f t="shared" ca="1" si="8"/>
        <v>2.0046205440492855E-2</v>
      </c>
      <c r="AJ27" s="5">
        <f t="shared" ca="1" si="9"/>
        <v>9.4462076187734074E-3</v>
      </c>
      <c r="AK27" s="5">
        <f t="shared" ca="1" si="10"/>
        <v>1.6223595745302525E-2</v>
      </c>
      <c r="AM27" s="5">
        <f t="shared" ca="1" si="13"/>
        <v>0.15878192349276996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1.7758100000000001</v>
      </c>
      <c r="F28" s="5">
        <v>150</v>
      </c>
      <c r="H28" s="5" t="s">
        <v>1</v>
      </c>
      <c r="I28" s="5">
        <v>100</v>
      </c>
      <c r="J28" s="5">
        <v>1</v>
      </c>
      <c r="L28" s="5">
        <f t="shared" ca="1" si="11"/>
        <v>1759.0134599999999</v>
      </c>
      <c r="M28" s="5">
        <f t="shared" ca="1" si="11"/>
        <v>1756.6933300000001</v>
      </c>
      <c r="N28" s="5">
        <f t="shared" ca="1" si="11"/>
        <v>1758.6002000000001</v>
      </c>
      <c r="O28" s="5">
        <f t="shared" ca="1" si="11"/>
        <v>1760.3066699999999</v>
      </c>
      <c r="P28" s="5">
        <f t="shared" ca="1" si="11"/>
        <v>1755.52333</v>
      </c>
      <c r="Q28" s="5">
        <f t="shared" ca="1" si="11"/>
        <v>1759.4266700000001</v>
      </c>
      <c r="R28" s="5">
        <f t="shared" ca="1" si="11"/>
        <v>1757.4066700000001</v>
      </c>
      <c r="S28" s="5">
        <f t="shared" ca="1" si="11"/>
        <v>1753.9730300000001</v>
      </c>
      <c r="T28" s="5">
        <f t="shared" ca="1" si="11"/>
        <v>1757.9449999999999</v>
      </c>
      <c r="U28" s="5">
        <f t="shared" ca="1" si="11"/>
        <v>1757.00667</v>
      </c>
      <c r="W28" s="5">
        <f t="shared" ca="1" si="12"/>
        <v>1757.5895029999999</v>
      </c>
      <c r="Y28" s="5">
        <f ca="1">Total!E28</f>
        <v>1753.1198199999999</v>
      </c>
      <c r="AB28" s="5">
        <f t="shared" ca="1" si="1"/>
        <v>3.3618010205372076E-3</v>
      </c>
      <c r="AC28" s="5">
        <f t="shared" ca="1" si="2"/>
        <v>2.0383717982266434E-3</v>
      </c>
      <c r="AD28" s="5">
        <f t="shared" ca="1" si="3"/>
        <v>3.1260726947917321E-3</v>
      </c>
      <c r="AE28" s="5">
        <f t="shared" ca="1" si="4"/>
        <v>4.0994630931729757E-3</v>
      </c>
      <c r="AF28" s="5">
        <f t="shared" ca="1" si="5"/>
        <v>1.3709901471538305E-3</v>
      </c>
      <c r="AG28" s="5">
        <f t="shared" ca="1" si="6"/>
        <v>3.5975008256995053E-3</v>
      </c>
      <c r="AH28" s="5">
        <f t="shared" ca="1" si="7"/>
        <v>2.4452692571807137E-3</v>
      </c>
      <c r="AI28" s="5">
        <f t="shared" ca="1" si="8"/>
        <v>4.8668093889909787E-4</v>
      </c>
      <c r="AJ28" s="5">
        <f t="shared" ca="1" si="9"/>
        <v>2.7523389701908942E-3</v>
      </c>
      <c r="AK28" s="5">
        <f t="shared" ca="1" si="10"/>
        <v>2.2171045901472355E-3</v>
      </c>
      <c r="AM28" s="5">
        <f t="shared" ca="1" si="13"/>
        <v>2.5495593335999833E-2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1.7723100000000001</v>
      </c>
      <c r="F29" s="5">
        <v>171</v>
      </c>
      <c r="H29" s="5" t="s">
        <v>0</v>
      </c>
      <c r="I29" s="5">
        <v>25</v>
      </c>
      <c r="J29" s="5">
        <v>0.4</v>
      </c>
      <c r="L29" s="5">
        <f t="shared" ca="1" si="11"/>
        <v>42.424349999999997</v>
      </c>
      <c r="M29" s="5">
        <f t="shared" ca="1" si="11"/>
        <v>41.318849999999998</v>
      </c>
      <c r="N29" s="5">
        <f t="shared" ca="1" si="11"/>
        <v>41.318849999999998</v>
      </c>
      <c r="O29" s="5">
        <f t="shared" ca="1" si="11"/>
        <v>42.424349999999997</v>
      </c>
      <c r="P29" s="5">
        <f t="shared" ca="1" si="11"/>
        <v>42.424349999999997</v>
      </c>
      <c r="Q29" s="5">
        <f t="shared" ca="1" si="11"/>
        <v>41.318849999999998</v>
      </c>
      <c r="R29" s="5">
        <f t="shared" ca="1" si="11"/>
        <v>41.318849999999998</v>
      </c>
      <c r="S29" s="5">
        <f t="shared" ca="1" si="11"/>
        <v>41.449359999999999</v>
      </c>
      <c r="T29" s="5">
        <f t="shared" ca="1" si="11"/>
        <v>41.318849999999998</v>
      </c>
      <c r="U29" s="5">
        <f t="shared" ca="1" si="11"/>
        <v>41.318849999999998</v>
      </c>
      <c r="W29" s="5">
        <f t="shared" ca="1" si="12"/>
        <v>41.663550999999998</v>
      </c>
      <c r="Y29" s="5">
        <f ca="1">Total!E29</f>
        <v>40.897550000000003</v>
      </c>
      <c r="AB29" s="5">
        <f t="shared" ca="1" si="1"/>
        <v>3.7332309637129711E-2</v>
      </c>
      <c r="AC29" s="5">
        <f t="shared" ca="1" si="2"/>
        <v>1.0301350569899543E-2</v>
      </c>
      <c r="AD29" s="5">
        <f t="shared" ca="1" si="3"/>
        <v>1.0301350569899543E-2</v>
      </c>
      <c r="AE29" s="5">
        <f t="shared" ca="1" si="4"/>
        <v>3.7332309637129711E-2</v>
      </c>
      <c r="AF29" s="5">
        <f t="shared" ca="1" si="5"/>
        <v>3.7332309637129711E-2</v>
      </c>
      <c r="AG29" s="5">
        <f t="shared" ca="1" si="6"/>
        <v>1.0301350569899543E-2</v>
      </c>
      <c r="AH29" s="5">
        <f t="shared" ca="1" si="7"/>
        <v>1.0301350569899543E-2</v>
      </c>
      <c r="AI29" s="5">
        <f t="shared" ca="1" si="8"/>
        <v>1.349249527172156E-2</v>
      </c>
      <c r="AJ29" s="5">
        <f t="shared" ca="1" si="9"/>
        <v>1.0301350569899543E-2</v>
      </c>
      <c r="AK29" s="5">
        <f t="shared" ca="1" si="10"/>
        <v>1.0301350569899543E-2</v>
      </c>
      <c r="AM29" s="5">
        <f t="shared" ca="1" si="13"/>
        <v>0.1872975276025079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1.7699400000000001</v>
      </c>
      <c r="F30" s="5">
        <v>163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1"/>
        <v>28.65436</v>
      </c>
      <c r="N30" s="5">
        <f t="shared" ca="1" si="11"/>
        <v>28.65624</v>
      </c>
      <c r="O30" s="5">
        <f t="shared" ca="1" si="11"/>
        <v>28.65436</v>
      </c>
      <c r="P30" s="5">
        <f t="shared" ca="1" si="11"/>
        <v>28.65436</v>
      </c>
      <c r="Q30" s="5">
        <f t="shared" ca="1" si="11"/>
        <v>28.65436</v>
      </c>
      <c r="R30" s="5">
        <f t="shared" ca="1" si="11"/>
        <v>28.65436</v>
      </c>
      <c r="S30" s="5">
        <f t="shared" ca="1" si="11"/>
        <v>28.65436</v>
      </c>
      <c r="T30" s="5">
        <f t="shared" ca="1" si="11"/>
        <v>28.65436</v>
      </c>
      <c r="U30" s="5">
        <f t="shared" ca="1" si="11"/>
        <v>28.65436</v>
      </c>
      <c r="W30" s="5">
        <f t="shared" ca="1" si="12"/>
        <v>28.654547999999998</v>
      </c>
      <c r="Y30" s="5">
        <f ca="1">Total!E30</f>
        <v>28.65436</v>
      </c>
      <c r="AB30" s="5">
        <f t="shared" ca="1" si="1"/>
        <v>0</v>
      </c>
      <c r="AC30" s="5">
        <f t="shared" ca="1" si="2"/>
        <v>0</v>
      </c>
      <c r="AD30" s="5">
        <f t="shared" ca="1" si="3"/>
        <v>6.5609561686245368E-5</v>
      </c>
      <c r="AE30" s="5">
        <f t="shared" ca="1" si="4"/>
        <v>0</v>
      </c>
      <c r="AF30" s="5">
        <f t="shared" ca="1" si="5"/>
        <v>0</v>
      </c>
      <c r="AG30" s="5">
        <f t="shared" ca="1" si="6"/>
        <v>0</v>
      </c>
      <c r="AH30" s="5">
        <f t="shared" ca="1" si="7"/>
        <v>0</v>
      </c>
      <c r="AI30" s="5">
        <f t="shared" ca="1" si="8"/>
        <v>0</v>
      </c>
      <c r="AJ30" s="5">
        <f t="shared" ca="1" si="9"/>
        <v>0</v>
      </c>
      <c r="AK30" s="5">
        <f t="shared" ca="1" si="10"/>
        <v>0</v>
      </c>
      <c r="AM30" s="5">
        <f t="shared" ca="1" si="13"/>
        <v>6.5609561686245368E-5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1.2199800000000001</v>
      </c>
      <c r="F31" s="5">
        <v>33</v>
      </c>
      <c r="H31" s="5" t="s">
        <v>0</v>
      </c>
      <c r="I31" s="5">
        <v>25</v>
      </c>
      <c r="J31" s="5">
        <v>1</v>
      </c>
      <c r="L31" s="5">
        <f t="shared" ca="1" si="11"/>
        <v>28.602029999999999</v>
      </c>
      <c r="M31" s="5">
        <f t="shared" ca="1" si="11"/>
        <v>28.546240000000001</v>
      </c>
      <c r="N31" s="5">
        <f t="shared" ca="1" si="11"/>
        <v>28.587009999999999</v>
      </c>
      <c r="O31" s="5">
        <f t="shared" ca="1" si="11"/>
        <v>28.546240000000001</v>
      </c>
      <c r="P31" s="5">
        <f t="shared" ca="1" si="11"/>
        <v>28.587009999999999</v>
      </c>
      <c r="Q31" s="5">
        <f t="shared" ca="1" si="11"/>
        <v>28.602029999999999</v>
      </c>
      <c r="R31" s="5">
        <f t="shared" ca="1" si="11"/>
        <v>28.546240000000001</v>
      </c>
      <c r="S31" s="5">
        <f t="shared" ca="1" si="11"/>
        <v>28.546240000000001</v>
      </c>
      <c r="T31" s="5">
        <f t="shared" ca="1" si="11"/>
        <v>28.546240000000001</v>
      </c>
      <c r="U31" s="5">
        <f t="shared" ca="1" si="11"/>
        <v>28.546240000000001</v>
      </c>
      <c r="W31" s="5">
        <f t="shared" ca="1" si="12"/>
        <v>28.565552000000004</v>
      </c>
      <c r="Y31" s="5">
        <f ca="1">Total!E31</f>
        <v>28.504100000000001</v>
      </c>
      <c r="AB31" s="5">
        <f t="shared" ca="1" si="1"/>
        <v>3.4356461000346642E-3</v>
      </c>
      <c r="AC31" s="5">
        <f t="shared" ca="1" si="2"/>
        <v>1.4783838114516804E-3</v>
      </c>
      <c r="AD31" s="5">
        <f t="shared" ca="1" si="3"/>
        <v>2.9087043618285882E-3</v>
      </c>
      <c r="AE31" s="5">
        <f t="shared" ca="1" si="4"/>
        <v>1.4783838114516804E-3</v>
      </c>
      <c r="AF31" s="5">
        <f t="shared" ca="1" si="5"/>
        <v>2.9087043618285882E-3</v>
      </c>
      <c r="AG31" s="5">
        <f t="shared" ca="1" si="6"/>
        <v>3.4356461000346642E-3</v>
      </c>
      <c r="AH31" s="5">
        <f t="shared" ca="1" si="7"/>
        <v>1.4783838114516804E-3</v>
      </c>
      <c r="AI31" s="5">
        <f t="shared" ca="1" si="8"/>
        <v>1.4783838114516804E-3</v>
      </c>
      <c r="AJ31" s="5">
        <f t="shared" ca="1" si="9"/>
        <v>1.4783838114516804E-3</v>
      </c>
      <c r="AK31" s="5">
        <f t="shared" ca="1" si="10"/>
        <v>1.4783838114516804E-3</v>
      </c>
      <c r="AM31" s="5">
        <f t="shared" ca="1" si="13"/>
        <v>2.1559003792436585E-2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1.2029700000000001</v>
      </c>
      <c r="F32" s="5">
        <v>34</v>
      </c>
      <c r="H32" s="5" t="s">
        <v>0</v>
      </c>
      <c r="I32" s="5">
        <v>50</v>
      </c>
      <c r="J32" s="5">
        <v>0.4</v>
      </c>
      <c r="L32" s="5">
        <f t="shared" ca="1" si="11"/>
        <v>59.072850000000003</v>
      </c>
      <c r="M32" s="5">
        <f t="shared" ca="1" si="11"/>
        <v>59.136180000000003</v>
      </c>
      <c r="N32" s="5">
        <f t="shared" ca="1" si="11"/>
        <v>59.011020000000002</v>
      </c>
      <c r="O32" s="5">
        <f t="shared" ca="1" si="11"/>
        <v>56.911659999999998</v>
      </c>
      <c r="P32" s="5">
        <f t="shared" ca="1" si="11"/>
        <v>59.151389999999999</v>
      </c>
      <c r="Q32" s="5">
        <f t="shared" ca="1" si="11"/>
        <v>56.901339999999998</v>
      </c>
      <c r="R32" s="5">
        <f t="shared" ca="1" si="11"/>
        <v>58.683219999999999</v>
      </c>
      <c r="S32" s="5">
        <f t="shared" ca="1" si="11"/>
        <v>56.901339999999998</v>
      </c>
      <c r="T32" s="5">
        <f t="shared" ca="1" si="11"/>
        <v>59.242849999999997</v>
      </c>
      <c r="U32" s="5">
        <f t="shared" ca="1" si="11"/>
        <v>56.911340000000003</v>
      </c>
      <c r="W32" s="5">
        <f t="shared" ca="1" si="12"/>
        <v>58.192318999999998</v>
      </c>
      <c r="Y32" s="5">
        <f ca="1">Total!E32</f>
        <v>56.511339999999997</v>
      </c>
      <c r="AB32" s="5">
        <f t="shared" ca="1" si="1"/>
        <v>4.5327362614300169E-2</v>
      </c>
      <c r="AC32" s="5">
        <f t="shared" ca="1" si="2"/>
        <v>4.6448022644658686E-2</v>
      </c>
      <c r="AD32" s="5">
        <f t="shared" ca="1" si="3"/>
        <v>4.4233245929047253E-2</v>
      </c>
      <c r="AE32" s="5">
        <f t="shared" ca="1" si="4"/>
        <v>7.0838879417830245E-3</v>
      </c>
      <c r="AF32" s="5">
        <f t="shared" ca="1" si="5"/>
        <v>4.6717172164029423E-2</v>
      </c>
      <c r="AG32" s="5">
        <f t="shared" ca="1" si="6"/>
        <v>6.901269727456482E-3</v>
      </c>
      <c r="AH32" s="5">
        <f t="shared" ca="1" si="7"/>
        <v>3.8432640245303011E-2</v>
      </c>
      <c r="AI32" s="5">
        <f t="shared" ca="1" si="8"/>
        <v>6.901269727456482E-3</v>
      </c>
      <c r="AJ32" s="5">
        <f t="shared" ca="1" si="9"/>
        <v>4.8335608392934944E-2</v>
      </c>
      <c r="AK32" s="5">
        <f t="shared" ca="1" si="10"/>
        <v>7.0782253614939178E-3</v>
      </c>
      <c r="AM32" s="5">
        <f t="shared" ca="1" si="13"/>
        <v>0.29745870474846342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1.2094800000000001</v>
      </c>
      <c r="F33" s="5">
        <v>34</v>
      </c>
      <c r="H33" s="5" t="s">
        <v>0</v>
      </c>
      <c r="I33" s="5">
        <v>50</v>
      </c>
      <c r="J33" s="5">
        <v>0.7</v>
      </c>
      <c r="L33" s="5">
        <f t="shared" ca="1" si="11"/>
        <v>53.642659999999999</v>
      </c>
      <c r="M33" s="5">
        <f t="shared" ca="1" si="11"/>
        <v>53.255070000000003</v>
      </c>
      <c r="N33" s="5">
        <f t="shared" ca="1" si="11"/>
        <v>53.975070000000002</v>
      </c>
      <c r="O33" s="5">
        <f t="shared" ca="1" si="11"/>
        <v>53.495600000000003</v>
      </c>
      <c r="P33" s="5">
        <f t="shared" ca="1" si="11"/>
        <v>53.84507</v>
      </c>
      <c r="Q33" s="5">
        <f t="shared" ca="1" si="11"/>
        <v>53.75206</v>
      </c>
      <c r="R33" s="5">
        <f t="shared" ca="1" si="11"/>
        <v>53.422750000000001</v>
      </c>
      <c r="S33" s="5">
        <f t="shared" ca="1" si="11"/>
        <v>54.07206</v>
      </c>
      <c r="T33" s="5">
        <f t="shared" ca="1" si="11"/>
        <v>53.675600000000003</v>
      </c>
      <c r="U33" s="5">
        <f t="shared" ca="1" si="11"/>
        <v>53.4756</v>
      </c>
      <c r="W33" s="5">
        <f t="shared" ca="1" si="12"/>
        <v>53.661153999999996</v>
      </c>
      <c r="Y33" s="5">
        <f ca="1">Total!E33</f>
        <v>53.115070000000003</v>
      </c>
      <c r="AB33" s="5">
        <f t="shared" ca="1" si="1"/>
        <v>9.932962528336994E-3</v>
      </c>
      <c r="AC33" s="5">
        <f t="shared" ca="1" si="2"/>
        <v>2.6357867927125117E-3</v>
      </c>
      <c r="AD33" s="5">
        <f t="shared" ca="1" si="3"/>
        <v>1.6191261726662496E-2</v>
      </c>
      <c r="AE33" s="5">
        <f t="shared" ca="1" si="4"/>
        <v>7.1642567730777771E-3</v>
      </c>
      <c r="AF33" s="5">
        <f t="shared" ca="1" si="5"/>
        <v>1.3743745419143697E-2</v>
      </c>
      <c r="AG33" s="5">
        <f t="shared" ca="1" si="6"/>
        <v>1.1992641636356636E-2</v>
      </c>
      <c r="AH33" s="5">
        <f t="shared" ca="1" si="7"/>
        <v>5.7927062884412604E-3</v>
      </c>
      <c r="AI33" s="5">
        <f t="shared" ca="1" si="8"/>
        <v>1.8017297162556643E-2</v>
      </c>
      <c r="AJ33" s="5">
        <f t="shared" ca="1" si="9"/>
        <v>1.0553125506565272E-2</v>
      </c>
      <c r="AK33" s="5">
        <f t="shared" ca="1" si="10"/>
        <v>6.7877158026902178E-3</v>
      </c>
      <c r="AM33" s="5">
        <f t="shared" ca="1" si="13"/>
        <v>0.1028114996365435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1.2167300000000001</v>
      </c>
      <c r="F34" s="5">
        <v>36</v>
      </c>
      <c r="H34" s="5" t="s">
        <v>0</v>
      </c>
      <c r="I34" s="5">
        <v>50</v>
      </c>
      <c r="J34" s="5">
        <v>1</v>
      </c>
      <c r="L34" s="5">
        <f t="shared" ca="1" si="11"/>
        <v>53.193129999999996</v>
      </c>
      <c r="M34" s="5">
        <f t="shared" ca="1" si="11"/>
        <v>53.142409999999998</v>
      </c>
      <c r="N34" s="5">
        <f t="shared" ca="1" si="11"/>
        <v>53.38749</v>
      </c>
      <c r="O34" s="5">
        <f t="shared" ca="1" si="11"/>
        <v>53.078319999999998</v>
      </c>
      <c r="P34" s="5">
        <f t="shared" ca="1" si="11"/>
        <v>53.279870000000003</v>
      </c>
      <c r="Q34" s="5">
        <f t="shared" ca="1" si="11"/>
        <v>53.38749</v>
      </c>
      <c r="R34" s="5">
        <f t="shared" ca="1" si="11"/>
        <v>53.257570000000001</v>
      </c>
      <c r="S34" s="5">
        <f t="shared" ca="1" si="11"/>
        <v>53.257489999999997</v>
      </c>
      <c r="T34" s="5">
        <f t="shared" ca="1" si="11"/>
        <v>53.252499999999998</v>
      </c>
      <c r="U34" s="5">
        <f t="shared" ca="1" si="11"/>
        <v>53.45608</v>
      </c>
      <c r="W34" s="5">
        <f t="shared" ca="1" si="12"/>
        <v>53.269235000000002</v>
      </c>
      <c r="Y34" s="5">
        <f ca="1">Total!E34</f>
        <v>53.003740000000001</v>
      </c>
      <c r="AB34" s="5">
        <f t="shared" ca="1" si="1"/>
        <v>3.5731440837947653E-3</v>
      </c>
      <c r="AC34" s="5">
        <f t="shared" ca="1" si="2"/>
        <v>2.6162304773209894E-3</v>
      </c>
      <c r="AD34" s="5">
        <f t="shared" ca="1" si="3"/>
        <v>7.2400551357319149E-3</v>
      </c>
      <c r="AE34" s="5">
        <f t="shared" ca="1" si="4"/>
        <v>1.4070705199292998E-3</v>
      </c>
      <c r="AF34" s="5">
        <f t="shared" ca="1" si="5"/>
        <v>5.2096323768851399E-3</v>
      </c>
      <c r="AG34" s="5">
        <f t="shared" ca="1" si="6"/>
        <v>7.2400551357319149E-3</v>
      </c>
      <c r="AH34" s="5">
        <f t="shared" ca="1" si="7"/>
        <v>4.7889073488021914E-3</v>
      </c>
      <c r="AI34" s="5">
        <f t="shared" ca="1" si="8"/>
        <v>4.7873980213471081E-3</v>
      </c>
      <c r="AJ34" s="5">
        <f t="shared" ca="1" si="9"/>
        <v>4.6932537213411202E-3</v>
      </c>
      <c r="AK34" s="5">
        <f t="shared" ca="1" si="10"/>
        <v>8.5341147624676955E-3</v>
      </c>
      <c r="AM34" s="5">
        <f t="shared" ca="1" si="13"/>
        <v>5.0089861583352137E-2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1.21347</v>
      </c>
      <c r="F35" s="5">
        <v>35</v>
      </c>
      <c r="H35" s="5" t="s">
        <v>0</v>
      </c>
      <c r="I35" s="5">
        <v>100</v>
      </c>
      <c r="J35" s="5">
        <v>0.4</v>
      </c>
      <c r="L35" s="5">
        <f t="shared" ca="1" si="11"/>
        <v>148.20616999999999</v>
      </c>
      <c r="M35" s="5">
        <f t="shared" ca="1" si="11"/>
        <v>148.13747000000001</v>
      </c>
      <c r="N35" s="5">
        <f t="shared" ca="1" si="11"/>
        <v>148.17486</v>
      </c>
      <c r="O35" s="5">
        <f t="shared" ca="1" si="11"/>
        <v>148.21880999999999</v>
      </c>
      <c r="P35" s="5">
        <f t="shared" ca="1" si="11"/>
        <v>148.03117</v>
      </c>
      <c r="Q35" s="5">
        <f t="shared" ca="1" si="11"/>
        <v>148.26812000000001</v>
      </c>
      <c r="R35" s="5">
        <f t="shared" ca="1" si="11"/>
        <v>148.19672</v>
      </c>
      <c r="S35" s="5">
        <f t="shared" ca="1" si="11"/>
        <v>148.17479</v>
      </c>
      <c r="T35" s="5">
        <f t="shared" ca="1" si="11"/>
        <v>148.15495999999999</v>
      </c>
      <c r="U35" s="5">
        <f t="shared" ca="1" si="11"/>
        <v>148.15746999999999</v>
      </c>
      <c r="W35" s="5">
        <f t="shared" ca="1" si="12"/>
        <v>148.17205399999997</v>
      </c>
      <c r="Y35" s="5">
        <f ca="1">Total!E35</f>
        <v>147.96312</v>
      </c>
      <c r="AB35" s="5">
        <f t="shared" ca="1" si="1"/>
        <v>1.6426390576245111E-3</v>
      </c>
      <c r="AC35" s="5">
        <f t="shared" ca="1" si="2"/>
        <v>1.1783341686766541E-3</v>
      </c>
      <c r="AD35" s="5">
        <f t="shared" ca="1" si="3"/>
        <v>1.4310322734475444E-3</v>
      </c>
      <c r="AE35" s="5">
        <f t="shared" ca="1" si="4"/>
        <v>1.7280657504382651E-3</v>
      </c>
      <c r="AF35" s="5">
        <f t="shared" ca="1" si="5"/>
        <v>4.5991190237134428E-4</v>
      </c>
      <c r="AG35" s="5">
        <f t="shared" ca="1" si="6"/>
        <v>2.0613244705843378E-3</v>
      </c>
      <c r="AH35" s="5">
        <f t="shared" ca="1" si="7"/>
        <v>1.5787717912409227E-3</v>
      </c>
      <c r="AI35" s="5">
        <f t="shared" ca="1" si="8"/>
        <v>1.430559182585485E-3</v>
      </c>
      <c r="AJ35" s="5">
        <f t="shared" ca="1" si="9"/>
        <v>1.2965392997929817E-3</v>
      </c>
      <c r="AK35" s="5">
        <f t="shared" ca="1" si="10"/>
        <v>1.3135029864197634E-3</v>
      </c>
      <c r="AM35" s="5">
        <f t="shared" ca="1" si="13"/>
        <v>1.4120680883181811E-2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1.2081500000000001</v>
      </c>
      <c r="F36" s="5">
        <v>34</v>
      </c>
      <c r="H36" s="5" t="s">
        <v>0</v>
      </c>
      <c r="I36" s="5">
        <v>100</v>
      </c>
      <c r="J36" s="5">
        <v>0.7</v>
      </c>
      <c r="L36" s="5">
        <f t="shared" ca="1" si="11"/>
        <v>108.51849</v>
      </c>
      <c r="M36" s="5">
        <f t="shared" ca="1" si="11"/>
        <v>108.12481</v>
      </c>
      <c r="N36" s="5">
        <f t="shared" ca="1" si="11"/>
        <v>108.23563</v>
      </c>
      <c r="O36" s="5">
        <f t="shared" ca="1" si="11"/>
        <v>108.07747000000001</v>
      </c>
      <c r="P36" s="5">
        <f t="shared" ca="1" si="11"/>
        <v>108.36024999999999</v>
      </c>
      <c r="Q36" s="5">
        <f t="shared" ca="1" si="11"/>
        <v>109.04002</v>
      </c>
      <c r="R36" s="5">
        <f t="shared" ca="1" si="11"/>
        <v>107.28239000000001</v>
      </c>
      <c r="S36" s="5">
        <f t="shared" ca="1" si="11"/>
        <v>108.4803</v>
      </c>
      <c r="T36" s="5">
        <f t="shared" ca="1" si="11"/>
        <v>108.4451</v>
      </c>
      <c r="U36" s="5">
        <f t="shared" ca="1" si="11"/>
        <v>108.38615</v>
      </c>
      <c r="W36" s="5">
        <f t="shared" ca="1" si="12"/>
        <v>108.29506099999999</v>
      </c>
      <c r="Y36" s="5">
        <f ca="1">Total!E36</f>
        <v>107.28163000000001</v>
      </c>
      <c r="AB36" s="5">
        <f t="shared" ca="1" si="1"/>
        <v>1.1529094030357227E-2</v>
      </c>
      <c r="AC36" s="5">
        <f t="shared" ca="1" si="2"/>
        <v>7.8595002704562704E-3</v>
      </c>
      <c r="AD36" s="5">
        <f t="shared" ca="1" si="3"/>
        <v>8.8924823383089296E-3</v>
      </c>
      <c r="AE36" s="5">
        <f t="shared" ca="1" si="4"/>
        <v>7.4182318072534715E-3</v>
      </c>
      <c r="AF36" s="5">
        <f t="shared" ca="1" si="5"/>
        <v>1.0054097798476649E-2</v>
      </c>
      <c r="AG36" s="5">
        <f t="shared" ca="1" si="6"/>
        <v>1.6390410921235922E-2</v>
      </c>
      <c r="AH36" s="5">
        <f t="shared" ca="1" si="7"/>
        <v>7.0841578376433115E-6</v>
      </c>
      <c r="AI36" s="5">
        <f t="shared" ca="1" si="8"/>
        <v>1.1173115099015486E-2</v>
      </c>
      <c r="AJ36" s="5">
        <f t="shared" ca="1" si="9"/>
        <v>1.0845006736008666E-2</v>
      </c>
      <c r="AK36" s="5">
        <f t="shared" ca="1" si="10"/>
        <v>1.0295518440575462E-2</v>
      </c>
      <c r="AM36" s="5">
        <f t="shared" ca="1" si="13"/>
        <v>9.446454159952572E-2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1.2078500000000001</v>
      </c>
      <c r="F37" s="5">
        <v>32</v>
      </c>
      <c r="H37" s="5" t="s">
        <v>0</v>
      </c>
      <c r="I37" s="5">
        <v>100</v>
      </c>
      <c r="J37" s="5">
        <v>1</v>
      </c>
      <c r="L37" s="5">
        <f t="shared" ca="1" si="11"/>
        <v>103.94428000000001</v>
      </c>
      <c r="M37" s="5">
        <f t="shared" ca="1" si="11"/>
        <v>104.01692</v>
      </c>
      <c r="N37" s="5">
        <f t="shared" ca="1" si="11"/>
        <v>103.91495999999999</v>
      </c>
      <c r="O37" s="5">
        <f t="shared" ca="1" si="11"/>
        <v>103.64747</v>
      </c>
      <c r="P37" s="5">
        <f t="shared" ca="1" si="11"/>
        <v>104.11747</v>
      </c>
      <c r="Q37" s="5">
        <f t="shared" ca="1" si="11"/>
        <v>103.84663</v>
      </c>
      <c r="R37" s="5">
        <f t="shared" ca="1" si="11"/>
        <v>104.02670000000001</v>
      </c>
      <c r="S37" s="5">
        <f t="shared" ca="1" si="11"/>
        <v>103.94163</v>
      </c>
      <c r="T37" s="5">
        <f t="shared" ca="1" si="11"/>
        <v>103.80163</v>
      </c>
      <c r="U37" s="5">
        <f t="shared" ca="1" si="11"/>
        <v>103.85912999999999</v>
      </c>
      <c r="W37" s="5">
        <f t="shared" ca="1" si="12"/>
        <v>103.91168200000001</v>
      </c>
      <c r="Y37" s="5">
        <f ca="1">Total!E37</f>
        <v>103.21266</v>
      </c>
      <c r="AB37" s="5">
        <f t="shared" ca="1" si="1"/>
        <v>7.0884715111499555E-3</v>
      </c>
      <c r="AC37" s="5">
        <f t="shared" ca="1" si="2"/>
        <v>7.7922611431582066E-3</v>
      </c>
      <c r="AD37" s="5">
        <f t="shared" ca="1" si="3"/>
        <v>6.8043978325914084E-3</v>
      </c>
      <c r="AE37" s="5">
        <f t="shared" ca="1" si="4"/>
        <v>4.2127583961114731E-3</v>
      </c>
      <c r="AF37" s="5">
        <f t="shared" ca="1" si="5"/>
        <v>8.7664633388965813E-3</v>
      </c>
      <c r="AG37" s="5">
        <f t="shared" ca="1" si="6"/>
        <v>6.142366643781926E-3</v>
      </c>
      <c r="AH37" s="5">
        <f t="shared" ca="1" si="7"/>
        <v>7.8870169609038827E-3</v>
      </c>
      <c r="AI37" s="5">
        <f t="shared" ca="1" si="8"/>
        <v>7.0627963662597583E-3</v>
      </c>
      <c r="AJ37" s="5">
        <f t="shared" ca="1" si="9"/>
        <v>5.706373617345036E-3</v>
      </c>
      <c r="AK37" s="5">
        <f t="shared" ca="1" si="10"/>
        <v>6.2634758177920581E-3</v>
      </c>
      <c r="AM37" s="5">
        <f t="shared" ca="1" si="13"/>
        <v>6.7726381627990287E-2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1.2016</v>
      </c>
      <c r="F38" s="5">
        <v>33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1.2090700000000001</v>
      </c>
      <c r="F39" s="5">
        <v>34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1.2156899999999999</v>
      </c>
      <c r="F40" s="5">
        <v>35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2.8892600000000002</v>
      </c>
      <c r="F41" s="5">
        <v>103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2.89961</v>
      </c>
      <c r="F42" s="5">
        <v>107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2.9024999999999999</v>
      </c>
      <c r="F43" s="5">
        <v>107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2.89967</v>
      </c>
      <c r="F44" s="5">
        <v>105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2.9012899999999999</v>
      </c>
      <c r="F45" s="5">
        <v>105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2.89385</v>
      </c>
      <c r="F46" s="5">
        <v>106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2.9030999999999998</v>
      </c>
      <c r="F47" s="5">
        <v>105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2.89005</v>
      </c>
      <c r="F48" s="5">
        <v>103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2.90509</v>
      </c>
      <c r="F49" s="5">
        <v>107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2.8962300000000001</v>
      </c>
      <c r="F50" s="5">
        <v>104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180.05332999999999</v>
      </c>
      <c r="E51" s="5">
        <v>4.5953600000000003</v>
      </c>
      <c r="F51" s="5">
        <v>167</v>
      </c>
    </row>
    <row r="52" spans="1:6" x14ac:dyDescent="0.25">
      <c r="A52" s="5" t="s">
        <v>27</v>
      </c>
      <c r="B52" s="5">
        <v>50</v>
      </c>
      <c r="C52" s="5">
        <v>1</v>
      </c>
      <c r="D52" s="5">
        <v>179.93769</v>
      </c>
      <c r="E52" s="5">
        <v>4.6157300000000001</v>
      </c>
      <c r="F52" s="5">
        <v>169</v>
      </c>
    </row>
    <row r="53" spans="1:6" x14ac:dyDescent="0.25">
      <c r="A53" s="5" t="s">
        <v>27</v>
      </c>
      <c r="B53" s="5">
        <v>50</v>
      </c>
      <c r="C53" s="5">
        <v>1</v>
      </c>
      <c r="D53" s="5">
        <v>181.5967</v>
      </c>
      <c r="E53" s="5">
        <v>4.6017299999999999</v>
      </c>
      <c r="F53" s="5">
        <v>167</v>
      </c>
    </row>
    <row r="54" spans="1:6" x14ac:dyDescent="0.25">
      <c r="A54" s="5" t="s">
        <v>27</v>
      </c>
      <c r="B54" s="5">
        <v>50</v>
      </c>
      <c r="C54" s="5">
        <v>1</v>
      </c>
      <c r="D54" s="5">
        <v>182.34583000000001</v>
      </c>
      <c r="E54" s="5">
        <v>4.5918799999999997</v>
      </c>
      <c r="F54" s="5">
        <v>166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181.40834000000001</v>
      </c>
      <c r="E55" s="5">
        <v>4.6067900000000002</v>
      </c>
      <c r="F55" s="5">
        <v>168</v>
      </c>
    </row>
    <row r="56" spans="1:6" x14ac:dyDescent="0.25">
      <c r="A56" s="5" t="s">
        <v>27</v>
      </c>
      <c r="B56" s="5">
        <v>50</v>
      </c>
      <c r="C56" s="5">
        <v>1</v>
      </c>
      <c r="D56" s="5">
        <v>180.05332999999999</v>
      </c>
      <c r="E56" s="5">
        <v>4.5959500000000002</v>
      </c>
      <c r="F56" s="5">
        <v>169</v>
      </c>
    </row>
    <row r="57" spans="1:6" x14ac:dyDescent="0.25">
      <c r="A57" s="5" t="s">
        <v>27</v>
      </c>
      <c r="B57" s="5">
        <v>50</v>
      </c>
      <c r="C57" s="5">
        <v>1</v>
      </c>
      <c r="D57" s="5">
        <v>180.38311999999999</v>
      </c>
      <c r="E57" s="5">
        <v>4.5959899999999996</v>
      </c>
      <c r="F57" s="5">
        <v>169</v>
      </c>
    </row>
    <row r="58" spans="1:6" x14ac:dyDescent="0.25">
      <c r="A58" s="5" t="s">
        <v>27</v>
      </c>
      <c r="B58" s="5">
        <v>50</v>
      </c>
      <c r="C58" s="5">
        <v>1</v>
      </c>
      <c r="D58" s="5">
        <v>179.67332999999999</v>
      </c>
      <c r="E58" s="5">
        <v>4.6106499999999997</v>
      </c>
      <c r="F58" s="5">
        <v>168</v>
      </c>
    </row>
    <row r="59" spans="1:6" x14ac:dyDescent="0.25">
      <c r="A59" s="5" t="s">
        <v>27</v>
      </c>
      <c r="B59" s="5">
        <v>50</v>
      </c>
      <c r="C59" s="5">
        <v>1</v>
      </c>
      <c r="D59" s="5">
        <v>179.95332999999999</v>
      </c>
      <c r="E59" s="5">
        <v>4.6025400000000003</v>
      </c>
      <c r="F59" s="5">
        <v>169</v>
      </c>
    </row>
    <row r="60" spans="1:6" x14ac:dyDescent="0.25">
      <c r="A60" s="5" t="s">
        <v>27</v>
      </c>
      <c r="B60" s="5">
        <v>50</v>
      </c>
      <c r="C60" s="5">
        <v>1</v>
      </c>
      <c r="D60" s="5">
        <v>181.5967</v>
      </c>
      <c r="E60" s="5">
        <v>4.59537</v>
      </c>
      <c r="F60" s="5">
        <v>168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5.6400399999999999</v>
      </c>
      <c r="F61" s="5">
        <v>59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5.6219999999999999</v>
      </c>
      <c r="F62" s="5">
        <v>59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5.6619000000000002</v>
      </c>
      <c r="F63" s="5">
        <v>59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5.6107300000000002</v>
      </c>
      <c r="F64" s="5">
        <v>59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5.6290800000000001</v>
      </c>
      <c r="F65" s="5">
        <v>59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5.6590299999999996</v>
      </c>
      <c r="F66" s="5">
        <v>59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5.6257200000000003</v>
      </c>
      <c r="F67" s="5">
        <v>59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5.5981699999999996</v>
      </c>
      <c r="F68" s="5">
        <v>58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5.5892299999999997</v>
      </c>
      <c r="F69" s="5">
        <v>58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5.6291799999999999</v>
      </c>
      <c r="F70" s="5">
        <v>59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255.76089999999999</v>
      </c>
      <c r="E71" s="5">
        <v>11.656790000000001</v>
      </c>
      <c r="F71" s="5">
        <v>113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255.43852000000001</v>
      </c>
      <c r="E72" s="5">
        <v>11.683859999999999</v>
      </c>
      <c r="F72" s="5">
        <v>113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257.21629000000001</v>
      </c>
      <c r="E73" s="5">
        <v>11.687390000000001</v>
      </c>
      <c r="F73" s="5">
        <v>114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255.60731999999999</v>
      </c>
      <c r="E74" s="5">
        <v>11.72184</v>
      </c>
      <c r="F74" s="5">
        <v>115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257.07461999999998</v>
      </c>
      <c r="E75" s="5">
        <v>11.70152</v>
      </c>
      <c r="F75" s="5">
        <v>114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258.66257000000002</v>
      </c>
      <c r="E76" s="5">
        <v>11.707459999999999</v>
      </c>
      <c r="F76" s="5">
        <v>114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256.99954000000002</v>
      </c>
      <c r="E77" s="5">
        <v>11.661350000000001</v>
      </c>
      <c r="F77" s="5">
        <v>113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256.64003000000002</v>
      </c>
      <c r="E78" s="5">
        <v>11.71419</v>
      </c>
      <c r="F78" s="5">
        <v>114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259.23403000000002</v>
      </c>
      <c r="E79" s="5">
        <v>11.675689999999999</v>
      </c>
      <c r="F79" s="5">
        <v>114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256.05065000000002</v>
      </c>
      <c r="E80" s="5">
        <v>11.665900000000001</v>
      </c>
      <c r="F80" s="5">
        <v>113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239.56438</v>
      </c>
      <c r="E81" s="5">
        <v>30.134139999999999</v>
      </c>
      <c r="F81" s="5">
        <v>286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239.26256000000001</v>
      </c>
      <c r="E82" s="5">
        <v>30.15483</v>
      </c>
      <c r="F82" s="5">
        <v>285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239.15333000000001</v>
      </c>
      <c r="E83" s="5">
        <v>30.134029999999999</v>
      </c>
      <c r="F83" s="5">
        <v>286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239.03666999999999</v>
      </c>
      <c r="E84" s="5">
        <v>30.133310000000002</v>
      </c>
      <c r="F84" s="5">
        <v>283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238.89332999999999</v>
      </c>
      <c r="E85" s="5">
        <v>30.19266</v>
      </c>
      <c r="F85" s="5">
        <v>287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239.12</v>
      </c>
      <c r="E86" s="5">
        <v>30.13008</v>
      </c>
      <c r="F86" s="5">
        <v>286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238.93333000000001</v>
      </c>
      <c r="E87" s="5">
        <v>30.146180000000001</v>
      </c>
      <c r="F87" s="5">
        <v>286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241.11418</v>
      </c>
      <c r="E88" s="5">
        <v>30.16433</v>
      </c>
      <c r="F88" s="5">
        <v>285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239.38613000000001</v>
      </c>
      <c r="E89" s="5">
        <v>30.145420000000001</v>
      </c>
      <c r="F89" s="5">
        <v>286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239.08</v>
      </c>
      <c r="E90" s="5">
        <v>30.175940000000001</v>
      </c>
      <c r="F90" s="5">
        <v>284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0.58618000000000003</v>
      </c>
      <c r="F91" s="5">
        <v>89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0.58201000000000003</v>
      </c>
      <c r="F92" s="5">
        <v>76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0.58206999999999998</v>
      </c>
      <c r="F93" s="5">
        <v>84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0.58262999999999998</v>
      </c>
      <c r="F94" s="5">
        <v>84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0.58199999999999996</v>
      </c>
      <c r="F95" s="5">
        <v>86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0.58320000000000005</v>
      </c>
      <c r="F96" s="5">
        <v>87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0.58435000000000004</v>
      </c>
      <c r="F97" s="5">
        <v>86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0.58657000000000004</v>
      </c>
      <c r="F98" s="5">
        <v>82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0.58125000000000004</v>
      </c>
      <c r="F99" s="5">
        <v>85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0.58109</v>
      </c>
      <c r="F100" s="5">
        <v>85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0.73821000000000003</v>
      </c>
      <c r="F101" s="5">
        <v>109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0.73853999999999997</v>
      </c>
      <c r="F102" s="5">
        <v>113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0.73865000000000003</v>
      </c>
      <c r="F103" s="5">
        <v>113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0.73758999999999997</v>
      </c>
      <c r="F104" s="5">
        <v>106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0.73573</v>
      </c>
      <c r="F105" s="5">
        <v>108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0.73707999999999996</v>
      </c>
      <c r="F106" s="5">
        <v>112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0.73419999999999996</v>
      </c>
      <c r="F107" s="5">
        <v>110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0.73904999999999998</v>
      </c>
      <c r="F108" s="5">
        <v>112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0.73633000000000004</v>
      </c>
      <c r="F109" s="5">
        <v>111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0.73631000000000002</v>
      </c>
      <c r="F110" s="5">
        <v>97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1.2744599999999999</v>
      </c>
      <c r="F111" s="5">
        <v>170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1.27762</v>
      </c>
      <c r="F112" s="5">
        <v>186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1.2750699999999999</v>
      </c>
      <c r="F113" s="5">
        <v>187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1.27617</v>
      </c>
      <c r="F114" s="5">
        <v>169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1.2751399999999999</v>
      </c>
      <c r="F115" s="5">
        <v>183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1.27617</v>
      </c>
      <c r="F116" s="5">
        <v>184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1.27803</v>
      </c>
      <c r="F117" s="5">
        <v>189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1.27681</v>
      </c>
      <c r="F118" s="5">
        <v>179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1.27674</v>
      </c>
      <c r="F119" s="5">
        <v>183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1.2790299999999999</v>
      </c>
      <c r="F120" s="5">
        <v>182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4348.0289499999999</v>
      </c>
      <c r="E121" s="5">
        <v>1.99898</v>
      </c>
      <c r="F121" s="5">
        <v>93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4348.0289499999999</v>
      </c>
      <c r="E122" s="5">
        <v>1.9972000000000001</v>
      </c>
      <c r="F122" s="5">
        <v>95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4348.0289499999999</v>
      </c>
      <c r="E123" s="5">
        <v>1.99264</v>
      </c>
      <c r="F123" s="5">
        <v>94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4348.0289499999999</v>
      </c>
      <c r="E124" s="5">
        <v>1.9949699999999999</v>
      </c>
      <c r="F124" s="5">
        <v>94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4348.0289499999999</v>
      </c>
      <c r="E125" s="5">
        <v>1.99413</v>
      </c>
      <c r="F125" s="5">
        <v>92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4348.0289499999999</v>
      </c>
      <c r="E126" s="5">
        <v>2.0037400000000001</v>
      </c>
      <c r="F126" s="5">
        <v>95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2.0035400000000001</v>
      </c>
      <c r="F127" s="5">
        <v>91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2.0045299999999999</v>
      </c>
      <c r="F128" s="5">
        <v>95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2.0081099999999998</v>
      </c>
      <c r="F129" s="5">
        <v>92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4348.0289499999999</v>
      </c>
      <c r="E130" s="5">
        <v>2.0049999999999999</v>
      </c>
      <c r="F130" s="5">
        <v>93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2.8669199999999999</v>
      </c>
      <c r="F131" s="5">
        <v>130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2.8759000000000001</v>
      </c>
      <c r="F132" s="5">
        <v>130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2.87575</v>
      </c>
      <c r="F133" s="5">
        <v>129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2.8654099999999998</v>
      </c>
      <c r="F134" s="5">
        <v>131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2.8692700000000002</v>
      </c>
      <c r="F135" s="5">
        <v>131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2.87093</v>
      </c>
      <c r="F136" s="5">
        <v>130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2.86504</v>
      </c>
      <c r="F137" s="5">
        <v>134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2.87459</v>
      </c>
      <c r="F138" s="5">
        <v>131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2.8762500000000002</v>
      </c>
      <c r="F139" s="5">
        <v>130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2.8717299999999999</v>
      </c>
      <c r="F140" s="5">
        <v>134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3.5188700000000002</v>
      </c>
      <c r="F141" s="5">
        <v>158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3.5133000000000001</v>
      </c>
      <c r="F142" s="5">
        <v>152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3.5127799999999998</v>
      </c>
      <c r="F143" s="5">
        <v>156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3.5243899999999999</v>
      </c>
      <c r="F144" s="5">
        <v>161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3.5250699999999999</v>
      </c>
      <c r="F145" s="5">
        <v>159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3.5191300000000001</v>
      </c>
      <c r="F146" s="5">
        <v>159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3.5160499999999999</v>
      </c>
      <c r="F147" s="5">
        <v>156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3.5234999999999999</v>
      </c>
      <c r="F148" s="5">
        <v>158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3.5248900000000001</v>
      </c>
      <c r="F149" s="5">
        <v>156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3.52399</v>
      </c>
      <c r="F150" s="5">
        <v>161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42986.673049999998</v>
      </c>
      <c r="E151" s="5">
        <v>4.9602399999999998</v>
      </c>
      <c r="F151" s="5">
        <v>54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42986.403050000001</v>
      </c>
      <c r="E152" s="5">
        <v>4.8970099999999999</v>
      </c>
      <c r="F152" s="5">
        <v>53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42986.797890000002</v>
      </c>
      <c r="E153" s="5">
        <v>4.9061599999999999</v>
      </c>
      <c r="F153" s="5">
        <v>54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42986.403050000001</v>
      </c>
      <c r="E154" s="5">
        <v>4.9273999999999996</v>
      </c>
      <c r="F154" s="5">
        <v>54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42986.403050000001</v>
      </c>
      <c r="E155" s="5">
        <v>4.9391400000000001</v>
      </c>
      <c r="F155" s="5">
        <v>54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42986.836920000002</v>
      </c>
      <c r="E156" s="5">
        <v>4.8967000000000001</v>
      </c>
      <c r="F156" s="5">
        <v>54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42986.403050000001</v>
      </c>
      <c r="E157" s="5">
        <v>4.9208499999999997</v>
      </c>
      <c r="F157" s="5">
        <v>54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42987.644590000004</v>
      </c>
      <c r="E158" s="5">
        <v>4.8982999999999999</v>
      </c>
      <c r="F158" s="5">
        <v>53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42986.673049999998</v>
      </c>
      <c r="E159" s="5">
        <v>4.9513400000000001</v>
      </c>
      <c r="F159" s="5">
        <v>54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42986.836920000002</v>
      </c>
      <c r="E160" s="5">
        <v>4.9432700000000001</v>
      </c>
      <c r="F160" s="5">
        <v>54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35748.436860000002</v>
      </c>
      <c r="E161" s="5">
        <v>12.710850000000001</v>
      </c>
      <c r="F161" s="5">
        <v>129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35749.502379999998</v>
      </c>
      <c r="E162" s="5">
        <v>12.75834</v>
      </c>
      <c r="F162" s="5">
        <v>130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35647.037250000001</v>
      </c>
      <c r="E163" s="5">
        <v>12.75619</v>
      </c>
      <c r="F163" s="5">
        <v>130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35808.978869999999</v>
      </c>
      <c r="E164" s="5">
        <v>12.775080000000001</v>
      </c>
      <c r="F164" s="5">
        <v>130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35534.581460000001</v>
      </c>
      <c r="E165" s="5">
        <v>12.705920000000001</v>
      </c>
      <c r="F165" s="5">
        <v>130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35647.593849999997</v>
      </c>
      <c r="E166" s="5">
        <v>12.72175</v>
      </c>
      <c r="F166" s="5">
        <v>129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35606.980860000003</v>
      </c>
      <c r="E167" s="5">
        <v>12.7605</v>
      </c>
      <c r="F167" s="5">
        <v>130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35582.158669999997</v>
      </c>
      <c r="E168" s="5">
        <v>12.70743</v>
      </c>
      <c r="F168" s="5">
        <v>130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35620.937760000001</v>
      </c>
      <c r="E169" s="5">
        <v>12.726599999999999</v>
      </c>
      <c r="F169" s="5">
        <v>130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35687.224730000002</v>
      </c>
      <c r="E170" s="5">
        <v>12.763389999999999</v>
      </c>
      <c r="F170" s="5">
        <v>130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35279.076670000002</v>
      </c>
      <c r="E171" s="5">
        <v>28.491060000000001</v>
      </c>
      <c r="F171" s="5">
        <v>307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35235.24</v>
      </c>
      <c r="E172" s="5">
        <v>28.496700000000001</v>
      </c>
      <c r="F172" s="5">
        <v>300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35262.056669999998</v>
      </c>
      <c r="E173" s="5">
        <v>28.529399999999999</v>
      </c>
      <c r="F173" s="5">
        <v>301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35330.286289999996</v>
      </c>
      <c r="E174" s="5">
        <v>28.528199999999998</v>
      </c>
      <c r="F174" s="5">
        <v>307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35244.262439999999</v>
      </c>
      <c r="E175" s="5">
        <v>28.555730000000001</v>
      </c>
      <c r="F175" s="5">
        <v>294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35375.399619999997</v>
      </c>
      <c r="E176" s="5">
        <v>28.503620000000002</v>
      </c>
      <c r="F176" s="5">
        <v>295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35379.776409999999</v>
      </c>
      <c r="E177" s="5">
        <v>28.51153</v>
      </c>
      <c r="F177" s="5">
        <v>295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35322.61361</v>
      </c>
      <c r="E178" s="5">
        <v>28.542750000000002</v>
      </c>
      <c r="F178" s="5">
        <v>303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35250.590989999997</v>
      </c>
      <c r="E179" s="5">
        <v>28.48695</v>
      </c>
      <c r="F179" s="5">
        <v>295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35291.88119</v>
      </c>
      <c r="E180" s="5">
        <v>28.51511</v>
      </c>
      <c r="F180" s="5">
        <v>300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0.73121999999999998</v>
      </c>
      <c r="F181" s="5">
        <v>75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0.73231999999999997</v>
      </c>
      <c r="F182" s="5">
        <v>78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0.73619000000000001</v>
      </c>
      <c r="F183" s="5">
        <v>77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0.73716999999999999</v>
      </c>
      <c r="F184" s="5">
        <v>70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0.73658999999999997</v>
      </c>
      <c r="F185" s="5">
        <v>77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0.73531999999999997</v>
      </c>
      <c r="F186" s="5">
        <v>77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0.73194999999999999</v>
      </c>
      <c r="F187" s="5">
        <v>77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0.73436999999999997</v>
      </c>
      <c r="F188" s="5">
        <v>77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0.73506000000000005</v>
      </c>
      <c r="F189" s="5">
        <v>64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0.73665000000000003</v>
      </c>
      <c r="F190" s="5">
        <v>77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675.36989000000005</v>
      </c>
      <c r="E191" s="5">
        <v>1.1363399999999999</v>
      </c>
      <c r="F191" s="5">
        <v>111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677.26074000000006</v>
      </c>
      <c r="E192" s="5">
        <v>1.1407799999999999</v>
      </c>
      <c r="F192" s="5">
        <v>118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675.38611000000003</v>
      </c>
      <c r="E193" s="5">
        <v>1.1386799999999999</v>
      </c>
      <c r="F193" s="5">
        <v>118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675.36989000000005</v>
      </c>
      <c r="E194" s="5">
        <v>1.1391</v>
      </c>
      <c r="F194" s="5">
        <v>109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675.36989000000005</v>
      </c>
      <c r="E195" s="5">
        <v>1.14262</v>
      </c>
      <c r="F195" s="5">
        <v>118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675.36989000000005</v>
      </c>
      <c r="E196" s="5">
        <v>1.1359999999999999</v>
      </c>
      <c r="F196" s="5">
        <v>118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675.36989000000005</v>
      </c>
      <c r="E197" s="5">
        <v>1.1386799999999999</v>
      </c>
      <c r="F197" s="5">
        <v>118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675.36989000000005</v>
      </c>
      <c r="E198" s="5">
        <v>1.1355500000000001</v>
      </c>
      <c r="F198" s="5">
        <v>109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675.36989000000005</v>
      </c>
      <c r="E199" s="5">
        <v>1.1395</v>
      </c>
      <c r="F199" s="5">
        <v>117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675.36989000000005</v>
      </c>
      <c r="E200" s="5">
        <v>1.13605</v>
      </c>
      <c r="F200" s="5">
        <v>116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657.32380999999998</v>
      </c>
      <c r="E201" s="5">
        <v>2.0661200000000002</v>
      </c>
      <c r="F201" s="5">
        <v>200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657.35562000000004</v>
      </c>
      <c r="E202" s="5">
        <v>2.07335</v>
      </c>
      <c r="F202" s="5">
        <v>209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655.43295999999998</v>
      </c>
      <c r="E203" s="5">
        <v>2.0852300000000001</v>
      </c>
      <c r="F203" s="5">
        <v>206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655.43295999999998</v>
      </c>
      <c r="E204" s="5">
        <v>2.0739200000000002</v>
      </c>
      <c r="F204" s="5">
        <v>207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657.95457999999996</v>
      </c>
      <c r="E205" s="5">
        <v>2.0678999999999998</v>
      </c>
      <c r="F205" s="5">
        <v>210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657.35562000000004</v>
      </c>
      <c r="E206" s="5">
        <v>2.0735299999999999</v>
      </c>
      <c r="F206" s="5">
        <v>208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657.32380999999998</v>
      </c>
      <c r="E207" s="5">
        <v>2.0683199999999999</v>
      </c>
      <c r="F207" s="5">
        <v>214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658.36622</v>
      </c>
      <c r="E208" s="5">
        <v>2.0690300000000001</v>
      </c>
      <c r="F208" s="5">
        <v>209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655.46475999999996</v>
      </c>
      <c r="E209" s="5">
        <v>2.0715400000000002</v>
      </c>
      <c r="F209" s="5">
        <v>210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655.43907999999999</v>
      </c>
      <c r="E210" s="5">
        <v>2.0698699999999999</v>
      </c>
      <c r="F210" s="5">
        <v>206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1459.9687899999999</v>
      </c>
      <c r="E211" s="5">
        <v>1.5935999999999999</v>
      </c>
      <c r="F211" s="5">
        <v>68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1459.9687899999999</v>
      </c>
      <c r="E212" s="5">
        <v>1.5927500000000001</v>
      </c>
      <c r="F212" s="5">
        <v>70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1459.9687899999999</v>
      </c>
      <c r="E213" s="5">
        <v>1.595</v>
      </c>
      <c r="F213" s="5">
        <v>68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1459.9687899999999</v>
      </c>
      <c r="E214" s="5">
        <v>1.58786</v>
      </c>
      <c r="F214" s="5">
        <v>69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1460.80863</v>
      </c>
      <c r="E215" s="5">
        <v>1.6376299999999999</v>
      </c>
      <c r="F215" s="5">
        <v>67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1459.9687899999999</v>
      </c>
      <c r="E216" s="5">
        <v>1.5916699999999999</v>
      </c>
      <c r="F216" s="5">
        <v>69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1467.0878600000001</v>
      </c>
      <c r="E217" s="5">
        <v>1.6027199999999999</v>
      </c>
      <c r="F217" s="5">
        <v>70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1459.9687899999999</v>
      </c>
      <c r="E218" s="5">
        <v>1.59063</v>
      </c>
      <c r="F218" s="5">
        <v>66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1459.9687899999999</v>
      </c>
      <c r="E219" s="5">
        <v>1.59857</v>
      </c>
      <c r="F219" s="5">
        <v>70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1460.8172199999999</v>
      </c>
      <c r="E220" s="5">
        <v>1.5967499999999999</v>
      </c>
      <c r="F220" s="5">
        <v>68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1015.73215</v>
      </c>
      <c r="E221" s="5">
        <v>4.5520699999999996</v>
      </c>
      <c r="F221" s="5">
        <v>196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1023.5172</v>
      </c>
      <c r="E222" s="5">
        <v>4.5554199999999998</v>
      </c>
      <c r="F222" s="5">
        <v>190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1020.41811</v>
      </c>
      <c r="E223" s="5">
        <v>4.5414599999999998</v>
      </c>
      <c r="F223" s="5">
        <v>191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1014.09273</v>
      </c>
      <c r="E224" s="5">
        <v>4.5560299999999998</v>
      </c>
      <c r="F224" s="5">
        <v>191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1018.81067</v>
      </c>
      <c r="E225" s="5">
        <v>4.5532199999999996</v>
      </c>
      <c r="F225" s="5">
        <v>194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1014.11221</v>
      </c>
      <c r="E226" s="5">
        <v>4.5539699999999996</v>
      </c>
      <c r="F226" s="5">
        <v>196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1013.71888</v>
      </c>
      <c r="E227" s="5">
        <v>4.55098</v>
      </c>
      <c r="F227" s="5">
        <v>196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1013.60725</v>
      </c>
      <c r="E228" s="5">
        <v>4.5558699999999996</v>
      </c>
      <c r="F228" s="5">
        <v>194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1012.4837199999999</v>
      </c>
      <c r="E229" s="5">
        <v>4.5488099999999996</v>
      </c>
      <c r="F229" s="5">
        <v>192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1012.58742</v>
      </c>
      <c r="E230" s="5">
        <v>4.5415700000000001</v>
      </c>
      <c r="F230" s="5">
        <v>195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1006.15126</v>
      </c>
      <c r="E231" s="5">
        <v>8.3973899999999997</v>
      </c>
      <c r="F231" s="5">
        <v>352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997.68631000000005</v>
      </c>
      <c r="E232" s="5">
        <v>8.3924099999999999</v>
      </c>
      <c r="F232" s="5">
        <v>345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993.95667000000003</v>
      </c>
      <c r="E233" s="5">
        <v>8.4021299999999997</v>
      </c>
      <c r="F233" s="5">
        <v>350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994.48815000000002</v>
      </c>
      <c r="E234" s="5">
        <v>8.3961699999999997</v>
      </c>
      <c r="F234" s="5">
        <v>347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991.72820000000002</v>
      </c>
      <c r="E235" s="5">
        <v>8.3914899999999992</v>
      </c>
      <c r="F235" s="5">
        <v>348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997.68502000000001</v>
      </c>
      <c r="E236" s="5">
        <v>8.3923100000000002</v>
      </c>
      <c r="F236" s="5">
        <v>351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997.34631000000002</v>
      </c>
      <c r="E237" s="5">
        <v>8.3930299999999995</v>
      </c>
      <c r="F237" s="5">
        <v>351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991.31416000000002</v>
      </c>
      <c r="E238" s="5">
        <v>8.3897399999999998</v>
      </c>
      <c r="F238" s="5">
        <v>338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1008.1417</v>
      </c>
      <c r="E239" s="5">
        <v>8.4026300000000003</v>
      </c>
      <c r="F239" s="5">
        <v>348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1002.20636</v>
      </c>
      <c r="E240" s="5">
        <v>8.3988800000000001</v>
      </c>
      <c r="F240" s="5">
        <v>348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1868.36177</v>
      </c>
      <c r="E241" s="5">
        <v>5.0621200000000002</v>
      </c>
      <c r="F241" s="5">
        <v>61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1865.9458500000001</v>
      </c>
      <c r="E242" s="5">
        <v>5.0596100000000002</v>
      </c>
      <c r="F242" s="5">
        <v>61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1845.2697900000001</v>
      </c>
      <c r="E243" s="5">
        <v>5.1081399999999997</v>
      </c>
      <c r="F243" s="5">
        <v>62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1837.55008</v>
      </c>
      <c r="E244" s="5">
        <v>5.0394199999999998</v>
      </c>
      <c r="F244" s="5">
        <v>61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1890.7171000000001</v>
      </c>
      <c r="E245" s="5">
        <v>5.0921900000000004</v>
      </c>
      <c r="F245" s="5">
        <v>62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1824.72435</v>
      </c>
      <c r="E246" s="5">
        <v>5.0526099999999996</v>
      </c>
      <c r="F246" s="5">
        <v>61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1852.1847600000001</v>
      </c>
      <c r="E247" s="5">
        <v>5.1067900000000002</v>
      </c>
      <c r="F247" s="5">
        <v>62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1842.4516000000001</v>
      </c>
      <c r="E248" s="5">
        <v>5.0717699999999999</v>
      </c>
      <c r="F248" s="5">
        <v>62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1901.56999</v>
      </c>
      <c r="E249" s="5">
        <v>5.0592699999999997</v>
      </c>
      <c r="F249" s="5">
        <v>61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1839.6726799999999</v>
      </c>
      <c r="E250" s="5">
        <v>5.0851800000000003</v>
      </c>
      <c r="F250" s="5">
        <v>61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1787.5060800000001</v>
      </c>
      <c r="E251" s="5">
        <v>9.4381500000000003</v>
      </c>
      <c r="F251" s="5">
        <v>110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1790.6033299999999</v>
      </c>
      <c r="E252" s="5">
        <v>9.42469</v>
      </c>
      <c r="F252" s="5">
        <v>108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1798.6146000000001</v>
      </c>
      <c r="E253" s="5">
        <v>9.3880999999999997</v>
      </c>
      <c r="F253" s="5">
        <v>109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1777.29429</v>
      </c>
      <c r="E254" s="5">
        <v>9.4280000000000008</v>
      </c>
      <c r="F254" s="5">
        <v>110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1790.44</v>
      </c>
      <c r="E255" s="5">
        <v>9.37758</v>
      </c>
      <c r="F255" s="5">
        <v>110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1787.0452</v>
      </c>
      <c r="E256" s="5">
        <v>9.4325799999999997</v>
      </c>
      <c r="F256" s="5">
        <v>110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1794.7624900000001</v>
      </c>
      <c r="E257" s="5">
        <v>9.4002300000000005</v>
      </c>
      <c r="F257" s="5">
        <v>109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1796.3238699999999</v>
      </c>
      <c r="E258" s="5">
        <v>9.4172399999999996</v>
      </c>
      <c r="F258" s="5">
        <v>109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1777.6570400000001</v>
      </c>
      <c r="E259" s="5">
        <v>9.4222999999999999</v>
      </c>
      <c r="F259" s="5">
        <v>110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1789.5921699999999</v>
      </c>
      <c r="E260" s="5">
        <v>9.4377800000000001</v>
      </c>
      <c r="F260" s="5">
        <v>109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1759.0134599999999</v>
      </c>
      <c r="E261" s="5">
        <v>15.38626</v>
      </c>
      <c r="F261" s="5">
        <v>175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1756.6933300000001</v>
      </c>
      <c r="E262" s="5">
        <v>15.38142</v>
      </c>
      <c r="F262" s="5">
        <v>174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1758.6002000000001</v>
      </c>
      <c r="E263" s="5">
        <v>15.34463</v>
      </c>
      <c r="F263" s="5">
        <v>173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1760.3066699999999</v>
      </c>
      <c r="E264" s="5">
        <v>15.400119999999999</v>
      </c>
      <c r="F264" s="5">
        <v>176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1755.52333</v>
      </c>
      <c r="E265" s="5">
        <v>15.390330000000001</v>
      </c>
      <c r="F265" s="5">
        <v>177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1759.4266700000001</v>
      </c>
      <c r="E266" s="5">
        <v>15.357889999999999</v>
      </c>
      <c r="F266" s="5">
        <v>174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1757.4066700000001</v>
      </c>
      <c r="E267" s="5">
        <v>15.368069999999999</v>
      </c>
      <c r="F267" s="5">
        <v>176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1753.9730300000001</v>
      </c>
      <c r="E268" s="5">
        <v>15.394270000000001</v>
      </c>
      <c r="F268" s="5">
        <v>175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1757.9449999999999</v>
      </c>
      <c r="E269" s="5">
        <v>15.38735</v>
      </c>
      <c r="F269" s="5">
        <v>175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1757.00667</v>
      </c>
      <c r="E270" s="5">
        <v>15.390700000000001</v>
      </c>
      <c r="F270" s="5">
        <v>176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42.424349999999997</v>
      </c>
      <c r="E271" s="5">
        <v>0.59019999999999995</v>
      </c>
      <c r="F271" s="5">
        <v>67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41.318849999999998</v>
      </c>
      <c r="E272" s="5">
        <v>0.58877999999999997</v>
      </c>
      <c r="F272" s="5">
        <v>64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41.318849999999998</v>
      </c>
      <c r="E273" s="5">
        <v>0.58862000000000003</v>
      </c>
      <c r="F273" s="5">
        <v>68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42.424349999999997</v>
      </c>
      <c r="E274" s="5">
        <v>0.59455999999999998</v>
      </c>
      <c r="F274" s="5">
        <v>63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42.424349999999997</v>
      </c>
      <c r="E275" s="5">
        <v>0.58845999999999998</v>
      </c>
      <c r="F275" s="5">
        <v>67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41.318849999999998</v>
      </c>
      <c r="E276" s="5">
        <v>0.58880999999999994</v>
      </c>
      <c r="F276" s="5">
        <v>68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41.318849999999998</v>
      </c>
      <c r="E277" s="5">
        <v>0.58867999999999998</v>
      </c>
      <c r="F277" s="5">
        <v>68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41.449359999999999</v>
      </c>
      <c r="E278" s="5">
        <v>0.58540000000000003</v>
      </c>
      <c r="F278" s="5">
        <v>66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41.318849999999998</v>
      </c>
      <c r="E279" s="5">
        <v>0.58942000000000005</v>
      </c>
      <c r="F279" s="5">
        <v>68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41.318849999999998</v>
      </c>
      <c r="E280" s="5">
        <v>0.58586000000000005</v>
      </c>
      <c r="F280" s="5">
        <v>67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0.87880000000000003</v>
      </c>
      <c r="F281" s="5">
        <v>103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0.87402000000000002</v>
      </c>
      <c r="F282" s="5">
        <v>114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28.65624</v>
      </c>
      <c r="E283" s="5">
        <v>0.87512000000000001</v>
      </c>
      <c r="F283" s="5">
        <v>117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0.87763999999999998</v>
      </c>
      <c r="F284" s="5">
        <v>113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0.87483</v>
      </c>
      <c r="F285" s="5">
        <v>105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28.65436</v>
      </c>
      <c r="E286" s="5">
        <v>0.87424999999999997</v>
      </c>
      <c r="F286" s="5">
        <v>113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28.65436</v>
      </c>
      <c r="E287" s="5">
        <v>0.87419000000000002</v>
      </c>
      <c r="F287" s="5">
        <v>111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0.87422999999999995</v>
      </c>
      <c r="F288" s="5">
        <v>111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28.65436</v>
      </c>
      <c r="E289" s="5">
        <v>0.87375999999999998</v>
      </c>
      <c r="F289" s="5">
        <v>114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0.87580000000000002</v>
      </c>
      <c r="F290" s="5">
        <v>110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28.602029999999999</v>
      </c>
      <c r="E291" s="5">
        <v>1.1351800000000001</v>
      </c>
      <c r="F291" s="5">
        <v>124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28.546240000000001</v>
      </c>
      <c r="E292" s="5">
        <v>1.13334</v>
      </c>
      <c r="F292" s="5">
        <v>146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28.587009999999999</v>
      </c>
      <c r="E293" s="5">
        <v>1.13202</v>
      </c>
      <c r="F293" s="5">
        <v>147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28.546240000000001</v>
      </c>
      <c r="E294" s="5">
        <v>1.1354200000000001</v>
      </c>
      <c r="F294" s="5">
        <v>145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28.587009999999999</v>
      </c>
      <c r="E295" s="5">
        <v>1.1315299999999999</v>
      </c>
      <c r="F295" s="5">
        <v>129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28.602029999999999</v>
      </c>
      <c r="E296" s="5">
        <v>1.13314</v>
      </c>
      <c r="F296" s="5">
        <v>141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28.546240000000001</v>
      </c>
      <c r="E297" s="5">
        <v>1.13422</v>
      </c>
      <c r="F297" s="5">
        <v>144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28.546240000000001</v>
      </c>
      <c r="E298" s="5">
        <v>1.13418</v>
      </c>
      <c r="F298" s="5">
        <v>139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28.546240000000001</v>
      </c>
      <c r="E299" s="5">
        <v>1.1367700000000001</v>
      </c>
      <c r="F299" s="5">
        <v>138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28.546240000000001</v>
      </c>
      <c r="E300" s="5">
        <v>1.13517</v>
      </c>
      <c r="F300" s="5">
        <v>144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59.072850000000003</v>
      </c>
      <c r="E301" s="5">
        <v>1.9264699999999999</v>
      </c>
      <c r="F301" s="5">
        <v>80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59.136180000000003</v>
      </c>
      <c r="E302" s="5">
        <v>1.9276899999999999</v>
      </c>
      <c r="F302" s="5">
        <v>78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59.011020000000002</v>
      </c>
      <c r="E303" s="5">
        <v>1.9251100000000001</v>
      </c>
      <c r="F303" s="5">
        <v>81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56.911659999999998</v>
      </c>
      <c r="E304" s="5">
        <v>1.92177</v>
      </c>
      <c r="F304" s="5">
        <v>78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59.151389999999999</v>
      </c>
      <c r="E305" s="5">
        <v>1.9311700000000001</v>
      </c>
      <c r="F305" s="5">
        <v>81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56.901339999999998</v>
      </c>
      <c r="E306" s="5">
        <v>1.9404999999999999</v>
      </c>
      <c r="F306" s="5">
        <v>78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58.683219999999999</v>
      </c>
      <c r="E307" s="5">
        <v>1.92703</v>
      </c>
      <c r="F307" s="5">
        <v>81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56.901339999999998</v>
      </c>
      <c r="E308" s="5">
        <v>1.9395500000000001</v>
      </c>
      <c r="F308" s="5">
        <v>81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59.242849999999997</v>
      </c>
      <c r="E309" s="5">
        <v>1.9200299999999999</v>
      </c>
      <c r="F309" s="5">
        <v>79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56.911340000000003</v>
      </c>
      <c r="E310" s="5">
        <v>1.92631</v>
      </c>
      <c r="F310" s="5">
        <v>81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53.642659999999999</v>
      </c>
      <c r="E311" s="5">
        <v>3.7648899999999998</v>
      </c>
      <c r="F311" s="5">
        <v>151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53.255070000000003</v>
      </c>
      <c r="E312" s="5">
        <v>3.76925</v>
      </c>
      <c r="F312" s="5">
        <v>151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53.975070000000002</v>
      </c>
      <c r="E313" s="5">
        <v>3.7612100000000002</v>
      </c>
      <c r="F313" s="5">
        <v>153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53.495600000000003</v>
      </c>
      <c r="E314" s="5">
        <v>3.7597399999999999</v>
      </c>
      <c r="F314" s="5">
        <v>153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53.84507</v>
      </c>
      <c r="E315" s="5">
        <v>3.7547100000000002</v>
      </c>
      <c r="F315" s="5">
        <v>153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53.75206</v>
      </c>
      <c r="E316" s="5">
        <v>3.7509100000000002</v>
      </c>
      <c r="F316" s="5">
        <v>152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53.422750000000001</v>
      </c>
      <c r="E317" s="5">
        <v>3.7568899999999998</v>
      </c>
      <c r="F317" s="5">
        <v>148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54.07206</v>
      </c>
      <c r="E318" s="5">
        <v>3.7759900000000002</v>
      </c>
      <c r="F318" s="5">
        <v>154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53.675600000000003</v>
      </c>
      <c r="E319" s="5">
        <v>3.76389</v>
      </c>
      <c r="F319" s="5">
        <v>154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53.4756</v>
      </c>
      <c r="E320" s="5">
        <v>3.7632300000000001</v>
      </c>
      <c r="F320" s="5">
        <v>153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53.193129999999996</v>
      </c>
      <c r="E321" s="5">
        <v>6.0755999999999997</v>
      </c>
      <c r="F321" s="5">
        <v>237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53.142409999999998</v>
      </c>
      <c r="E322" s="5">
        <v>6.0905500000000004</v>
      </c>
      <c r="F322" s="5">
        <v>233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53.38749</v>
      </c>
      <c r="E323" s="5">
        <v>6.0888400000000003</v>
      </c>
      <c r="F323" s="5">
        <v>234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53.078319999999998</v>
      </c>
      <c r="E324" s="5">
        <v>6.0914599999999997</v>
      </c>
      <c r="F324" s="5">
        <v>233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53.279870000000003</v>
      </c>
      <c r="E325" s="5">
        <v>6.0880400000000003</v>
      </c>
      <c r="F325" s="5">
        <v>235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53.38749</v>
      </c>
      <c r="E326" s="5">
        <v>6.0911499999999998</v>
      </c>
      <c r="F326" s="5">
        <v>231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53.257570000000001</v>
      </c>
      <c r="E327" s="5">
        <v>6.0835499999999998</v>
      </c>
      <c r="F327" s="5">
        <v>235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53.257489999999997</v>
      </c>
      <c r="E328" s="5">
        <v>6.0770299999999997</v>
      </c>
      <c r="F328" s="5">
        <v>235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53.252499999999998</v>
      </c>
      <c r="E329" s="5">
        <v>6.0904600000000002</v>
      </c>
      <c r="F329" s="5">
        <v>235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53.45608</v>
      </c>
      <c r="E330" s="5">
        <v>6.0750799999999998</v>
      </c>
      <c r="F330" s="5">
        <v>235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148.20616999999999</v>
      </c>
      <c r="E331" s="5">
        <v>7.0708000000000002</v>
      </c>
      <c r="F331" s="5">
        <v>82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148.13747000000001</v>
      </c>
      <c r="E332" s="5">
        <v>7.0944599999999998</v>
      </c>
      <c r="F332" s="5">
        <v>83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148.17486</v>
      </c>
      <c r="E333" s="5">
        <v>7.1031199999999997</v>
      </c>
      <c r="F333" s="5">
        <v>82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148.21880999999999</v>
      </c>
      <c r="E334" s="5">
        <v>7.08955</v>
      </c>
      <c r="F334" s="5">
        <v>83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148.03117</v>
      </c>
      <c r="E335" s="5">
        <v>7.0908800000000003</v>
      </c>
      <c r="F335" s="5">
        <v>82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148.26812000000001</v>
      </c>
      <c r="E336" s="5">
        <v>7.0506900000000003</v>
      </c>
      <c r="F336" s="5">
        <v>81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148.19672</v>
      </c>
      <c r="E337" s="5">
        <v>7.0377299999999998</v>
      </c>
      <c r="F337" s="5">
        <v>82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148.17479</v>
      </c>
      <c r="E338" s="5">
        <v>7.0370499999999998</v>
      </c>
      <c r="F338" s="5">
        <v>82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148.15495999999999</v>
      </c>
      <c r="E339" s="5">
        <v>7.0345500000000003</v>
      </c>
      <c r="F339" s="5">
        <v>82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148.15746999999999</v>
      </c>
      <c r="E340" s="5">
        <v>7.0261100000000001</v>
      </c>
      <c r="F340" s="5">
        <v>81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108.51849</v>
      </c>
      <c r="E341" s="5">
        <v>16.845569999999999</v>
      </c>
      <c r="F341" s="5">
        <v>185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108.12481</v>
      </c>
      <c r="E342" s="5">
        <v>16.845179999999999</v>
      </c>
      <c r="F342" s="5">
        <v>183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108.23563</v>
      </c>
      <c r="E343" s="5">
        <v>16.829499999999999</v>
      </c>
      <c r="F343" s="5">
        <v>184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108.07747000000001</v>
      </c>
      <c r="E344" s="5">
        <v>16.846139999999998</v>
      </c>
      <c r="F344" s="5">
        <v>185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108.36024999999999</v>
      </c>
      <c r="E345" s="5">
        <v>16.828399999999998</v>
      </c>
      <c r="F345" s="5">
        <v>183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109.04002</v>
      </c>
      <c r="E346" s="5">
        <v>16.832799999999999</v>
      </c>
      <c r="F346" s="5">
        <v>184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107.28239000000001</v>
      </c>
      <c r="E347" s="5">
        <v>16.84104</v>
      </c>
      <c r="F347" s="5">
        <v>185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108.4803</v>
      </c>
      <c r="E348" s="5">
        <v>16.852229999999999</v>
      </c>
      <c r="F348" s="5">
        <v>185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108.4451</v>
      </c>
      <c r="E349" s="5">
        <v>16.79965</v>
      </c>
      <c r="F349" s="5">
        <v>183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108.38615</v>
      </c>
      <c r="E350" s="5">
        <v>16.81691</v>
      </c>
      <c r="F350" s="5">
        <v>183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103.94428000000001</v>
      </c>
      <c r="E351" s="5">
        <v>29.377230000000001</v>
      </c>
      <c r="F351" s="5">
        <v>307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104.01692</v>
      </c>
      <c r="E352" s="5">
        <v>29.37087</v>
      </c>
      <c r="F352" s="5">
        <v>304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103.91495999999999</v>
      </c>
      <c r="E353" s="5">
        <v>29.376660000000001</v>
      </c>
      <c r="F353" s="5">
        <v>306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103.64747</v>
      </c>
      <c r="E354" s="5">
        <v>29.391760000000001</v>
      </c>
      <c r="F354" s="5">
        <v>309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104.11747</v>
      </c>
      <c r="E355" s="5">
        <v>29.33783</v>
      </c>
      <c r="F355" s="5">
        <v>306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103.84663</v>
      </c>
      <c r="E356" s="5">
        <v>29.351240000000001</v>
      </c>
      <c r="F356" s="5">
        <v>308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104.02670000000001</v>
      </c>
      <c r="E357" s="5">
        <v>29.371009999999998</v>
      </c>
      <c r="F357" s="5">
        <v>307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103.94163</v>
      </c>
      <c r="E358" s="5">
        <v>29.335999999999999</v>
      </c>
      <c r="F358" s="5">
        <v>305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103.80163</v>
      </c>
      <c r="E359" s="5">
        <v>29.375219999999999</v>
      </c>
      <c r="F359" s="5">
        <v>307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103.85912999999999</v>
      </c>
      <c r="E360" s="5">
        <v>29.353339999999999</v>
      </c>
      <c r="F360" s="5">
        <v>303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0.54449000000000003</v>
      </c>
      <c r="F361" s="5">
        <v>57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0.54174999999999995</v>
      </c>
      <c r="F362" s="5">
        <v>53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0.54205999999999999</v>
      </c>
      <c r="F363" s="5">
        <v>50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0.54423999999999995</v>
      </c>
      <c r="F364" s="5">
        <v>62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0.54767999999999994</v>
      </c>
      <c r="F365" s="5">
        <v>61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0.54544999999999999</v>
      </c>
      <c r="F366" s="5">
        <v>61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0.54178000000000004</v>
      </c>
      <c r="F367" s="5">
        <v>60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0.54117000000000004</v>
      </c>
      <c r="F368" s="5">
        <v>60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0.54561000000000004</v>
      </c>
      <c r="F369" s="5">
        <v>61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0.54408000000000001</v>
      </c>
      <c r="F370" s="5">
        <v>55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0.87317</v>
      </c>
      <c r="F371" s="5">
        <v>88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0.87470999999999999</v>
      </c>
      <c r="F372" s="5">
        <v>82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0.87792999999999999</v>
      </c>
      <c r="F373" s="5">
        <v>98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0.87124999999999997</v>
      </c>
      <c r="F374" s="5">
        <v>97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0.87414999999999998</v>
      </c>
      <c r="F375" s="5">
        <v>97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0.87539999999999996</v>
      </c>
      <c r="F376" s="5">
        <v>97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0.87219999999999998</v>
      </c>
      <c r="F377" s="5">
        <v>93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0.87758000000000003</v>
      </c>
      <c r="F378" s="5">
        <v>96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0.87273000000000001</v>
      </c>
      <c r="F379" s="5">
        <v>93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0.87538000000000005</v>
      </c>
      <c r="F380" s="5">
        <v>98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1.1510800000000001</v>
      </c>
      <c r="F381" s="5">
        <v>109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1.14954</v>
      </c>
      <c r="F382" s="5">
        <v>126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1.1528</v>
      </c>
      <c r="F383" s="5">
        <v>127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1.1506400000000001</v>
      </c>
      <c r="F384" s="5">
        <v>127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1.1484000000000001</v>
      </c>
      <c r="F385" s="5">
        <v>113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1.1549400000000001</v>
      </c>
      <c r="F386" s="5">
        <v>122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1.1486799999999999</v>
      </c>
      <c r="F387" s="5">
        <v>124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1.1553</v>
      </c>
      <c r="F388" s="5">
        <v>114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1.15405</v>
      </c>
      <c r="F389" s="5">
        <v>127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1.1546000000000001</v>
      </c>
      <c r="F390" s="5">
        <v>127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1.11802</v>
      </c>
      <c r="F391" s="5">
        <v>36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1.1076600000000001</v>
      </c>
      <c r="F392" s="5">
        <v>37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1.12845</v>
      </c>
      <c r="F393" s="5">
        <v>36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1.1121399999999999</v>
      </c>
      <c r="F394" s="5">
        <v>37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1.12452</v>
      </c>
      <c r="F395" s="5">
        <v>38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1.11239</v>
      </c>
      <c r="F396" s="5">
        <v>35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1.1303799999999999</v>
      </c>
      <c r="F397" s="5">
        <v>38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1.1221399999999999</v>
      </c>
      <c r="F398" s="5">
        <v>37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1.1133500000000001</v>
      </c>
      <c r="F399" s="5">
        <v>37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1.12287</v>
      </c>
      <c r="F400" s="5">
        <v>35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2.50305</v>
      </c>
      <c r="F401" s="5">
        <v>83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2.5007600000000001</v>
      </c>
      <c r="F402" s="5">
        <v>81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2.5091600000000001</v>
      </c>
      <c r="F403" s="5">
        <v>84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2.4919500000000001</v>
      </c>
      <c r="F404" s="5">
        <v>81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2.5191400000000002</v>
      </c>
      <c r="F405" s="5">
        <v>82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2.5054699999999999</v>
      </c>
      <c r="F406" s="5">
        <v>83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2.5009800000000002</v>
      </c>
      <c r="F407" s="5">
        <v>81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2.5017</v>
      </c>
      <c r="F408" s="5">
        <v>84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2.5086900000000001</v>
      </c>
      <c r="F409" s="5">
        <v>82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2.5000300000000002</v>
      </c>
      <c r="F410" s="5">
        <v>82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2.7322700000000002</v>
      </c>
      <c r="F411" s="5">
        <v>86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2.7319800000000001</v>
      </c>
      <c r="F412" s="5">
        <v>86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2.7225299999999999</v>
      </c>
      <c r="F413" s="5">
        <v>88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2.72559</v>
      </c>
      <c r="F414" s="5">
        <v>86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2.7371599999999998</v>
      </c>
      <c r="F415" s="5">
        <v>85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2.7220800000000001</v>
      </c>
      <c r="F416" s="5">
        <v>88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2.72804</v>
      </c>
      <c r="F417" s="5">
        <v>87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2.7351200000000002</v>
      </c>
      <c r="F418" s="5">
        <v>86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2.7228599999999998</v>
      </c>
      <c r="F419" s="5">
        <v>88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2.7416499999999999</v>
      </c>
      <c r="F420" s="5">
        <v>86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2.98502</v>
      </c>
      <c r="F421" s="5">
        <v>37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3.0209999999999999</v>
      </c>
      <c r="F422" s="5">
        <v>37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2.9697800000000001</v>
      </c>
      <c r="F423" s="5">
        <v>36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3.01125</v>
      </c>
      <c r="F424" s="5">
        <v>37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3.0177100000000001</v>
      </c>
      <c r="F425" s="5">
        <v>38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2.9807899999999998</v>
      </c>
      <c r="F426" s="5">
        <v>37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3.0047299999999999</v>
      </c>
      <c r="F427" s="5">
        <v>37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3.00007</v>
      </c>
      <c r="F428" s="5">
        <v>37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2.9754100000000001</v>
      </c>
      <c r="F429" s="5">
        <v>37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3.0072299999999998</v>
      </c>
      <c r="F430" s="5">
        <v>37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3.8252100000000002</v>
      </c>
      <c r="F431" s="5">
        <v>46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3.7766500000000001</v>
      </c>
      <c r="F432" s="5">
        <v>46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3.7732700000000001</v>
      </c>
      <c r="F433" s="5">
        <v>46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3.8033100000000002</v>
      </c>
      <c r="F434" s="5">
        <v>46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3.8021400000000001</v>
      </c>
      <c r="F435" s="5">
        <v>46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3.7882199999999999</v>
      </c>
      <c r="F436" s="5">
        <v>46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3.7961999999999998</v>
      </c>
      <c r="F437" s="5">
        <v>45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3.8142100000000001</v>
      </c>
      <c r="F438" s="5">
        <v>46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3.78362</v>
      </c>
      <c r="F439" s="5">
        <v>46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3.78363</v>
      </c>
      <c r="F440" s="5">
        <v>46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5.4694799999999999</v>
      </c>
      <c r="F441" s="5">
        <v>62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5.4805099999999998</v>
      </c>
      <c r="F442" s="5">
        <v>63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5.5133900000000002</v>
      </c>
      <c r="F443" s="5">
        <v>63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5.5231899999999996</v>
      </c>
      <c r="F444" s="5">
        <v>64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5.4835000000000003</v>
      </c>
      <c r="F445" s="5">
        <v>63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5.4652500000000002</v>
      </c>
      <c r="F446" s="5">
        <v>63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5.4884899999999996</v>
      </c>
      <c r="F447" s="5">
        <v>63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5.4862299999999999</v>
      </c>
      <c r="F448" s="5">
        <v>63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5.4955699999999998</v>
      </c>
      <c r="F449" s="5">
        <v>63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5.4802200000000001</v>
      </c>
      <c r="F450" s="5">
        <v>63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Q1"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0.54647000000000001</v>
      </c>
      <c r="F1" s="5">
        <v>28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0.55305000000000004</v>
      </c>
      <c r="F2" s="5">
        <v>30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0.54586999999999997</v>
      </c>
      <c r="F3" s="5">
        <v>26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170.35004000000001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0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0.55166000000000004</v>
      </c>
      <c r="F4" s="5">
        <v>31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0.54423999999999995</v>
      </c>
      <c r="F5" s="5">
        <v>26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0.54429000000000005</v>
      </c>
      <c r="F6" s="5">
        <v>29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0.55034000000000005</v>
      </c>
      <c r="F7" s="5">
        <v>23</v>
      </c>
      <c r="H7" s="5" t="s">
        <v>27</v>
      </c>
      <c r="I7" s="5">
        <v>50</v>
      </c>
      <c r="J7" s="5">
        <v>1</v>
      </c>
      <c r="L7" s="5">
        <f t="shared" ca="1" si="11"/>
        <v>179.95338000000001</v>
      </c>
      <c r="M7" s="5">
        <f t="shared" ca="1" si="0"/>
        <v>180.31488999999999</v>
      </c>
      <c r="N7" s="5">
        <f t="shared" ca="1" si="0"/>
        <v>182.03333000000001</v>
      </c>
      <c r="O7" s="5">
        <f t="shared" ca="1" si="0"/>
        <v>179.93772999999999</v>
      </c>
      <c r="P7" s="5">
        <f t="shared" ca="1" si="0"/>
        <v>182.34583000000001</v>
      </c>
      <c r="Q7" s="5">
        <f t="shared" ca="1" si="0"/>
        <v>180.25</v>
      </c>
      <c r="R7" s="5">
        <f t="shared" ca="1" si="0"/>
        <v>179.67332999999999</v>
      </c>
      <c r="S7" s="5">
        <f t="shared" ca="1" si="0"/>
        <v>179.93769</v>
      </c>
      <c r="T7" s="5">
        <f t="shared" ca="1" si="0"/>
        <v>180.74332999999999</v>
      </c>
      <c r="U7" s="5">
        <f t="shared" ca="1" si="0"/>
        <v>182.34583000000001</v>
      </c>
      <c r="W7" s="5">
        <f t="shared" ca="1" si="12"/>
        <v>180.753534</v>
      </c>
      <c r="Y7" s="5">
        <f ca="1">Total!E7</f>
        <v>179.67332999999999</v>
      </c>
      <c r="AB7" s="5">
        <f t="shared" ca="1" si="1"/>
        <v>1.5586620451684011E-3</v>
      </c>
      <c r="AC7" s="5">
        <f t="shared" ca="1" si="2"/>
        <v>3.5707024520556189E-3</v>
      </c>
      <c r="AD7" s="5">
        <f t="shared" ca="1" si="3"/>
        <v>1.313494885412328E-2</v>
      </c>
      <c r="AE7" s="5">
        <f t="shared" ca="1" si="4"/>
        <v>1.4715595241652998E-3</v>
      </c>
      <c r="AF7" s="5">
        <f t="shared" ca="1" si="5"/>
        <v>1.4874216446035779E-2</v>
      </c>
      <c r="AG7" s="5">
        <f t="shared" ca="1" si="6"/>
        <v>3.209547015130221E-3</v>
      </c>
      <c r="AH7" s="5">
        <f t="shared" ca="1" si="7"/>
        <v>0</v>
      </c>
      <c r="AI7" s="5">
        <f t="shared" ca="1" si="8"/>
        <v>1.4713368979136225E-3</v>
      </c>
      <c r="AJ7" s="5">
        <f t="shared" ca="1" si="9"/>
        <v>5.9552522347083633E-3</v>
      </c>
      <c r="AK7" s="5">
        <f t="shared" ca="1" si="10"/>
        <v>1.4874216446035779E-2</v>
      </c>
      <c r="AM7" s="5">
        <f t="shared" ca="1" si="13"/>
        <v>6.0120441915336366E-2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0.55286999999999997</v>
      </c>
      <c r="F8" s="5">
        <v>27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0.54490000000000005</v>
      </c>
      <c r="F9" s="5">
        <v>28</v>
      </c>
      <c r="H9" s="5" t="s">
        <v>27</v>
      </c>
      <c r="I9" s="5">
        <v>100</v>
      </c>
      <c r="J9" s="5">
        <v>0.7</v>
      </c>
      <c r="L9" s="5">
        <f t="shared" ca="1" si="11"/>
        <v>256.99205999999998</v>
      </c>
      <c r="M9" s="5">
        <f t="shared" ca="1" si="0"/>
        <v>258.52003000000002</v>
      </c>
      <c r="N9" s="5">
        <f t="shared" ca="1" si="0"/>
        <v>258.18626</v>
      </c>
      <c r="O9" s="5">
        <f t="shared" ca="1" si="0"/>
        <v>257.96053000000001</v>
      </c>
      <c r="P9" s="5">
        <f t="shared" ca="1" si="0"/>
        <v>258.91671000000002</v>
      </c>
      <c r="Q9" s="5">
        <f t="shared" ca="1" si="0"/>
        <v>259.68741999999997</v>
      </c>
      <c r="R9" s="5">
        <f t="shared" ca="1" si="0"/>
        <v>258.76943</v>
      </c>
      <c r="S9" s="5">
        <f t="shared" ca="1" si="0"/>
        <v>257.65129000000002</v>
      </c>
      <c r="T9" s="5">
        <f t="shared" ca="1" si="0"/>
        <v>256.017</v>
      </c>
      <c r="U9" s="5">
        <f t="shared" ca="1" si="0"/>
        <v>258.86493999999999</v>
      </c>
      <c r="W9" s="5">
        <f t="shared" ca="1" si="12"/>
        <v>258.15656699999994</v>
      </c>
      <c r="Y9" s="5">
        <f ca="1">Total!E9</f>
        <v>255.18879999999999</v>
      </c>
      <c r="AB9" s="5">
        <f t="shared" ca="1" si="1"/>
        <v>7.066375953803594E-3</v>
      </c>
      <c r="AC9" s="5">
        <f t="shared" ca="1" si="2"/>
        <v>1.305398199294026E-2</v>
      </c>
      <c r="AD9" s="5">
        <f t="shared" ca="1" si="3"/>
        <v>1.174604841591801E-2</v>
      </c>
      <c r="AE9" s="5">
        <f t="shared" ca="1" si="4"/>
        <v>1.0861487651495753E-2</v>
      </c>
      <c r="AF9" s="5">
        <f t="shared" ca="1" si="5"/>
        <v>1.4608438928354369E-2</v>
      </c>
      <c r="AG9" s="5">
        <f t="shared" ca="1" si="6"/>
        <v>1.7628594985359815E-2</v>
      </c>
      <c r="AH9" s="5">
        <f t="shared" ca="1" si="7"/>
        <v>1.4031297611807469E-2</v>
      </c>
      <c r="AI9" s="5">
        <f t="shared" ca="1" si="8"/>
        <v>9.6496789827767958E-3</v>
      </c>
      <c r="AJ9" s="5">
        <f t="shared" ca="1" si="9"/>
        <v>3.2454402387565974E-3</v>
      </c>
      <c r="AK9" s="5">
        <f t="shared" ca="1" si="10"/>
        <v>1.4405569523427376E-2</v>
      </c>
      <c r="AM9" s="5">
        <f t="shared" ca="1" si="13"/>
        <v>0.11629691428464005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0.55366000000000004</v>
      </c>
      <c r="F10" s="5">
        <v>22</v>
      </c>
      <c r="H10" s="5" t="s">
        <v>27</v>
      </c>
      <c r="I10" s="5">
        <v>100</v>
      </c>
      <c r="J10" s="5">
        <v>1</v>
      </c>
      <c r="L10" s="5">
        <f t="shared" ca="1" si="11"/>
        <v>239.00333000000001</v>
      </c>
      <c r="M10" s="5">
        <f t="shared" ca="1" si="0"/>
        <v>239.2</v>
      </c>
      <c r="N10" s="5">
        <f t="shared" ca="1" si="0"/>
        <v>239.27332999999999</v>
      </c>
      <c r="O10" s="5">
        <f t="shared" ca="1" si="0"/>
        <v>239.78053</v>
      </c>
      <c r="P10" s="5">
        <f t="shared" ca="1" si="0"/>
        <v>240.05</v>
      </c>
      <c r="Q10" s="5">
        <f t="shared" ca="1" si="0"/>
        <v>239.65333000000001</v>
      </c>
      <c r="R10" s="5">
        <f t="shared" ca="1" si="0"/>
        <v>239.05053000000001</v>
      </c>
      <c r="S10" s="5">
        <f t="shared" ca="1" si="0"/>
        <v>239.34255999999999</v>
      </c>
      <c r="T10" s="5">
        <f t="shared" ca="1" si="0"/>
        <v>239.28319999999999</v>
      </c>
      <c r="U10" s="5">
        <f t="shared" ca="1" si="0"/>
        <v>240.19333</v>
      </c>
      <c r="W10" s="5">
        <f t="shared" ca="1" si="12"/>
        <v>239.483014</v>
      </c>
      <c r="Y10" s="5">
        <f ca="1">Total!E10</f>
        <v>238.77667</v>
      </c>
      <c r="AB10" s="5">
        <f t="shared" ca="1" si="1"/>
        <v>9.4925521827576213E-4</v>
      </c>
      <c r="AC10" s="5">
        <f t="shared" ca="1" si="2"/>
        <v>1.7729119013176324E-3</v>
      </c>
      <c r="AD10" s="5">
        <f t="shared" ca="1" si="3"/>
        <v>2.0800189566258357E-3</v>
      </c>
      <c r="AE10" s="5">
        <f t="shared" ca="1" si="4"/>
        <v>4.2041795791858691E-3</v>
      </c>
      <c r="AF10" s="5">
        <f t="shared" ca="1" si="5"/>
        <v>5.3327236701978279E-3</v>
      </c>
      <c r="AG10" s="5">
        <f t="shared" ca="1" si="6"/>
        <v>3.6714642180076277E-3</v>
      </c>
      <c r="AH10" s="5">
        <f t="shared" ca="1" si="7"/>
        <v>1.1469294717947668E-3</v>
      </c>
      <c r="AI10" s="5">
        <f t="shared" ca="1" si="8"/>
        <v>2.3699551551665246E-3</v>
      </c>
      <c r="AJ10" s="5">
        <f t="shared" ca="1" si="9"/>
        <v>2.1213546532833291E-3</v>
      </c>
      <c r="AK10" s="5">
        <f t="shared" ca="1" si="10"/>
        <v>5.9329916947078931E-3</v>
      </c>
      <c r="AM10" s="5">
        <f t="shared" ca="1" si="13"/>
        <v>2.9581784518563074E-2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1.4224600000000001</v>
      </c>
      <c r="F11" s="5">
        <v>101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1.4266099999999999</v>
      </c>
      <c r="F12" s="5">
        <v>97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1.42235</v>
      </c>
      <c r="F13" s="5">
        <v>104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1.43106</v>
      </c>
      <c r="F14" s="5">
        <v>104</v>
      </c>
      <c r="H14" s="5" t="s">
        <v>2</v>
      </c>
      <c r="I14" s="5">
        <v>47</v>
      </c>
      <c r="J14" s="5">
        <v>0.4</v>
      </c>
      <c r="L14" s="5">
        <f t="shared" ca="1" si="11"/>
        <v>4348.0289499999999</v>
      </c>
      <c r="M14" s="5">
        <f t="shared" ca="1" si="0"/>
        <v>4348.0289499999999</v>
      </c>
      <c r="N14" s="5">
        <f t="shared" ca="1" si="0"/>
        <v>4348.0289499999999</v>
      </c>
      <c r="O14" s="5">
        <f t="shared" ca="1" si="0"/>
        <v>4348.0289499999999</v>
      </c>
      <c r="P14" s="5">
        <f t="shared" ca="1" si="0"/>
        <v>4348.0289499999999</v>
      </c>
      <c r="Q14" s="5">
        <f t="shared" ca="1" si="0"/>
        <v>4348.0289499999999</v>
      </c>
      <c r="R14" s="5">
        <f t="shared" ca="1" si="0"/>
        <v>4348.0289499999999</v>
      </c>
      <c r="S14" s="5">
        <f t="shared" ca="1" si="0"/>
        <v>4348.0289499999999</v>
      </c>
      <c r="T14" s="5">
        <f t="shared" ca="1" si="0"/>
        <v>4348.0289499999999</v>
      </c>
      <c r="U14" s="5">
        <f t="shared" ca="1" si="0"/>
        <v>4348.0289499999999</v>
      </c>
      <c r="W14" s="5">
        <f t="shared" ca="1" si="12"/>
        <v>4348.0289499999999</v>
      </c>
      <c r="Y14" s="5">
        <f ca="1">Total!E14</f>
        <v>4348.0289499999999</v>
      </c>
      <c r="AB14" s="5">
        <f t="shared" ca="1" si="1"/>
        <v>0</v>
      </c>
      <c r="AC14" s="5">
        <f t="shared" ca="1" si="2"/>
        <v>0</v>
      </c>
      <c r="AD14" s="5">
        <f t="shared" ca="1" si="3"/>
        <v>0</v>
      </c>
      <c r="AE14" s="5">
        <f t="shared" ca="1" si="4"/>
        <v>0</v>
      </c>
      <c r="AF14" s="5">
        <f t="shared" ca="1" si="5"/>
        <v>0</v>
      </c>
      <c r="AG14" s="5">
        <f t="shared" ca="1" si="6"/>
        <v>0</v>
      </c>
      <c r="AH14" s="5">
        <f t="shared" ca="1" si="7"/>
        <v>0</v>
      </c>
      <c r="AI14" s="5">
        <f t="shared" ca="1" si="8"/>
        <v>0</v>
      </c>
      <c r="AJ14" s="5">
        <f t="shared" ca="1" si="9"/>
        <v>0</v>
      </c>
      <c r="AK14" s="5">
        <f t="shared" ca="1" si="10"/>
        <v>0</v>
      </c>
      <c r="AM14" s="5">
        <f t="shared" ca="1" si="13"/>
        <v>0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1.4287000000000001</v>
      </c>
      <c r="F15" s="5">
        <v>96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1.4296599999999999</v>
      </c>
      <c r="F16" s="5">
        <v>101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1.43245</v>
      </c>
      <c r="F17" s="5">
        <v>105</v>
      </c>
      <c r="H17" s="5" t="s">
        <v>2</v>
      </c>
      <c r="I17" s="5">
        <v>100</v>
      </c>
      <c r="J17" s="5">
        <v>0.4</v>
      </c>
      <c r="L17" s="5">
        <f t="shared" ca="1" si="11"/>
        <v>42987.644590000004</v>
      </c>
      <c r="M17" s="5">
        <f t="shared" ca="1" si="0"/>
        <v>42986.403050000001</v>
      </c>
      <c r="N17" s="5">
        <f t="shared" ca="1" si="0"/>
        <v>42986.836920000002</v>
      </c>
      <c r="O17" s="5">
        <f t="shared" ca="1" si="0"/>
        <v>42986.853589999999</v>
      </c>
      <c r="P17" s="5">
        <f t="shared" ca="1" si="0"/>
        <v>42986.853589999999</v>
      </c>
      <c r="Q17" s="5">
        <f t="shared" ca="1" si="0"/>
        <v>42988.363890000001</v>
      </c>
      <c r="R17" s="5">
        <f t="shared" ca="1" si="0"/>
        <v>42986.403050000001</v>
      </c>
      <c r="S17" s="5">
        <f t="shared" ca="1" si="0"/>
        <v>42987.644590000004</v>
      </c>
      <c r="T17" s="5">
        <f t="shared" ca="1" si="0"/>
        <v>42986.853589999999</v>
      </c>
      <c r="U17" s="5">
        <f t="shared" ca="1" si="0"/>
        <v>42987.297890000002</v>
      </c>
      <c r="W17" s="5">
        <f t="shared" ca="1" si="12"/>
        <v>42987.115474999999</v>
      </c>
      <c r="Y17" s="5">
        <f ca="1">Total!E17</f>
        <v>42986.193919999998</v>
      </c>
      <c r="AB17" s="5">
        <f t="shared" ca="1" si="1"/>
        <v>3.3747346943658645E-5</v>
      </c>
      <c r="AC17" s="5">
        <f t="shared" ca="1" si="2"/>
        <v>4.8650504018131747E-6</v>
      </c>
      <c r="AD17" s="5">
        <f t="shared" ca="1" si="3"/>
        <v>1.4958291055038052E-5</v>
      </c>
      <c r="AE17" s="5">
        <f t="shared" ca="1" si="4"/>
        <v>1.5346089984812385E-5</v>
      </c>
      <c r="AF17" s="5">
        <f t="shared" ca="1" si="5"/>
        <v>1.5346089984812385E-5</v>
      </c>
      <c r="AG17" s="5">
        <f t="shared" ca="1" si="6"/>
        <v>5.048062650164143E-5</v>
      </c>
      <c r="AH17" s="5">
        <f t="shared" ca="1" si="7"/>
        <v>4.8650504018131747E-6</v>
      </c>
      <c r="AI17" s="5">
        <f t="shared" ca="1" si="8"/>
        <v>3.3747346943658645E-5</v>
      </c>
      <c r="AJ17" s="5">
        <f t="shared" ca="1" si="9"/>
        <v>1.5346089984812385E-5</v>
      </c>
      <c r="AK17" s="5">
        <f t="shared" ca="1" si="10"/>
        <v>2.5681966681170075E-5</v>
      </c>
      <c r="AM17" s="5">
        <f t="shared" ca="1" si="13"/>
        <v>2.1438394888323041E-4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1.4251199999999999</v>
      </c>
      <c r="F18" s="5">
        <v>99</v>
      </c>
      <c r="H18" s="5" t="s">
        <v>2</v>
      </c>
      <c r="I18" s="5">
        <v>100</v>
      </c>
      <c r="J18" s="5">
        <v>0.7</v>
      </c>
      <c r="L18" s="5">
        <f t="shared" ca="1" si="11"/>
        <v>35865.139309999999</v>
      </c>
      <c r="M18" s="5">
        <f t="shared" ca="1" si="11"/>
        <v>35927.539109999998</v>
      </c>
      <c r="N18" s="5">
        <f t="shared" ca="1" si="11"/>
        <v>35636.25664</v>
      </c>
      <c r="O18" s="5">
        <f t="shared" ca="1" si="11"/>
        <v>35763.703780000003</v>
      </c>
      <c r="P18" s="5">
        <f t="shared" ca="1" si="11"/>
        <v>35778.824690000001</v>
      </c>
      <c r="Q18" s="5">
        <f t="shared" ca="1" si="11"/>
        <v>35755.20104</v>
      </c>
      <c r="R18" s="5">
        <f t="shared" ca="1" si="11"/>
        <v>35432.165800000002</v>
      </c>
      <c r="S18" s="5">
        <f t="shared" ca="1" si="11"/>
        <v>35810.017310000003</v>
      </c>
      <c r="T18" s="5">
        <f t="shared" ca="1" si="11"/>
        <v>35808.26539</v>
      </c>
      <c r="U18" s="5">
        <f t="shared" ca="1" si="11"/>
        <v>35821.731039999999</v>
      </c>
      <c r="W18" s="5">
        <f t="shared" ca="1" si="12"/>
        <v>35759.884411000006</v>
      </c>
      <c r="Y18" s="5">
        <f ca="1">Total!E18</f>
        <v>35336.072039999999</v>
      </c>
      <c r="AB18" s="5">
        <f t="shared" ca="1" si="1"/>
        <v>1.4972441458719631E-2</v>
      </c>
      <c r="AC18" s="5">
        <f t="shared" ca="1" si="2"/>
        <v>1.6738336658654797E-2</v>
      </c>
      <c r="AD18" s="5">
        <f t="shared" ca="1" si="3"/>
        <v>8.4951321035398389E-3</v>
      </c>
      <c r="AE18" s="5">
        <f t="shared" ca="1" si="4"/>
        <v>1.2101847073322991E-2</v>
      </c>
      <c r="AF18" s="5">
        <f t="shared" ca="1" si="5"/>
        <v>1.2529764188244003E-2</v>
      </c>
      <c r="AG18" s="5">
        <f t="shared" ca="1" si="6"/>
        <v>1.1861222139392062E-2</v>
      </c>
      <c r="AH18" s="5">
        <f t="shared" ca="1" si="7"/>
        <v>2.719423932892893E-3</v>
      </c>
      <c r="AI18" s="5">
        <f t="shared" ca="1" si="8"/>
        <v>1.3412505766444658E-2</v>
      </c>
      <c r="AJ18" s="5">
        <f t="shared" ca="1" si="9"/>
        <v>1.3362926967815899E-2</v>
      </c>
      <c r="AK18" s="5">
        <f t="shared" ca="1" si="10"/>
        <v>1.3744000732459443E-2</v>
      </c>
      <c r="AM18" s="5">
        <f t="shared" ca="1" si="13"/>
        <v>0.11993760102148621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1.4212</v>
      </c>
      <c r="F19" s="5">
        <v>104</v>
      </c>
      <c r="H19" s="5" t="s">
        <v>2</v>
      </c>
      <c r="I19" s="5">
        <v>100</v>
      </c>
      <c r="J19" s="5">
        <v>1</v>
      </c>
      <c r="L19" s="5">
        <f t="shared" ca="1" si="11"/>
        <v>35407.410000000003</v>
      </c>
      <c r="M19" s="5">
        <f t="shared" ca="1" si="11"/>
        <v>35273.342779999999</v>
      </c>
      <c r="N19" s="5">
        <f t="shared" ca="1" si="11"/>
        <v>35463.487800000003</v>
      </c>
      <c r="O19" s="5">
        <f t="shared" ca="1" si="11"/>
        <v>35227.56</v>
      </c>
      <c r="P19" s="5">
        <f t="shared" ca="1" si="11"/>
        <v>35330.640189999998</v>
      </c>
      <c r="Q19" s="5">
        <f t="shared" ca="1" si="11"/>
        <v>35241.760000000002</v>
      </c>
      <c r="R19" s="5">
        <f t="shared" ca="1" si="11"/>
        <v>35332.118719999999</v>
      </c>
      <c r="S19" s="5">
        <f t="shared" ca="1" si="11"/>
        <v>35220.976669999996</v>
      </c>
      <c r="T19" s="5">
        <f t="shared" ca="1" si="11"/>
        <v>35224.461430000003</v>
      </c>
      <c r="U19" s="5">
        <f t="shared" ca="1" si="11"/>
        <v>35242.253859999997</v>
      </c>
      <c r="W19" s="5">
        <f t="shared" ca="1" si="12"/>
        <v>35296.401145000003</v>
      </c>
      <c r="Y19" s="5">
        <f ca="1">Total!E19</f>
        <v>35203.853329999998</v>
      </c>
      <c r="AB19" s="5">
        <f t="shared" ca="1" si="1"/>
        <v>5.7822269650958519E-3</v>
      </c>
      <c r="AC19" s="5">
        <f t="shared" ca="1" si="2"/>
        <v>1.9739160184712922E-3</v>
      </c>
      <c r="AD19" s="5">
        <f t="shared" ca="1" si="3"/>
        <v>7.375171904228716E-3</v>
      </c>
      <c r="AE19" s="5">
        <f t="shared" ca="1" si="4"/>
        <v>6.7341122512282604E-4</v>
      </c>
      <c r="AF19" s="5">
        <f t="shared" ca="1" si="5"/>
        <v>3.6015051764789344E-3</v>
      </c>
      <c r="AG19" s="5">
        <f t="shared" ca="1" si="6"/>
        <v>1.0767761598330673E-3</v>
      </c>
      <c r="AH19" s="5">
        <f t="shared" ca="1" si="7"/>
        <v>3.643504272036475E-3</v>
      </c>
      <c r="AI19" s="5">
        <f t="shared" ca="1" si="8"/>
        <v>4.8640527613510201E-4</v>
      </c>
      <c r="AJ19" s="5">
        <f t="shared" ca="1" si="9"/>
        <v>5.85393303591659E-4</v>
      </c>
      <c r="AK19" s="5">
        <f t="shared" ca="1" si="10"/>
        <v>1.0908047377664433E-3</v>
      </c>
      <c r="AM19" s="5">
        <f t="shared" ca="1" si="13"/>
        <v>2.6289115038760368E-2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1.4322600000000001</v>
      </c>
      <c r="F20" s="5">
        <v>104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1.7702800000000001</v>
      </c>
      <c r="F21" s="5">
        <v>126</v>
      </c>
      <c r="H21" s="5" t="s">
        <v>1</v>
      </c>
      <c r="I21" s="5">
        <v>30</v>
      </c>
      <c r="J21" s="5">
        <v>0.7</v>
      </c>
      <c r="L21" s="5">
        <f t="shared" ca="1" si="11"/>
        <v>675.36989000000005</v>
      </c>
      <c r="M21" s="5">
        <f t="shared" ca="1" si="11"/>
        <v>675.36989000000005</v>
      </c>
      <c r="N21" s="5">
        <f t="shared" ca="1" si="11"/>
        <v>675.36989000000005</v>
      </c>
      <c r="O21" s="5">
        <f t="shared" ca="1" si="11"/>
        <v>675.36581000000001</v>
      </c>
      <c r="P21" s="5">
        <f t="shared" ca="1" si="11"/>
        <v>675.36989000000005</v>
      </c>
      <c r="Q21" s="5">
        <f t="shared" ca="1" si="11"/>
        <v>675.47965999999997</v>
      </c>
      <c r="R21" s="5">
        <f t="shared" ca="1" si="11"/>
        <v>675.36989000000005</v>
      </c>
      <c r="S21" s="5">
        <f t="shared" ca="1" si="11"/>
        <v>675.36989000000005</v>
      </c>
      <c r="T21" s="5">
        <f t="shared" ca="1" si="11"/>
        <v>675.36989000000005</v>
      </c>
      <c r="U21" s="5">
        <f t="shared" ca="1" si="11"/>
        <v>675.36989000000005</v>
      </c>
      <c r="W21" s="5">
        <f t="shared" ca="1" si="12"/>
        <v>675.38045899999997</v>
      </c>
      <c r="Y21" s="5">
        <f ca="1">Total!E21</f>
        <v>675.36581000000001</v>
      </c>
      <c r="AB21" s="5">
        <f t="shared" ca="1" si="1"/>
        <v>6.0411704881010963E-6</v>
      </c>
      <c r="AC21" s="5">
        <f t="shared" ca="1" si="2"/>
        <v>6.0411704881010963E-6</v>
      </c>
      <c r="AD21" s="5">
        <f t="shared" ca="1" si="3"/>
        <v>6.0411704881010963E-6</v>
      </c>
      <c r="AE21" s="5">
        <f t="shared" ca="1" si="4"/>
        <v>0</v>
      </c>
      <c r="AF21" s="5">
        <f t="shared" ca="1" si="5"/>
        <v>6.0411704881010963E-6</v>
      </c>
      <c r="AG21" s="5">
        <f t="shared" ca="1" si="6"/>
        <v>1.685753088388598E-4</v>
      </c>
      <c r="AH21" s="5">
        <f t="shared" ca="1" si="7"/>
        <v>6.0411704881010963E-6</v>
      </c>
      <c r="AI21" s="5">
        <f t="shared" ca="1" si="8"/>
        <v>6.0411704881010963E-6</v>
      </c>
      <c r="AJ21" s="5">
        <f t="shared" ca="1" si="9"/>
        <v>6.0411704881010963E-6</v>
      </c>
      <c r="AK21" s="5">
        <f t="shared" ca="1" si="10"/>
        <v>6.0411704881010963E-6</v>
      </c>
      <c r="AM21" s="5">
        <f t="shared" ca="1" si="13"/>
        <v>2.1690467274366858E-4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1.77921</v>
      </c>
      <c r="F22" s="5">
        <v>124</v>
      </c>
      <c r="H22" s="5" t="s">
        <v>1</v>
      </c>
      <c r="I22" s="5">
        <v>30</v>
      </c>
      <c r="J22" s="5">
        <v>1</v>
      </c>
      <c r="L22" s="5">
        <f t="shared" ca="1" si="11"/>
        <v>657.45713999999998</v>
      </c>
      <c r="M22" s="5">
        <f t="shared" ca="1" si="11"/>
        <v>657.35562000000004</v>
      </c>
      <c r="N22" s="5">
        <f t="shared" ca="1" si="11"/>
        <v>655.43295999999998</v>
      </c>
      <c r="O22" s="5">
        <f t="shared" ca="1" si="11"/>
        <v>655.43295999999998</v>
      </c>
      <c r="P22" s="5">
        <f t="shared" ca="1" si="11"/>
        <v>655.43907999999999</v>
      </c>
      <c r="Q22" s="5">
        <f t="shared" ca="1" si="11"/>
        <v>657.32992999999999</v>
      </c>
      <c r="R22" s="5">
        <f t="shared" ca="1" si="11"/>
        <v>656.43993</v>
      </c>
      <c r="S22" s="5">
        <f t="shared" ca="1" si="11"/>
        <v>657.32380999999998</v>
      </c>
      <c r="T22" s="5">
        <f t="shared" ca="1" si="11"/>
        <v>655.43295999999998</v>
      </c>
      <c r="U22" s="5">
        <f t="shared" ca="1" si="11"/>
        <v>657.35562000000004</v>
      </c>
      <c r="W22" s="5">
        <f t="shared" ca="1" si="12"/>
        <v>656.500001</v>
      </c>
      <c r="Y22" s="5">
        <f ca="1">Total!E22</f>
        <v>655.43295999999998</v>
      </c>
      <c r="AB22" s="5">
        <f t="shared" ca="1" si="1"/>
        <v>3.088309748719383E-3</v>
      </c>
      <c r="AC22" s="5">
        <f t="shared" ca="1" si="2"/>
        <v>2.9334197657683624E-3</v>
      </c>
      <c r="AD22" s="5">
        <f t="shared" ca="1" si="3"/>
        <v>0</v>
      </c>
      <c r="AE22" s="5">
        <f t="shared" ca="1" si="4"/>
        <v>0</v>
      </c>
      <c r="AF22" s="5">
        <f t="shared" ca="1" si="5"/>
        <v>9.337339397777456E-6</v>
      </c>
      <c r="AG22" s="5">
        <f t="shared" ca="1" si="6"/>
        <v>2.8942243002244047E-3</v>
      </c>
      <c r="AH22" s="5">
        <f t="shared" ca="1" si="7"/>
        <v>1.5363432440138865E-3</v>
      </c>
      <c r="AI22" s="5">
        <f t="shared" ca="1" si="8"/>
        <v>2.8848869608266272E-3</v>
      </c>
      <c r="AJ22" s="5">
        <f t="shared" ca="1" si="9"/>
        <v>0</v>
      </c>
      <c r="AK22" s="5">
        <f t="shared" ca="1" si="10"/>
        <v>2.9334197657683624E-3</v>
      </c>
      <c r="AM22" s="5">
        <f t="shared" ca="1" si="13"/>
        <v>1.6279941124718804E-2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1.7773099999999999</v>
      </c>
      <c r="F23" s="5">
        <v>129</v>
      </c>
      <c r="H23" s="5" t="s">
        <v>1</v>
      </c>
      <c r="I23" s="5">
        <v>50</v>
      </c>
      <c r="J23" s="5">
        <v>0.4</v>
      </c>
      <c r="L23" s="5">
        <f t="shared" ca="1" si="11"/>
        <v>1459.9687899999999</v>
      </c>
      <c r="M23" s="5">
        <f t="shared" ca="1" si="11"/>
        <v>1459.9687899999999</v>
      </c>
      <c r="N23" s="5">
        <f t="shared" ca="1" si="11"/>
        <v>1467.0858700000001</v>
      </c>
      <c r="O23" s="5">
        <f t="shared" ca="1" si="11"/>
        <v>1459.9687899999999</v>
      </c>
      <c r="P23" s="5">
        <f t="shared" ca="1" si="11"/>
        <v>1459.9687899999999</v>
      </c>
      <c r="Q23" s="5">
        <f t="shared" ca="1" si="11"/>
        <v>1459.9687899999999</v>
      </c>
      <c r="R23" s="5">
        <f t="shared" ca="1" si="11"/>
        <v>1459.9687899999999</v>
      </c>
      <c r="S23" s="5">
        <f t="shared" ca="1" si="11"/>
        <v>1459.9687899999999</v>
      </c>
      <c r="T23" s="5">
        <f t="shared" ca="1" si="11"/>
        <v>1459.9687899999999</v>
      </c>
      <c r="U23" s="5">
        <f t="shared" ca="1" si="11"/>
        <v>1459.9687899999999</v>
      </c>
      <c r="W23" s="5">
        <f t="shared" ca="1" si="12"/>
        <v>1460.6804979999997</v>
      </c>
      <c r="Y23" s="5">
        <f ca="1">Total!E23</f>
        <v>1459.9687899999999</v>
      </c>
      <c r="AB23" s="5">
        <f t="shared" ca="1" si="1"/>
        <v>0</v>
      </c>
      <c r="AC23" s="5">
        <f t="shared" ca="1" si="2"/>
        <v>0</v>
      </c>
      <c r="AD23" s="5">
        <f t="shared" ca="1" si="3"/>
        <v>4.8748165363180227E-3</v>
      </c>
      <c r="AE23" s="5">
        <f t="shared" ca="1" si="4"/>
        <v>0</v>
      </c>
      <c r="AF23" s="5">
        <f t="shared" ca="1" si="5"/>
        <v>0</v>
      </c>
      <c r="AG23" s="5">
        <f t="shared" ca="1" si="6"/>
        <v>0</v>
      </c>
      <c r="AH23" s="5">
        <f t="shared" ca="1" si="7"/>
        <v>0</v>
      </c>
      <c r="AI23" s="5">
        <f t="shared" ca="1" si="8"/>
        <v>0</v>
      </c>
      <c r="AJ23" s="5">
        <f t="shared" ca="1" si="9"/>
        <v>0</v>
      </c>
      <c r="AK23" s="5">
        <f t="shared" ca="1" si="10"/>
        <v>0</v>
      </c>
      <c r="AM23" s="5">
        <f t="shared" ca="1" si="13"/>
        <v>4.8748165363180227E-3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1.76946</v>
      </c>
      <c r="F24" s="5">
        <v>128</v>
      </c>
      <c r="H24" s="5" t="s">
        <v>1</v>
      </c>
      <c r="I24" s="5">
        <v>50</v>
      </c>
      <c r="J24" s="5">
        <v>0.7</v>
      </c>
      <c r="L24" s="5">
        <f t="shared" ca="1" si="11"/>
        <v>1012.75696</v>
      </c>
      <c r="M24" s="5">
        <f t="shared" ca="1" si="11"/>
        <v>1016.2138</v>
      </c>
      <c r="N24" s="5">
        <f t="shared" ca="1" si="11"/>
        <v>1022.74757</v>
      </c>
      <c r="O24" s="5">
        <f t="shared" ca="1" si="11"/>
        <v>1010.83179</v>
      </c>
      <c r="P24" s="5">
        <f t="shared" ca="1" si="11"/>
        <v>1023.28559</v>
      </c>
      <c r="Q24" s="5">
        <f t="shared" ca="1" si="11"/>
        <v>1010.24392</v>
      </c>
      <c r="R24" s="5">
        <f t="shared" ca="1" si="11"/>
        <v>1010.37742</v>
      </c>
      <c r="S24" s="5">
        <f t="shared" ca="1" si="11"/>
        <v>1017.85237</v>
      </c>
      <c r="T24" s="5">
        <f t="shared" ca="1" si="11"/>
        <v>1016.01803</v>
      </c>
      <c r="U24" s="5">
        <f t="shared" ca="1" si="11"/>
        <v>1023.88533</v>
      </c>
      <c r="W24" s="5">
        <f t="shared" ca="1" si="12"/>
        <v>1016.4212779999998</v>
      </c>
      <c r="Y24" s="5">
        <f ca="1">Total!E24</f>
        <v>1005.95063</v>
      </c>
      <c r="AB24" s="5">
        <f t="shared" ca="1" si="1"/>
        <v>6.7660676349494435E-3</v>
      </c>
      <c r="AC24" s="5">
        <f t="shared" ca="1" si="2"/>
        <v>1.0202458941747414E-2</v>
      </c>
      <c r="AD24" s="5">
        <f t="shared" ca="1" si="3"/>
        <v>1.6697578886152642E-2</v>
      </c>
      <c r="AE24" s="5">
        <f t="shared" ca="1" si="4"/>
        <v>4.8522858422981544E-3</v>
      </c>
      <c r="AF24" s="5">
        <f t="shared" ca="1" si="5"/>
        <v>1.723241626679026E-2</v>
      </c>
      <c r="AG24" s="5">
        <f t="shared" ca="1" si="6"/>
        <v>4.2678933458195224E-3</v>
      </c>
      <c r="AH24" s="5">
        <f t="shared" ca="1" si="7"/>
        <v>4.4006036359855779E-3</v>
      </c>
      <c r="AI24" s="5">
        <f t="shared" ca="1" si="8"/>
        <v>1.1831336096484082E-2</v>
      </c>
      <c r="AJ24" s="5">
        <f t="shared" ca="1" si="9"/>
        <v>1.0007847005374316E-2</v>
      </c>
      <c r="AK24" s="5">
        <f t="shared" ca="1" si="10"/>
        <v>1.782860854712115E-2</v>
      </c>
      <c r="AM24" s="5">
        <f t="shared" ca="1" si="13"/>
        <v>0.10408709620272255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1.77559</v>
      </c>
      <c r="F25" s="5">
        <v>123</v>
      </c>
      <c r="H25" s="5" t="s">
        <v>1</v>
      </c>
      <c r="I25" s="5">
        <v>50</v>
      </c>
      <c r="J25" s="5">
        <v>1</v>
      </c>
      <c r="L25" s="5">
        <f t="shared" ca="1" si="11"/>
        <v>996.50333000000001</v>
      </c>
      <c r="M25" s="5">
        <f t="shared" ca="1" si="11"/>
        <v>998.97208000000001</v>
      </c>
      <c r="N25" s="5">
        <f t="shared" ca="1" si="11"/>
        <v>991.85594000000003</v>
      </c>
      <c r="O25" s="5">
        <f t="shared" ca="1" si="11"/>
        <v>1001.64358</v>
      </c>
      <c r="P25" s="5">
        <f t="shared" ca="1" si="11"/>
        <v>1004.03153</v>
      </c>
      <c r="Q25" s="5">
        <f t="shared" ca="1" si="11"/>
        <v>997.95699999999999</v>
      </c>
      <c r="R25" s="5">
        <f t="shared" ca="1" si="11"/>
        <v>996.09</v>
      </c>
      <c r="S25" s="5">
        <f t="shared" ca="1" si="11"/>
        <v>1001.4433299999999</v>
      </c>
      <c r="T25" s="5">
        <f t="shared" ca="1" si="11"/>
        <v>996.21624999999995</v>
      </c>
      <c r="U25" s="5">
        <f t="shared" ca="1" si="11"/>
        <v>996.58186000000001</v>
      </c>
      <c r="W25" s="5">
        <f t="shared" ca="1" si="12"/>
        <v>998.12949000000003</v>
      </c>
      <c r="Y25" s="5">
        <f ca="1">Total!E25</f>
        <v>990.69820000000004</v>
      </c>
      <c r="AB25" s="5">
        <f t="shared" ca="1" si="1"/>
        <v>5.8596351542780263E-3</v>
      </c>
      <c r="AC25" s="5">
        <f t="shared" ca="1" si="2"/>
        <v>8.3515645834422256E-3</v>
      </c>
      <c r="AD25" s="5">
        <f t="shared" ca="1" si="3"/>
        <v>1.1686101781551534E-3</v>
      </c>
      <c r="AE25" s="5">
        <f t="shared" ca="1" si="4"/>
        <v>1.1048147659902884E-2</v>
      </c>
      <c r="AF25" s="5">
        <f t="shared" ca="1" si="5"/>
        <v>1.3458518446889205E-2</v>
      </c>
      <c r="AG25" s="5">
        <f t="shared" ca="1" si="6"/>
        <v>7.3269538594094054E-3</v>
      </c>
      <c r="AH25" s="5">
        <f t="shared" ca="1" si="7"/>
        <v>5.4424243427513936E-3</v>
      </c>
      <c r="AI25" s="5">
        <f t="shared" ca="1" si="8"/>
        <v>1.0846017485446025E-2</v>
      </c>
      <c r="AJ25" s="5">
        <f t="shared" ca="1" si="9"/>
        <v>5.5698597211541337E-3</v>
      </c>
      <c r="AK25" s="5">
        <f t="shared" ca="1" si="10"/>
        <v>5.9389024831174248E-3</v>
      </c>
      <c r="AM25" s="5">
        <f t="shared" ca="1" si="13"/>
        <v>7.5010633914545877E-2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1.7749299999999999</v>
      </c>
      <c r="F26" s="5">
        <v>128</v>
      </c>
      <c r="H26" s="5" t="s">
        <v>1</v>
      </c>
      <c r="I26" s="5">
        <v>100</v>
      </c>
      <c r="J26" s="5">
        <v>0.4</v>
      </c>
      <c r="L26" s="5">
        <f t="shared" ca="1" si="11"/>
        <v>1874.0319400000001</v>
      </c>
      <c r="M26" s="5">
        <f t="shared" ca="1" si="11"/>
        <v>1843.2534000000001</v>
      </c>
      <c r="N26" s="5">
        <f t="shared" ca="1" si="11"/>
        <v>1810.97848</v>
      </c>
      <c r="O26" s="5">
        <f t="shared" ca="1" si="11"/>
        <v>1838.1804500000001</v>
      </c>
      <c r="P26" s="5">
        <f t="shared" ca="1" si="11"/>
        <v>1856.8761400000001</v>
      </c>
      <c r="Q26" s="5">
        <f t="shared" ca="1" si="11"/>
        <v>1869.3867499999999</v>
      </c>
      <c r="R26" s="5">
        <f t="shared" ca="1" si="11"/>
        <v>1824.3231800000001</v>
      </c>
      <c r="S26" s="5">
        <f t="shared" ca="1" si="11"/>
        <v>1856.5278499999999</v>
      </c>
      <c r="T26" s="5">
        <f t="shared" ca="1" si="11"/>
        <v>1860.1424500000001</v>
      </c>
      <c r="U26" s="5">
        <f t="shared" ca="1" si="11"/>
        <v>1864.6474599999999</v>
      </c>
      <c r="W26" s="5">
        <f t="shared" ca="1" si="12"/>
        <v>1849.8348099999998</v>
      </c>
      <c r="Y26" s="5">
        <f ca="1">Total!E26</f>
        <v>1786.3248599999999</v>
      </c>
      <c r="AB26" s="5">
        <f t="shared" ca="1" si="1"/>
        <v>4.9099176730933551E-2</v>
      </c>
      <c r="AC26" s="5">
        <f t="shared" ca="1" si="2"/>
        <v>3.1869085671236815E-2</v>
      </c>
      <c r="AD26" s="5">
        <f t="shared" ca="1" si="3"/>
        <v>1.3801308234606357E-2</v>
      </c>
      <c r="AE26" s="5">
        <f t="shared" ca="1" si="4"/>
        <v>2.9029204687886459E-2</v>
      </c>
      <c r="AF26" s="5">
        <f t="shared" ca="1" si="5"/>
        <v>3.9495212533738201E-2</v>
      </c>
      <c r="AG26" s="5">
        <f t="shared" ca="1" si="6"/>
        <v>4.6498759469764055E-2</v>
      </c>
      <c r="AH26" s="5">
        <f t="shared" ca="1" si="7"/>
        <v>2.1271785916924513E-2</v>
      </c>
      <c r="AI26" s="5">
        <f t="shared" ca="1" si="8"/>
        <v>3.9300236800152911E-2</v>
      </c>
      <c r="AJ26" s="5">
        <f t="shared" ca="1" si="9"/>
        <v>4.1323720927222675E-2</v>
      </c>
      <c r="AK26" s="5">
        <f t="shared" ca="1" si="10"/>
        <v>4.38456642203367E-2</v>
      </c>
      <c r="AM26" s="5">
        <f t="shared" ca="1" si="13"/>
        <v>0.35553415519280229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1.7777499999999999</v>
      </c>
      <c r="F27" s="5">
        <v>123</v>
      </c>
      <c r="H27" s="5" t="s">
        <v>1</v>
      </c>
      <c r="I27" s="5">
        <v>100</v>
      </c>
      <c r="J27" s="5">
        <v>0.7</v>
      </c>
      <c r="L27" s="5">
        <f t="shared" ca="1" si="11"/>
        <v>1792.6940199999999</v>
      </c>
      <c r="M27" s="5">
        <f t="shared" ca="1" si="11"/>
        <v>1786.6894400000001</v>
      </c>
      <c r="N27" s="5">
        <f t="shared" ca="1" si="11"/>
        <v>1785.79152</v>
      </c>
      <c r="O27" s="5">
        <f t="shared" ca="1" si="11"/>
        <v>1803.1161</v>
      </c>
      <c r="P27" s="5">
        <f t="shared" ca="1" si="11"/>
        <v>1795.97667</v>
      </c>
      <c r="Q27" s="5">
        <f t="shared" ca="1" si="11"/>
        <v>1795.8291899999999</v>
      </c>
      <c r="R27" s="5">
        <f t="shared" ca="1" si="11"/>
        <v>1799.8390999999999</v>
      </c>
      <c r="S27" s="5">
        <f t="shared" ca="1" si="11"/>
        <v>1798.9752000000001</v>
      </c>
      <c r="T27" s="5">
        <f t="shared" ca="1" si="11"/>
        <v>1802.8106299999999</v>
      </c>
      <c r="U27" s="5">
        <f t="shared" ca="1" si="11"/>
        <v>1793.3214</v>
      </c>
      <c r="W27" s="5">
        <f t="shared" ca="1" si="12"/>
        <v>1795.5043269999999</v>
      </c>
      <c r="Y27" s="5">
        <f ca="1">Total!E27</f>
        <v>1761.02206</v>
      </c>
      <c r="AB27" s="5">
        <f t="shared" ca="1" si="1"/>
        <v>1.7984987649728761E-2</v>
      </c>
      <c r="AC27" s="5">
        <f t="shared" ca="1" si="2"/>
        <v>1.4575274542557458E-2</v>
      </c>
      <c r="AD27" s="5">
        <f t="shared" ca="1" si="3"/>
        <v>1.4065388823124669E-2</v>
      </c>
      <c r="AE27" s="5">
        <f t="shared" ca="1" si="4"/>
        <v>2.39031872207211E-2</v>
      </c>
      <c r="AF27" s="5">
        <f t="shared" ca="1" si="5"/>
        <v>1.9849047206143462E-2</v>
      </c>
      <c r="AG27" s="5">
        <f t="shared" ca="1" si="6"/>
        <v>1.97653003847095E-2</v>
      </c>
      <c r="AH27" s="5">
        <f t="shared" ca="1" si="7"/>
        <v>2.2042336028431073E-2</v>
      </c>
      <c r="AI27" s="5">
        <f t="shared" ca="1" si="8"/>
        <v>2.1551768635993167E-2</v>
      </c>
      <c r="AJ27" s="5">
        <f t="shared" ca="1" si="9"/>
        <v>2.3729725452729385E-2</v>
      </c>
      <c r="AK27" s="5">
        <f t="shared" ca="1" si="10"/>
        <v>1.834124667353686E-2</v>
      </c>
      <c r="AM27" s="5">
        <f t="shared" ca="1" si="13"/>
        <v>0.19580826261767545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1.7708299999999999</v>
      </c>
      <c r="F28" s="5">
        <v>128</v>
      </c>
      <c r="H28" s="5" t="s">
        <v>1</v>
      </c>
      <c r="I28" s="5">
        <v>100</v>
      </c>
      <c r="J28" s="5">
        <v>1</v>
      </c>
      <c r="L28" s="5">
        <f t="shared" ca="1" si="11"/>
        <v>1758.85025</v>
      </c>
      <c r="M28" s="5">
        <f t="shared" ca="1" si="11"/>
        <v>1758.78333</v>
      </c>
      <c r="N28" s="5">
        <f t="shared" ca="1" si="11"/>
        <v>1757.36</v>
      </c>
      <c r="O28" s="5">
        <f t="shared" ca="1" si="11"/>
        <v>1755.5498</v>
      </c>
      <c r="P28" s="5">
        <f t="shared" ca="1" si="11"/>
        <v>1757.0919100000001</v>
      </c>
      <c r="Q28" s="5">
        <f t="shared" ca="1" si="11"/>
        <v>1757.70667</v>
      </c>
      <c r="R28" s="5">
        <f t="shared" ca="1" si="11"/>
        <v>1756.1266700000001</v>
      </c>
      <c r="S28" s="5">
        <f t="shared" ca="1" si="11"/>
        <v>1757.38652</v>
      </c>
      <c r="T28" s="5">
        <f t="shared" ca="1" si="11"/>
        <v>1755.68226</v>
      </c>
      <c r="U28" s="5">
        <f t="shared" ca="1" si="11"/>
        <v>1758.8166699999999</v>
      </c>
      <c r="W28" s="5">
        <f t="shared" ca="1" si="12"/>
        <v>1757.3354079999997</v>
      </c>
      <c r="Y28" s="5">
        <f ca="1">Total!E28</f>
        <v>1753.1198199999999</v>
      </c>
      <c r="AB28" s="5">
        <f t="shared" ca="1" si="1"/>
        <v>3.2687041322709306E-3</v>
      </c>
      <c r="AC28" s="5">
        <f t="shared" ca="1" si="2"/>
        <v>3.2305321834762485E-3</v>
      </c>
      <c r="AD28" s="5">
        <f t="shared" ca="1" si="3"/>
        <v>2.4186481446544878E-3</v>
      </c>
      <c r="AE28" s="5">
        <f t="shared" ca="1" si="4"/>
        <v>1.3860889439947775E-3</v>
      </c>
      <c r="AF28" s="5">
        <f t="shared" ca="1" si="5"/>
        <v>2.2657264806921228E-3</v>
      </c>
      <c r="AG28" s="5">
        <f t="shared" ca="1" si="6"/>
        <v>2.6163927574557573E-3</v>
      </c>
      <c r="AH28" s="5">
        <f t="shared" ca="1" si="7"/>
        <v>1.7151423226737653E-3</v>
      </c>
      <c r="AI28" s="5">
        <f t="shared" ca="1" si="8"/>
        <v>2.4337754620788717E-3</v>
      </c>
      <c r="AJ28" s="5">
        <f t="shared" ca="1" si="9"/>
        <v>1.4616456734829178E-3</v>
      </c>
      <c r="AK28" s="5">
        <f t="shared" ca="1" si="10"/>
        <v>3.2495497084734579E-3</v>
      </c>
      <c r="AM28" s="5">
        <f t="shared" ca="1" si="13"/>
        <v>2.4046205809253332E-2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1.77024</v>
      </c>
      <c r="F29" s="5">
        <v>122</v>
      </c>
      <c r="H29" s="5" t="s">
        <v>0</v>
      </c>
      <c r="I29" s="5">
        <v>25</v>
      </c>
      <c r="J29" s="5">
        <v>0.4</v>
      </c>
      <c r="L29" s="5">
        <f t="shared" ca="1" si="11"/>
        <v>41.318849999999998</v>
      </c>
      <c r="M29" s="5">
        <f t="shared" ca="1" si="11"/>
        <v>41.083060000000003</v>
      </c>
      <c r="N29" s="5">
        <f t="shared" ca="1" si="11"/>
        <v>41.318849999999998</v>
      </c>
      <c r="O29" s="5">
        <f t="shared" ca="1" si="11"/>
        <v>41.318849999999998</v>
      </c>
      <c r="P29" s="5">
        <f t="shared" ca="1" si="11"/>
        <v>41.318849999999998</v>
      </c>
      <c r="Q29" s="5">
        <f t="shared" ca="1" si="11"/>
        <v>41.318849999999998</v>
      </c>
      <c r="R29" s="5">
        <f t="shared" ca="1" si="11"/>
        <v>41.318849999999998</v>
      </c>
      <c r="S29" s="5">
        <f t="shared" ca="1" si="11"/>
        <v>41.318849999999998</v>
      </c>
      <c r="T29" s="5">
        <f t="shared" ca="1" si="11"/>
        <v>42.424349999999997</v>
      </c>
      <c r="U29" s="5">
        <f t="shared" ca="1" si="11"/>
        <v>41.318849999999998</v>
      </c>
      <c r="W29" s="5">
        <f t="shared" ca="1" si="12"/>
        <v>41.405820999999996</v>
      </c>
      <c r="Y29" s="5">
        <f ca="1">Total!E29</f>
        <v>40.897550000000003</v>
      </c>
      <c r="AB29" s="5">
        <f t="shared" ca="1" si="1"/>
        <v>1.0301350569899543E-2</v>
      </c>
      <c r="AC29" s="5">
        <f t="shared" ca="1" si="2"/>
        <v>4.5359685360125664E-3</v>
      </c>
      <c r="AD29" s="5">
        <f t="shared" ca="1" si="3"/>
        <v>1.0301350569899543E-2</v>
      </c>
      <c r="AE29" s="5">
        <f t="shared" ca="1" si="4"/>
        <v>1.0301350569899543E-2</v>
      </c>
      <c r="AF29" s="5">
        <f t="shared" ca="1" si="5"/>
        <v>1.0301350569899543E-2</v>
      </c>
      <c r="AG29" s="5">
        <f t="shared" ca="1" si="6"/>
        <v>1.0301350569899543E-2</v>
      </c>
      <c r="AH29" s="5">
        <f t="shared" ca="1" si="7"/>
        <v>1.0301350569899543E-2</v>
      </c>
      <c r="AI29" s="5">
        <f t="shared" ca="1" si="8"/>
        <v>1.0301350569899543E-2</v>
      </c>
      <c r="AJ29" s="5">
        <f t="shared" ca="1" si="9"/>
        <v>3.7332309637129711E-2</v>
      </c>
      <c r="AK29" s="5">
        <f t="shared" ca="1" si="10"/>
        <v>1.0301350569899543E-2</v>
      </c>
      <c r="AM29" s="5">
        <f t="shared" ca="1" si="13"/>
        <v>0.12427908273233863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1.7698400000000001</v>
      </c>
      <c r="F30" s="5">
        <v>127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1"/>
        <v>28.65436</v>
      </c>
      <c r="N30" s="5">
        <f t="shared" ca="1" si="11"/>
        <v>28.65436</v>
      </c>
      <c r="O30" s="5">
        <f t="shared" ca="1" si="11"/>
        <v>28.65436</v>
      </c>
      <c r="P30" s="5">
        <f t="shared" ca="1" si="11"/>
        <v>28.65436</v>
      </c>
      <c r="Q30" s="5">
        <f t="shared" ca="1" si="11"/>
        <v>28.65436</v>
      </c>
      <c r="R30" s="5">
        <f t="shared" ca="1" si="11"/>
        <v>28.65436</v>
      </c>
      <c r="S30" s="5">
        <f t="shared" ca="1" si="11"/>
        <v>28.65436</v>
      </c>
      <c r="T30" s="5">
        <f t="shared" ca="1" si="11"/>
        <v>28.65436</v>
      </c>
      <c r="U30" s="5">
        <f t="shared" ca="1" si="11"/>
        <v>28.65436</v>
      </c>
      <c r="W30" s="5">
        <f t="shared" ca="1" si="12"/>
        <v>28.654360000000004</v>
      </c>
      <c r="Y30" s="5">
        <f ca="1">Total!E30</f>
        <v>28.65436</v>
      </c>
      <c r="AB30" s="5">
        <f t="shared" ca="1" si="1"/>
        <v>0</v>
      </c>
      <c r="AC30" s="5">
        <f t="shared" ca="1" si="2"/>
        <v>0</v>
      </c>
      <c r="AD30" s="5">
        <f t="shared" ca="1" si="3"/>
        <v>0</v>
      </c>
      <c r="AE30" s="5">
        <f t="shared" ca="1" si="4"/>
        <v>0</v>
      </c>
      <c r="AF30" s="5">
        <f t="shared" ca="1" si="5"/>
        <v>0</v>
      </c>
      <c r="AG30" s="5">
        <f t="shared" ca="1" si="6"/>
        <v>0</v>
      </c>
      <c r="AH30" s="5">
        <f t="shared" ca="1" si="7"/>
        <v>0</v>
      </c>
      <c r="AI30" s="5">
        <f t="shared" ca="1" si="8"/>
        <v>0</v>
      </c>
      <c r="AJ30" s="5">
        <f t="shared" ca="1" si="9"/>
        <v>0</v>
      </c>
      <c r="AK30" s="5">
        <f t="shared" ca="1" si="10"/>
        <v>0</v>
      </c>
      <c r="AM30" s="5">
        <f t="shared" ca="1" si="13"/>
        <v>0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1.2062299999999999</v>
      </c>
      <c r="F31" s="5">
        <v>26</v>
      </c>
      <c r="H31" s="5" t="s">
        <v>0</v>
      </c>
      <c r="I31" s="5">
        <v>25</v>
      </c>
      <c r="J31" s="5">
        <v>1</v>
      </c>
      <c r="L31" s="5">
        <f t="shared" ca="1" si="11"/>
        <v>28.592030000000001</v>
      </c>
      <c r="M31" s="5">
        <f t="shared" ca="1" si="11"/>
        <v>28.592030000000001</v>
      </c>
      <c r="N31" s="5">
        <f t="shared" ca="1" si="11"/>
        <v>28.595680000000002</v>
      </c>
      <c r="O31" s="5">
        <f t="shared" ca="1" si="11"/>
        <v>28.587009999999999</v>
      </c>
      <c r="P31" s="5">
        <f t="shared" ca="1" si="11"/>
        <v>28.592030000000001</v>
      </c>
      <c r="Q31" s="5">
        <f t="shared" ca="1" si="11"/>
        <v>28.592030000000001</v>
      </c>
      <c r="R31" s="5">
        <f t="shared" ca="1" si="11"/>
        <v>28.587009999999999</v>
      </c>
      <c r="S31" s="5">
        <f t="shared" ca="1" si="11"/>
        <v>28.587009999999999</v>
      </c>
      <c r="T31" s="5">
        <f t="shared" ca="1" si="11"/>
        <v>28.514099999999999</v>
      </c>
      <c r="U31" s="5">
        <f t="shared" ca="1" si="11"/>
        <v>28.592030000000001</v>
      </c>
      <c r="W31" s="5">
        <f t="shared" ca="1" si="12"/>
        <v>28.583096000000001</v>
      </c>
      <c r="Y31" s="5">
        <f ca="1">Total!E31</f>
        <v>28.504100000000001</v>
      </c>
      <c r="AB31" s="5">
        <f t="shared" ca="1" si="1"/>
        <v>3.0848193768615766E-3</v>
      </c>
      <c r="AC31" s="5">
        <f t="shared" ca="1" si="2"/>
        <v>3.0848193768615766E-3</v>
      </c>
      <c r="AD31" s="5">
        <f t="shared" ca="1" si="3"/>
        <v>3.212871130819792E-3</v>
      </c>
      <c r="AE31" s="5">
        <f t="shared" ca="1" si="4"/>
        <v>2.9087043618285882E-3</v>
      </c>
      <c r="AF31" s="5">
        <f t="shared" ca="1" si="5"/>
        <v>3.0848193768615766E-3</v>
      </c>
      <c r="AG31" s="5">
        <f t="shared" ca="1" si="6"/>
        <v>3.0848193768615766E-3</v>
      </c>
      <c r="AH31" s="5">
        <f t="shared" ca="1" si="7"/>
        <v>2.9087043618285882E-3</v>
      </c>
      <c r="AI31" s="5">
        <f t="shared" ca="1" si="8"/>
        <v>2.9087043618285882E-3</v>
      </c>
      <c r="AJ31" s="5">
        <f t="shared" ca="1" si="9"/>
        <v>3.5082672317308776E-4</v>
      </c>
      <c r="AK31" s="5">
        <f t="shared" ca="1" si="10"/>
        <v>3.0848193768615766E-3</v>
      </c>
      <c r="AM31" s="5">
        <f t="shared" ca="1" si="13"/>
        <v>2.7713907823786528E-2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1.20513</v>
      </c>
      <c r="F32" s="5">
        <v>27</v>
      </c>
      <c r="H32" s="5" t="s">
        <v>0</v>
      </c>
      <c r="I32" s="5">
        <v>50</v>
      </c>
      <c r="J32" s="5">
        <v>0.4</v>
      </c>
      <c r="L32" s="5">
        <f t="shared" ca="1" si="11"/>
        <v>59.059829999999998</v>
      </c>
      <c r="M32" s="5">
        <f t="shared" ca="1" si="11"/>
        <v>58.902329999999999</v>
      </c>
      <c r="N32" s="5">
        <f t="shared" ca="1" si="11"/>
        <v>59.202849999999998</v>
      </c>
      <c r="O32" s="5">
        <f t="shared" ca="1" si="11"/>
        <v>58.818269999999998</v>
      </c>
      <c r="P32" s="5">
        <f t="shared" ca="1" si="11"/>
        <v>58.431280000000001</v>
      </c>
      <c r="Q32" s="5">
        <f t="shared" ca="1" si="11"/>
        <v>59.061019999999999</v>
      </c>
      <c r="R32" s="5">
        <f t="shared" ca="1" si="11"/>
        <v>56.78134</v>
      </c>
      <c r="S32" s="5">
        <f t="shared" ca="1" si="11"/>
        <v>56.971339999999998</v>
      </c>
      <c r="T32" s="5">
        <f t="shared" ca="1" si="11"/>
        <v>56.901339999999998</v>
      </c>
      <c r="U32" s="5">
        <f t="shared" ca="1" si="11"/>
        <v>59.09102</v>
      </c>
      <c r="W32" s="5">
        <f t="shared" ca="1" si="12"/>
        <v>58.322061999999995</v>
      </c>
      <c r="Y32" s="5">
        <f ca="1">Total!E32</f>
        <v>56.511339999999997</v>
      </c>
      <c r="AB32" s="5">
        <f t="shared" ca="1" si="1"/>
        <v>4.5096966378783465E-2</v>
      </c>
      <c r="AC32" s="5">
        <f t="shared" ca="1" si="2"/>
        <v>4.2309915142695297E-2</v>
      </c>
      <c r="AD32" s="5">
        <f t="shared" ca="1" si="3"/>
        <v>4.7627785856785579E-2</v>
      </c>
      <c r="AE32" s="5">
        <f t="shared" ca="1" si="4"/>
        <v>4.0822426082977349E-2</v>
      </c>
      <c r="AF32" s="5">
        <f t="shared" ca="1" si="5"/>
        <v>3.3974420001366169E-2</v>
      </c>
      <c r="AG32" s="5">
        <f t="shared" ca="1" si="6"/>
        <v>4.5118024099233926E-2</v>
      </c>
      <c r="AH32" s="5">
        <f t="shared" ca="1" si="7"/>
        <v>4.7778021190083824E-3</v>
      </c>
      <c r="AI32" s="5">
        <f t="shared" ca="1" si="8"/>
        <v>8.1399591657179051E-3</v>
      </c>
      <c r="AJ32" s="5">
        <f t="shared" ca="1" si="9"/>
        <v>6.901269727456482E-3</v>
      </c>
      <c r="AK32" s="5">
        <f t="shared" ca="1" si="10"/>
        <v>4.5648891001345983E-2</v>
      </c>
      <c r="AM32" s="5">
        <f t="shared" ca="1" si="13"/>
        <v>0.32041745957537054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1.2014100000000001</v>
      </c>
      <c r="F33" s="5">
        <v>27</v>
      </c>
      <c r="H33" s="5" t="s">
        <v>0</v>
      </c>
      <c r="I33" s="5">
        <v>50</v>
      </c>
      <c r="J33" s="5">
        <v>0.7</v>
      </c>
      <c r="L33" s="5">
        <f t="shared" ca="1" si="11"/>
        <v>53.722749999999998</v>
      </c>
      <c r="M33" s="5">
        <f t="shared" ca="1" si="11"/>
        <v>53.595599999999997</v>
      </c>
      <c r="N33" s="5">
        <f t="shared" ca="1" si="11"/>
        <v>53.60275</v>
      </c>
      <c r="O33" s="5">
        <f t="shared" ca="1" si="11"/>
        <v>53.275599999999997</v>
      </c>
      <c r="P33" s="5">
        <f t="shared" ca="1" si="11"/>
        <v>53.285600000000002</v>
      </c>
      <c r="Q33" s="5">
        <f t="shared" ca="1" si="11"/>
        <v>53.60266</v>
      </c>
      <c r="R33" s="5">
        <f t="shared" ca="1" si="11"/>
        <v>53.746079999999999</v>
      </c>
      <c r="S33" s="5">
        <f t="shared" ca="1" si="11"/>
        <v>53.692749999999997</v>
      </c>
      <c r="T33" s="5">
        <f t="shared" ca="1" si="11"/>
        <v>53.536079999999998</v>
      </c>
      <c r="U33" s="5">
        <f t="shared" ca="1" si="11"/>
        <v>53.786079999999998</v>
      </c>
      <c r="W33" s="5">
        <f t="shared" ca="1" si="12"/>
        <v>53.584595</v>
      </c>
      <c r="Y33" s="5">
        <f ca="1">Total!E33</f>
        <v>53.115070000000003</v>
      </c>
      <c r="AB33" s="5">
        <f t="shared" ca="1" si="1"/>
        <v>1.1440820844253709E-2</v>
      </c>
      <c r="AC33" s="5">
        <f t="shared" ca="1" si="2"/>
        <v>9.0469616250151708E-3</v>
      </c>
      <c r="AD33" s="5">
        <f t="shared" ca="1" si="3"/>
        <v>9.1815750219287565E-3</v>
      </c>
      <c r="AE33" s="5">
        <f t="shared" ca="1" si="4"/>
        <v>3.0223060988151624E-3</v>
      </c>
      <c r="AF33" s="5">
        <f t="shared" ca="1" si="5"/>
        <v>3.2105765840090088E-3</v>
      </c>
      <c r="AG33" s="5">
        <f t="shared" ca="1" si="6"/>
        <v>9.1798805875620091E-3</v>
      </c>
      <c r="AH33" s="5">
        <f t="shared" ca="1" si="7"/>
        <v>1.1880055886210755E-2</v>
      </c>
      <c r="AI33" s="5">
        <f t="shared" ca="1" si="8"/>
        <v>1.0876009388672437E-2</v>
      </c>
      <c r="AJ33" s="5">
        <f t="shared" ca="1" si="9"/>
        <v>7.9263756971419859E-3</v>
      </c>
      <c r="AK33" s="5">
        <f t="shared" ca="1" si="10"/>
        <v>1.2633137826985739E-2</v>
      </c>
      <c r="AM33" s="5">
        <f t="shared" ca="1" si="13"/>
        <v>8.8397699560594734E-2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1.2203599999999999</v>
      </c>
      <c r="F34" s="5">
        <v>26</v>
      </c>
      <c r="H34" s="5" t="s">
        <v>0</v>
      </c>
      <c r="I34" s="5">
        <v>50</v>
      </c>
      <c r="J34" s="5">
        <v>1</v>
      </c>
      <c r="L34" s="5">
        <f t="shared" ca="1" si="11"/>
        <v>53.097490000000001</v>
      </c>
      <c r="M34" s="5">
        <f t="shared" ca="1" si="11"/>
        <v>53.145600000000002</v>
      </c>
      <c r="N34" s="5">
        <f t="shared" ca="1" si="11"/>
        <v>53.231479999999998</v>
      </c>
      <c r="O34" s="5">
        <f t="shared" ca="1" si="11"/>
        <v>53.217489999999998</v>
      </c>
      <c r="P34" s="5">
        <f t="shared" ca="1" si="11"/>
        <v>53.538319999999999</v>
      </c>
      <c r="Q34" s="5">
        <f t="shared" ca="1" si="11"/>
        <v>53.003740000000001</v>
      </c>
      <c r="R34" s="5">
        <f t="shared" ca="1" si="11"/>
        <v>53.507489999999997</v>
      </c>
      <c r="S34" s="5">
        <f t="shared" ca="1" si="11"/>
        <v>53.297490000000003</v>
      </c>
      <c r="T34" s="5">
        <f t="shared" ca="1" si="11"/>
        <v>53.097490000000001</v>
      </c>
      <c r="U34" s="5">
        <f t="shared" ca="1" si="11"/>
        <v>53.447490000000002</v>
      </c>
      <c r="W34" s="5">
        <f t="shared" ca="1" si="12"/>
        <v>53.258407999999996</v>
      </c>
      <c r="Y34" s="5">
        <f ca="1">Total!E34</f>
        <v>53.003740000000001</v>
      </c>
      <c r="AB34" s="5">
        <f t="shared" ca="1" si="1"/>
        <v>1.7687431113351624E-3</v>
      </c>
      <c r="AC34" s="5">
        <f t="shared" ca="1" si="2"/>
        <v>2.6764149095894214E-3</v>
      </c>
      <c r="AD34" s="5">
        <f t="shared" ca="1" si="3"/>
        <v>4.2966779325382919E-3</v>
      </c>
      <c r="AE34" s="5">
        <f t="shared" ca="1" si="4"/>
        <v>4.0327342938441223E-3</v>
      </c>
      <c r="AF34" s="5">
        <f t="shared" ca="1" si="5"/>
        <v>1.0085703386213845E-2</v>
      </c>
      <c r="AG34" s="5">
        <f t="shared" ca="1" si="6"/>
        <v>0</v>
      </c>
      <c r="AH34" s="5">
        <f t="shared" ca="1" si="7"/>
        <v>9.504046318240875E-3</v>
      </c>
      <c r="AI34" s="5">
        <f t="shared" ca="1" si="8"/>
        <v>5.5420617488502293E-3</v>
      </c>
      <c r="AJ34" s="5">
        <f t="shared" ca="1" si="9"/>
        <v>1.7687431113351624E-3</v>
      </c>
      <c r="AK34" s="5">
        <f t="shared" ca="1" si="10"/>
        <v>8.3720507269864613E-3</v>
      </c>
      <c r="AM34" s="5">
        <f t="shared" ca="1" si="13"/>
        <v>4.8047175538933569E-2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1.2147600000000001</v>
      </c>
      <c r="F35" s="5">
        <v>27</v>
      </c>
      <c r="H35" s="5" t="s">
        <v>0</v>
      </c>
      <c r="I35" s="5">
        <v>100</v>
      </c>
      <c r="J35" s="5">
        <v>0.4</v>
      </c>
      <c r="L35" s="5">
        <f t="shared" ca="1" si="11"/>
        <v>148.31653</v>
      </c>
      <c r="M35" s="5">
        <f t="shared" ca="1" si="11"/>
        <v>148.17481000000001</v>
      </c>
      <c r="N35" s="5">
        <f t="shared" ca="1" si="11"/>
        <v>149.03249</v>
      </c>
      <c r="O35" s="5">
        <f t="shared" ca="1" si="11"/>
        <v>148.27234999999999</v>
      </c>
      <c r="P35" s="5">
        <f t="shared" ca="1" si="11"/>
        <v>148.22403</v>
      </c>
      <c r="Q35" s="5">
        <f t="shared" ca="1" si="11"/>
        <v>148.24198999999999</v>
      </c>
      <c r="R35" s="5">
        <f t="shared" ca="1" si="11"/>
        <v>148.25486000000001</v>
      </c>
      <c r="S35" s="5">
        <f t="shared" ca="1" si="11"/>
        <v>148.39394999999999</v>
      </c>
      <c r="T35" s="5">
        <f t="shared" ca="1" si="11"/>
        <v>148.30403000000001</v>
      </c>
      <c r="U35" s="5">
        <f t="shared" ca="1" si="11"/>
        <v>148.22811999999999</v>
      </c>
      <c r="W35" s="5">
        <f t="shared" ca="1" si="12"/>
        <v>148.34431599999999</v>
      </c>
      <c r="Y35" s="5">
        <f ca="1">Total!E35</f>
        <v>147.96312</v>
      </c>
      <c r="AB35" s="5">
        <f t="shared" ca="1" si="1"/>
        <v>2.3885005939317627E-3</v>
      </c>
      <c r="AC35" s="5">
        <f t="shared" ca="1" si="2"/>
        <v>1.430694351403271E-3</v>
      </c>
      <c r="AD35" s="5">
        <f t="shared" ca="1" si="3"/>
        <v>7.2272739315039592E-3</v>
      </c>
      <c r="AE35" s="5">
        <f t="shared" ca="1" si="4"/>
        <v>2.0899126755368853E-3</v>
      </c>
      <c r="AF35" s="5">
        <f t="shared" ca="1" si="5"/>
        <v>1.763344811869306E-3</v>
      </c>
      <c r="AG35" s="5">
        <f t="shared" ca="1" si="6"/>
        <v>1.8847264102026472E-3</v>
      </c>
      <c r="AH35" s="5">
        <f t="shared" ca="1" si="7"/>
        <v>1.9717075444205577E-3</v>
      </c>
      <c r="AI35" s="5">
        <f t="shared" ca="1" si="8"/>
        <v>2.911739087415743E-3</v>
      </c>
      <c r="AJ35" s="5">
        <f t="shared" ca="1" si="9"/>
        <v>2.3040200828423193E-3</v>
      </c>
      <c r="AK35" s="5">
        <f t="shared" ca="1" si="10"/>
        <v>1.7909868350977349E-3</v>
      </c>
      <c r="AM35" s="5">
        <f t="shared" ca="1" si="13"/>
        <v>2.5762906324224191E-2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1.2168000000000001</v>
      </c>
      <c r="F36" s="5">
        <v>27</v>
      </c>
      <c r="H36" s="5" t="s">
        <v>0</v>
      </c>
      <c r="I36" s="5">
        <v>100</v>
      </c>
      <c r="J36" s="5">
        <v>0.7</v>
      </c>
      <c r="L36" s="5">
        <f t="shared" ca="1" si="11"/>
        <v>108.22418999999999</v>
      </c>
      <c r="M36" s="5">
        <f t="shared" ca="1" si="11"/>
        <v>108.06829999999999</v>
      </c>
      <c r="N36" s="5">
        <f t="shared" ca="1" si="11"/>
        <v>108.35614</v>
      </c>
      <c r="O36" s="5">
        <f t="shared" ca="1" si="11"/>
        <v>108.25928</v>
      </c>
      <c r="P36" s="5">
        <f t="shared" ca="1" si="11"/>
        <v>107.28163000000001</v>
      </c>
      <c r="Q36" s="5">
        <f t="shared" ca="1" si="11"/>
        <v>108.28614</v>
      </c>
      <c r="R36" s="5">
        <f t="shared" ca="1" si="11"/>
        <v>108.95609</v>
      </c>
      <c r="S36" s="5">
        <f t="shared" ca="1" si="11"/>
        <v>108.20496</v>
      </c>
      <c r="T36" s="5">
        <f t="shared" ca="1" si="11"/>
        <v>108.0608</v>
      </c>
      <c r="U36" s="5">
        <f t="shared" ca="1" si="11"/>
        <v>108.2501</v>
      </c>
      <c r="W36" s="5">
        <f t="shared" ca="1" si="12"/>
        <v>108.19476300000001</v>
      </c>
      <c r="Y36" s="5">
        <f ca="1">Total!E36</f>
        <v>107.28163000000001</v>
      </c>
      <c r="AB36" s="5">
        <f t="shared" ca="1" si="1"/>
        <v>8.7858471203316538E-3</v>
      </c>
      <c r="AC36" s="5">
        <f t="shared" ca="1" si="2"/>
        <v>7.3327558501859692E-3</v>
      </c>
      <c r="AD36" s="5">
        <f t="shared" ca="1" si="3"/>
        <v>1.0015787418591509E-2</v>
      </c>
      <c r="AE36" s="5">
        <f t="shared" ca="1" si="4"/>
        <v>9.1129301447041497E-3</v>
      </c>
      <c r="AF36" s="5">
        <f t="shared" ca="1" si="5"/>
        <v>0</v>
      </c>
      <c r="AG36" s="5">
        <f t="shared" ca="1" si="6"/>
        <v>9.3632991967030725E-3</v>
      </c>
      <c r="AH36" s="5">
        <f t="shared" ca="1" si="7"/>
        <v>1.5608077543191655E-2</v>
      </c>
      <c r="AI36" s="5">
        <f t="shared" ca="1" si="8"/>
        <v>8.6065992845186338E-3</v>
      </c>
      <c r="AJ36" s="5">
        <f t="shared" ca="1" si="9"/>
        <v>7.2628463978408365E-3</v>
      </c>
      <c r="AK36" s="5">
        <f t="shared" ca="1" si="10"/>
        <v>9.0273609750336232E-3</v>
      </c>
      <c r="AM36" s="5">
        <f t="shared" ca="1" si="13"/>
        <v>8.5115503931101108E-2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1.2084900000000001</v>
      </c>
      <c r="F37" s="5">
        <v>26</v>
      </c>
      <c r="H37" s="5" t="s">
        <v>0</v>
      </c>
      <c r="I37" s="5">
        <v>100</v>
      </c>
      <c r="J37" s="5">
        <v>1</v>
      </c>
      <c r="L37" s="5">
        <f t="shared" ca="1" si="11"/>
        <v>104.0167</v>
      </c>
      <c r="M37" s="5">
        <f t="shared" ca="1" si="11"/>
        <v>103.96329</v>
      </c>
      <c r="N37" s="5">
        <f t="shared" ca="1" si="11"/>
        <v>103.63163</v>
      </c>
      <c r="O37" s="5">
        <f t="shared" ca="1" si="11"/>
        <v>103.96247</v>
      </c>
      <c r="P37" s="5">
        <f t="shared" ca="1" si="11"/>
        <v>103.74253</v>
      </c>
      <c r="Q37" s="5">
        <f t="shared" ca="1" si="11"/>
        <v>103.49359</v>
      </c>
      <c r="R37" s="5">
        <f t="shared" ca="1" si="11"/>
        <v>103.99413</v>
      </c>
      <c r="S37" s="5">
        <f t="shared" ca="1" si="11"/>
        <v>103.94419000000001</v>
      </c>
      <c r="T37" s="5">
        <f t="shared" ca="1" si="11"/>
        <v>103.88757</v>
      </c>
      <c r="U37" s="5">
        <f t="shared" ca="1" si="11"/>
        <v>104.02663</v>
      </c>
      <c r="W37" s="5">
        <f t="shared" ca="1" si="12"/>
        <v>103.86627300000002</v>
      </c>
      <c r="Y37" s="5">
        <f ca="1">Total!E37</f>
        <v>103.21266</v>
      </c>
      <c r="AB37" s="5">
        <f t="shared" ca="1" si="1"/>
        <v>7.7901296216956383E-3</v>
      </c>
      <c r="AC37" s="5">
        <f t="shared" ca="1" si="2"/>
        <v>7.2726543429846788E-3</v>
      </c>
      <c r="AD37" s="5">
        <f t="shared" ca="1" si="3"/>
        <v>4.0592888508057213E-3</v>
      </c>
      <c r="AE37" s="5">
        <f t="shared" ca="1" si="4"/>
        <v>7.2647095811695633E-3</v>
      </c>
      <c r="AF37" s="5">
        <f t="shared" ca="1" si="5"/>
        <v>5.1337694426246017E-3</v>
      </c>
      <c r="AG37" s="5">
        <f t="shared" ca="1" si="6"/>
        <v>2.7218560203757748E-3</v>
      </c>
      <c r="AH37" s="5">
        <f t="shared" ca="1" si="7"/>
        <v>7.5714548971027272E-3</v>
      </c>
      <c r="AI37" s="5">
        <f t="shared" ca="1" si="8"/>
        <v>7.0875995250970804E-3</v>
      </c>
      <c r="AJ37" s="5">
        <f t="shared" ca="1" si="9"/>
        <v>6.5390234105001943E-3</v>
      </c>
      <c r="AK37" s="5">
        <f t="shared" ca="1" si="10"/>
        <v>7.8863387495293463E-3</v>
      </c>
      <c r="AM37" s="5">
        <f t="shared" ca="1" si="13"/>
        <v>6.3326824441885324E-2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1.2122599999999999</v>
      </c>
      <c r="F38" s="5">
        <v>27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1.2263900000000001</v>
      </c>
      <c r="F39" s="5">
        <v>27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1.22187</v>
      </c>
      <c r="F40" s="5">
        <v>26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2.9120300000000001</v>
      </c>
      <c r="F41" s="5">
        <v>80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2.9136299999999999</v>
      </c>
      <c r="F42" s="5">
        <v>83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2.8965800000000002</v>
      </c>
      <c r="F43" s="5">
        <v>81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2.9001299999999999</v>
      </c>
      <c r="F44" s="5">
        <v>81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2.91682</v>
      </c>
      <c r="F45" s="5">
        <v>77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2.89445</v>
      </c>
      <c r="F46" s="5">
        <v>83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2.9151899999999999</v>
      </c>
      <c r="F47" s="5">
        <v>81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2.9071500000000001</v>
      </c>
      <c r="F48" s="5">
        <v>80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2.9178799999999998</v>
      </c>
      <c r="F49" s="5">
        <v>83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2.9098999999999999</v>
      </c>
      <c r="F50" s="5">
        <v>82</v>
      </c>
    </row>
    <row r="51" spans="1:6" x14ac:dyDescent="0.25">
      <c r="A51" s="5" t="s">
        <v>27</v>
      </c>
      <c r="B51" s="5">
        <v>50</v>
      </c>
      <c r="C51" s="5">
        <v>1</v>
      </c>
      <c r="D51" s="5">
        <v>179.95338000000001</v>
      </c>
      <c r="E51" s="5">
        <v>4.6065500000000004</v>
      </c>
      <c r="F51" s="5">
        <v>130</v>
      </c>
    </row>
    <row r="52" spans="1:6" x14ac:dyDescent="0.25">
      <c r="A52" s="5" t="s">
        <v>27</v>
      </c>
      <c r="B52" s="5">
        <v>50</v>
      </c>
      <c r="C52" s="5">
        <v>1</v>
      </c>
      <c r="D52" s="5">
        <v>180.31488999999999</v>
      </c>
      <c r="E52" s="5">
        <v>4.6047399999999996</v>
      </c>
      <c r="F52" s="5">
        <v>131</v>
      </c>
    </row>
    <row r="53" spans="1:6" x14ac:dyDescent="0.25">
      <c r="A53" s="5" t="s">
        <v>27</v>
      </c>
      <c r="B53" s="5">
        <v>50</v>
      </c>
      <c r="C53" s="5">
        <v>1</v>
      </c>
      <c r="D53" s="5">
        <v>182.03333000000001</v>
      </c>
      <c r="E53" s="5">
        <v>4.6265499999999999</v>
      </c>
      <c r="F53" s="5">
        <v>131</v>
      </c>
    </row>
    <row r="54" spans="1:6" x14ac:dyDescent="0.25">
      <c r="A54" s="5" t="s">
        <v>27</v>
      </c>
      <c r="B54" s="5">
        <v>50</v>
      </c>
      <c r="C54" s="5">
        <v>1</v>
      </c>
      <c r="D54" s="5">
        <v>179.93772999999999</v>
      </c>
      <c r="E54" s="5">
        <v>4.6023300000000003</v>
      </c>
      <c r="F54" s="5">
        <v>131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182.34583000000001</v>
      </c>
      <c r="E55" s="5">
        <v>4.6027800000000001</v>
      </c>
      <c r="F55" s="5">
        <v>132</v>
      </c>
    </row>
    <row r="56" spans="1:6" x14ac:dyDescent="0.25">
      <c r="A56" s="5" t="s">
        <v>27</v>
      </c>
      <c r="B56" s="5">
        <v>50</v>
      </c>
      <c r="C56" s="5">
        <v>1</v>
      </c>
      <c r="D56" s="5">
        <v>180.25</v>
      </c>
      <c r="E56" s="5">
        <v>4.6086499999999999</v>
      </c>
      <c r="F56" s="5">
        <v>132</v>
      </c>
    </row>
    <row r="57" spans="1:6" x14ac:dyDescent="0.25">
      <c r="A57" s="5" t="s">
        <v>27</v>
      </c>
      <c r="B57" s="5">
        <v>50</v>
      </c>
      <c r="C57" s="5">
        <v>1</v>
      </c>
      <c r="D57" s="5">
        <v>179.67332999999999</v>
      </c>
      <c r="E57" s="5">
        <v>4.6130100000000001</v>
      </c>
      <c r="F57" s="5">
        <v>132</v>
      </c>
    </row>
    <row r="58" spans="1:6" x14ac:dyDescent="0.25">
      <c r="A58" s="5" t="s">
        <v>27</v>
      </c>
      <c r="B58" s="5">
        <v>50</v>
      </c>
      <c r="C58" s="5">
        <v>1</v>
      </c>
      <c r="D58" s="5">
        <v>179.93769</v>
      </c>
      <c r="E58" s="5">
        <v>4.59497</v>
      </c>
      <c r="F58" s="5">
        <v>130</v>
      </c>
    </row>
    <row r="59" spans="1:6" x14ac:dyDescent="0.25">
      <c r="A59" s="5" t="s">
        <v>27</v>
      </c>
      <c r="B59" s="5">
        <v>50</v>
      </c>
      <c r="C59" s="5">
        <v>1</v>
      </c>
      <c r="D59" s="5">
        <v>180.74332999999999</v>
      </c>
      <c r="E59" s="5">
        <v>4.5918000000000001</v>
      </c>
      <c r="F59" s="5">
        <v>131</v>
      </c>
    </row>
    <row r="60" spans="1:6" x14ac:dyDescent="0.25">
      <c r="A60" s="5" t="s">
        <v>27</v>
      </c>
      <c r="B60" s="5">
        <v>50</v>
      </c>
      <c r="C60" s="5">
        <v>1</v>
      </c>
      <c r="D60" s="5">
        <v>182.34583000000001</v>
      </c>
      <c r="E60" s="5">
        <v>4.60365</v>
      </c>
      <c r="F60" s="5">
        <v>131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5.6128799999999996</v>
      </c>
      <c r="F61" s="5">
        <v>44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5.63992</v>
      </c>
      <c r="F62" s="5">
        <v>45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5.6786599999999998</v>
      </c>
      <c r="F63" s="5">
        <v>45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5.6589200000000002</v>
      </c>
      <c r="F64" s="5">
        <v>45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5.6862300000000001</v>
      </c>
      <c r="F65" s="5">
        <v>45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5.6884600000000001</v>
      </c>
      <c r="F66" s="5">
        <v>45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5.6618199999999996</v>
      </c>
      <c r="F67" s="5">
        <v>45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5.65876</v>
      </c>
      <c r="F68" s="5">
        <v>45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5.6664300000000001</v>
      </c>
      <c r="F69" s="5">
        <v>45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5.5883700000000003</v>
      </c>
      <c r="F70" s="5">
        <v>44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256.99205999999998</v>
      </c>
      <c r="E71" s="5">
        <v>11.70823</v>
      </c>
      <c r="F71" s="5">
        <v>89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258.52003000000002</v>
      </c>
      <c r="E72" s="5">
        <v>11.652670000000001</v>
      </c>
      <c r="F72" s="5">
        <v>88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258.18626</v>
      </c>
      <c r="E73" s="5">
        <v>11.710710000000001</v>
      </c>
      <c r="F73" s="5">
        <v>88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257.96053000000001</v>
      </c>
      <c r="E74" s="5">
        <v>11.709379999999999</v>
      </c>
      <c r="F74" s="5">
        <v>89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258.91671000000002</v>
      </c>
      <c r="E75" s="5">
        <v>11.74405</v>
      </c>
      <c r="F75" s="5">
        <v>90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259.68741999999997</v>
      </c>
      <c r="E76" s="5">
        <v>11.74736</v>
      </c>
      <c r="F76" s="5">
        <v>89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258.76943</v>
      </c>
      <c r="E77" s="5">
        <v>11.66161</v>
      </c>
      <c r="F77" s="5">
        <v>89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257.65129000000002</v>
      </c>
      <c r="E78" s="5">
        <v>11.760020000000001</v>
      </c>
      <c r="F78" s="5">
        <v>89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256.017</v>
      </c>
      <c r="E79" s="5">
        <v>11.72974</v>
      </c>
      <c r="F79" s="5">
        <v>89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258.86493999999999</v>
      </c>
      <c r="E80" s="5">
        <v>11.7479</v>
      </c>
      <c r="F80" s="5">
        <v>90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239.00333000000001</v>
      </c>
      <c r="E81" s="5">
        <v>30.149429999999999</v>
      </c>
      <c r="F81" s="5">
        <v>225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239.2</v>
      </c>
      <c r="E82" s="5">
        <v>30.252410000000001</v>
      </c>
      <c r="F82" s="5">
        <v>226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239.27332999999999</v>
      </c>
      <c r="E83" s="5">
        <v>30.247319999999998</v>
      </c>
      <c r="F83" s="5">
        <v>225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239.78053</v>
      </c>
      <c r="E84" s="5">
        <v>30.180820000000001</v>
      </c>
      <c r="F84" s="5">
        <v>226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240.05</v>
      </c>
      <c r="E85" s="5">
        <v>30.19145</v>
      </c>
      <c r="F85" s="5">
        <v>225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239.65333000000001</v>
      </c>
      <c r="E86" s="5">
        <v>30.22899</v>
      </c>
      <c r="F86" s="5">
        <v>226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239.05053000000001</v>
      </c>
      <c r="E87" s="5">
        <v>30.192119999999999</v>
      </c>
      <c r="F87" s="5">
        <v>225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239.34255999999999</v>
      </c>
      <c r="E88" s="5">
        <v>30.23122</v>
      </c>
      <c r="F88" s="5">
        <v>227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239.28319999999999</v>
      </c>
      <c r="E89" s="5">
        <v>30.160419999999998</v>
      </c>
      <c r="F89" s="5">
        <v>224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240.19333</v>
      </c>
      <c r="E90" s="5">
        <v>30.14629</v>
      </c>
      <c r="F90" s="5">
        <v>226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0.58591000000000004</v>
      </c>
      <c r="F91" s="5">
        <v>67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0.58443000000000001</v>
      </c>
      <c r="F92" s="5">
        <v>60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0.58765999999999996</v>
      </c>
      <c r="F93" s="5">
        <v>67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0.58331</v>
      </c>
      <c r="F94" s="5">
        <v>66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0.58370999999999995</v>
      </c>
      <c r="F95" s="5">
        <v>57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0.58167000000000002</v>
      </c>
      <c r="F96" s="5">
        <v>66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0.58708000000000005</v>
      </c>
      <c r="F97" s="5">
        <v>67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0.58262999999999998</v>
      </c>
      <c r="F98" s="5">
        <v>69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0.58111000000000002</v>
      </c>
      <c r="F99" s="5">
        <v>68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0.58452000000000004</v>
      </c>
      <c r="F100" s="5">
        <v>69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0.73924999999999996</v>
      </c>
      <c r="F101" s="5">
        <v>80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0.73611000000000004</v>
      </c>
      <c r="F102" s="5">
        <v>79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0.73717999999999995</v>
      </c>
      <c r="F103" s="5">
        <v>85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0.74031999999999998</v>
      </c>
      <c r="F104" s="5">
        <v>85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0.74944999999999995</v>
      </c>
      <c r="F105" s="5">
        <v>81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0.73909000000000002</v>
      </c>
      <c r="F106" s="5">
        <v>82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0.73407</v>
      </c>
      <c r="F107" s="5">
        <v>85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0.73982000000000003</v>
      </c>
      <c r="F108" s="5">
        <v>84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0.73938000000000004</v>
      </c>
      <c r="F109" s="5">
        <v>84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0.73587000000000002</v>
      </c>
      <c r="F110" s="5">
        <v>85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1.28051</v>
      </c>
      <c r="F111" s="5">
        <v>130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1.2805800000000001</v>
      </c>
      <c r="F112" s="5">
        <v>146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1.2754399999999999</v>
      </c>
      <c r="F113" s="5">
        <v>139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1.2793600000000001</v>
      </c>
      <c r="F114" s="5">
        <v>135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1.2749600000000001</v>
      </c>
      <c r="F115" s="5">
        <v>142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1.27813</v>
      </c>
      <c r="F116" s="5">
        <v>144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1.27965</v>
      </c>
      <c r="F117" s="5">
        <v>134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1.2806999999999999</v>
      </c>
      <c r="F118" s="5">
        <v>143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1.27599</v>
      </c>
      <c r="F119" s="5">
        <v>148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1.27694</v>
      </c>
      <c r="F120" s="5">
        <v>144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4348.0289499999999</v>
      </c>
      <c r="E121" s="5">
        <v>2.0131700000000001</v>
      </c>
      <c r="F121" s="5">
        <v>70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4348.0289499999999</v>
      </c>
      <c r="E122" s="5">
        <v>2.01153</v>
      </c>
      <c r="F122" s="5">
        <v>72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4348.0289499999999</v>
      </c>
      <c r="E123" s="5">
        <v>1.99352</v>
      </c>
      <c r="F123" s="5">
        <v>68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4348.0289499999999</v>
      </c>
      <c r="E124" s="5">
        <v>2.0032100000000002</v>
      </c>
      <c r="F124" s="5">
        <v>72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4348.0289499999999</v>
      </c>
      <c r="E125" s="5">
        <v>2.0149499999999998</v>
      </c>
      <c r="F125" s="5">
        <v>71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4348.0289499999999</v>
      </c>
      <c r="E126" s="5">
        <v>2.0030899999999998</v>
      </c>
      <c r="F126" s="5">
        <v>72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2.00685</v>
      </c>
      <c r="F127" s="5">
        <v>70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2.0009100000000002</v>
      </c>
      <c r="F128" s="5">
        <v>72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2.0117099999999999</v>
      </c>
      <c r="F129" s="5">
        <v>71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4348.0289499999999</v>
      </c>
      <c r="E130" s="5">
        <v>1.99119</v>
      </c>
      <c r="F130" s="5">
        <v>71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2.8765200000000002</v>
      </c>
      <c r="F131" s="5">
        <v>98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2.8703400000000001</v>
      </c>
      <c r="F132" s="5">
        <v>97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2.8804699999999999</v>
      </c>
      <c r="F133" s="5">
        <v>101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2.8680599999999998</v>
      </c>
      <c r="F134" s="5">
        <v>98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2.8627199999999999</v>
      </c>
      <c r="F135" s="5">
        <v>98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2.8691200000000001</v>
      </c>
      <c r="F136" s="5">
        <v>100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2.8690799999999999</v>
      </c>
      <c r="F137" s="5">
        <v>99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2.8817599999999999</v>
      </c>
      <c r="F138" s="5">
        <v>98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2.86795</v>
      </c>
      <c r="F139" s="5">
        <v>98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2.8828399999999998</v>
      </c>
      <c r="F140" s="5">
        <v>101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3.5224099999999998</v>
      </c>
      <c r="F141" s="5">
        <v>120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3.5154200000000002</v>
      </c>
      <c r="F142" s="5">
        <v>121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3.5152199999999998</v>
      </c>
      <c r="F143" s="5">
        <v>119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3.5259999999999998</v>
      </c>
      <c r="F144" s="5">
        <v>120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3.5131700000000001</v>
      </c>
      <c r="F145" s="5">
        <v>119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3.5191599999999998</v>
      </c>
      <c r="F146" s="5">
        <v>122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3.5332300000000001</v>
      </c>
      <c r="F147" s="5">
        <v>120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3.5335800000000002</v>
      </c>
      <c r="F148" s="5">
        <v>121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3.5182500000000001</v>
      </c>
      <c r="F149" s="5">
        <v>118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3.5308899999999999</v>
      </c>
      <c r="F150" s="5">
        <v>121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42987.644590000004</v>
      </c>
      <c r="E151" s="5">
        <v>4.9312699999999996</v>
      </c>
      <c r="F151" s="5">
        <v>40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42986.403050000001</v>
      </c>
      <c r="E152" s="5">
        <v>4.9145000000000003</v>
      </c>
      <c r="F152" s="5">
        <v>40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42986.836920000002</v>
      </c>
      <c r="E153" s="5">
        <v>4.9833499999999997</v>
      </c>
      <c r="F153" s="5">
        <v>41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42986.853589999999</v>
      </c>
      <c r="E154" s="5">
        <v>4.9946999999999999</v>
      </c>
      <c r="F154" s="5">
        <v>41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42986.853589999999</v>
      </c>
      <c r="E155" s="5">
        <v>4.8931199999999997</v>
      </c>
      <c r="F155" s="5">
        <v>40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42988.363890000001</v>
      </c>
      <c r="E156" s="5">
        <v>4.9164000000000003</v>
      </c>
      <c r="F156" s="5">
        <v>40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42986.403050000001</v>
      </c>
      <c r="E157" s="5">
        <v>4.9161200000000003</v>
      </c>
      <c r="F157" s="5">
        <v>40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42987.644590000004</v>
      </c>
      <c r="E158" s="5">
        <v>4.8935500000000003</v>
      </c>
      <c r="F158" s="5">
        <v>40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42986.853589999999</v>
      </c>
      <c r="E159" s="5">
        <v>4.8886000000000003</v>
      </c>
      <c r="F159" s="5">
        <v>40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42987.297890000002</v>
      </c>
      <c r="E160" s="5">
        <v>4.89785</v>
      </c>
      <c r="F160" s="5">
        <v>40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35865.139309999999</v>
      </c>
      <c r="E161" s="5">
        <v>12.70635</v>
      </c>
      <c r="F161" s="5">
        <v>98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35927.539109999998</v>
      </c>
      <c r="E162" s="5">
        <v>12.69857</v>
      </c>
      <c r="F162" s="5">
        <v>99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35636.25664</v>
      </c>
      <c r="E163" s="5">
        <v>12.71392</v>
      </c>
      <c r="F163" s="5">
        <v>98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35763.703780000003</v>
      </c>
      <c r="E164" s="5">
        <v>12.744680000000001</v>
      </c>
      <c r="F164" s="5">
        <v>99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35778.824690000001</v>
      </c>
      <c r="E165" s="5">
        <v>12.73146</v>
      </c>
      <c r="F165" s="5">
        <v>99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35755.20104</v>
      </c>
      <c r="E166" s="5">
        <v>12.776999999999999</v>
      </c>
      <c r="F166" s="5">
        <v>99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35432.165800000002</v>
      </c>
      <c r="E167" s="5">
        <v>12.744249999999999</v>
      </c>
      <c r="F167" s="5">
        <v>99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35810.017310000003</v>
      </c>
      <c r="E168" s="5">
        <v>12.72663</v>
      </c>
      <c r="F168" s="5">
        <v>99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35808.26539</v>
      </c>
      <c r="E169" s="5">
        <v>12.786659999999999</v>
      </c>
      <c r="F169" s="5">
        <v>99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35821.731039999999</v>
      </c>
      <c r="E170" s="5">
        <v>12.784230000000001</v>
      </c>
      <c r="F170" s="5">
        <v>100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35407.410000000003</v>
      </c>
      <c r="E171" s="5">
        <v>28.492360000000001</v>
      </c>
      <c r="F171" s="5">
        <v>222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35273.342779999999</v>
      </c>
      <c r="E172" s="5">
        <v>28.503979999999999</v>
      </c>
      <c r="F172" s="5">
        <v>227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35463.487800000003</v>
      </c>
      <c r="E173" s="5">
        <v>28.515039999999999</v>
      </c>
      <c r="F173" s="5">
        <v>223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35227.56</v>
      </c>
      <c r="E174" s="5">
        <v>28.494230000000002</v>
      </c>
      <c r="F174" s="5">
        <v>228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35330.640189999998</v>
      </c>
      <c r="E175" s="5">
        <v>28.545380000000002</v>
      </c>
      <c r="F175" s="5">
        <v>226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35241.760000000002</v>
      </c>
      <c r="E176" s="5">
        <v>28.51801</v>
      </c>
      <c r="F176" s="5">
        <v>225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35332.118719999999</v>
      </c>
      <c r="E177" s="5">
        <v>28.522939999999998</v>
      </c>
      <c r="F177" s="5">
        <v>222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35220.976669999996</v>
      </c>
      <c r="E178" s="5">
        <v>28.50665</v>
      </c>
      <c r="F178" s="5">
        <v>234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35224.461430000003</v>
      </c>
      <c r="E179" s="5">
        <v>28.542929999999998</v>
      </c>
      <c r="F179" s="5">
        <v>229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35242.253859999997</v>
      </c>
      <c r="E180" s="5">
        <v>28.570440000000001</v>
      </c>
      <c r="F180" s="5">
        <v>231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0.73111000000000004</v>
      </c>
      <c r="F181" s="5">
        <v>56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0.73162000000000005</v>
      </c>
      <c r="F182" s="5">
        <v>58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0.73394999999999999</v>
      </c>
      <c r="F183" s="5">
        <v>58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0.73260999999999998</v>
      </c>
      <c r="F184" s="5">
        <v>57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0.73379000000000005</v>
      </c>
      <c r="F185" s="5">
        <v>53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0.73619999999999997</v>
      </c>
      <c r="F186" s="5">
        <v>57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0.73799000000000003</v>
      </c>
      <c r="F187" s="5">
        <v>58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0.74068000000000001</v>
      </c>
      <c r="F188" s="5">
        <v>58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0.73031999999999997</v>
      </c>
      <c r="F189" s="5">
        <v>56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0.73180999999999996</v>
      </c>
      <c r="F190" s="5">
        <v>51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675.36989000000005</v>
      </c>
      <c r="E191" s="5">
        <v>1.15761</v>
      </c>
      <c r="F191" s="5">
        <v>78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675.36989000000005</v>
      </c>
      <c r="E192" s="5">
        <v>1.14025</v>
      </c>
      <c r="F192" s="5">
        <v>88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675.36989000000005</v>
      </c>
      <c r="E193" s="5">
        <v>1.1386000000000001</v>
      </c>
      <c r="F193" s="5">
        <v>88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675.36581000000001</v>
      </c>
      <c r="E194" s="5">
        <v>1.1415900000000001</v>
      </c>
      <c r="F194" s="5">
        <v>88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675.36989000000005</v>
      </c>
      <c r="E195" s="5">
        <v>1.1408499999999999</v>
      </c>
      <c r="F195" s="5">
        <v>83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675.47965999999997</v>
      </c>
      <c r="E196" s="5">
        <v>1.13506</v>
      </c>
      <c r="F196" s="5">
        <v>88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675.36989000000005</v>
      </c>
      <c r="E197" s="5">
        <v>1.1364799999999999</v>
      </c>
      <c r="F197" s="5">
        <v>86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675.36989000000005</v>
      </c>
      <c r="E198" s="5">
        <v>1.13879</v>
      </c>
      <c r="F198" s="5">
        <v>88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675.36989000000005</v>
      </c>
      <c r="E199" s="5">
        <v>1.14246</v>
      </c>
      <c r="F199" s="5">
        <v>82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675.36989000000005</v>
      </c>
      <c r="E200" s="5">
        <v>1.1354</v>
      </c>
      <c r="F200" s="5">
        <v>88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657.45713999999998</v>
      </c>
      <c r="E201" s="5">
        <v>2.0692300000000001</v>
      </c>
      <c r="F201" s="5">
        <v>158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657.35562000000004</v>
      </c>
      <c r="E202" s="5">
        <v>2.0723799999999999</v>
      </c>
      <c r="F202" s="5">
        <v>153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655.43295999999998</v>
      </c>
      <c r="E203" s="5">
        <v>2.0757300000000001</v>
      </c>
      <c r="F203" s="5">
        <v>158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655.43295999999998</v>
      </c>
      <c r="E204" s="5">
        <v>2.0745200000000001</v>
      </c>
      <c r="F204" s="5">
        <v>154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655.43907999999999</v>
      </c>
      <c r="E205" s="5">
        <v>2.06894</v>
      </c>
      <c r="F205" s="5">
        <v>156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657.32992999999999</v>
      </c>
      <c r="E206" s="5">
        <v>2.07517</v>
      </c>
      <c r="F206" s="5">
        <v>150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656.43993</v>
      </c>
      <c r="E207" s="5">
        <v>2.07247</v>
      </c>
      <c r="F207" s="5">
        <v>155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657.32380999999998</v>
      </c>
      <c r="E208" s="5">
        <v>2.06664</v>
      </c>
      <c r="F208" s="5">
        <v>152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655.43295999999998</v>
      </c>
      <c r="E209" s="5">
        <v>2.0698400000000001</v>
      </c>
      <c r="F209" s="5">
        <v>154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657.35562000000004</v>
      </c>
      <c r="E210" s="5">
        <v>2.0743200000000002</v>
      </c>
      <c r="F210" s="5">
        <v>149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1459.9687899999999</v>
      </c>
      <c r="E211" s="5">
        <v>1.6113900000000001</v>
      </c>
      <c r="F211" s="5">
        <v>52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1459.9687899999999</v>
      </c>
      <c r="E212" s="5">
        <v>1.58985</v>
      </c>
      <c r="F212" s="5">
        <v>54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1467.0858700000001</v>
      </c>
      <c r="E213" s="5">
        <v>1.5925400000000001</v>
      </c>
      <c r="F213" s="5">
        <v>53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1459.9687899999999</v>
      </c>
      <c r="E214" s="5">
        <v>1.5863499999999999</v>
      </c>
      <c r="F214" s="5">
        <v>55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1459.9687899999999</v>
      </c>
      <c r="E215" s="5">
        <v>1.58694</v>
      </c>
      <c r="F215" s="5">
        <v>55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1459.9687899999999</v>
      </c>
      <c r="E216" s="5">
        <v>1.6012999999999999</v>
      </c>
      <c r="F216" s="5">
        <v>53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1459.9687899999999</v>
      </c>
      <c r="E217" s="5">
        <v>1.60547</v>
      </c>
      <c r="F217" s="5">
        <v>56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1459.9687899999999</v>
      </c>
      <c r="E218" s="5">
        <v>1.5970299999999999</v>
      </c>
      <c r="F218" s="5">
        <v>52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1459.9687899999999</v>
      </c>
      <c r="E219" s="5">
        <v>1.5900399999999999</v>
      </c>
      <c r="F219" s="5">
        <v>53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1459.9687899999999</v>
      </c>
      <c r="E220" s="5">
        <v>1.6076999999999999</v>
      </c>
      <c r="F220" s="5">
        <v>56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1012.75696</v>
      </c>
      <c r="E221" s="5">
        <v>4.5608399999999998</v>
      </c>
      <c r="F221" s="5">
        <v>151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1016.2138</v>
      </c>
      <c r="E222" s="5">
        <v>4.56548</v>
      </c>
      <c r="F222" s="5">
        <v>152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1022.74757</v>
      </c>
      <c r="E223" s="5">
        <v>4.5514999999999999</v>
      </c>
      <c r="F223" s="5">
        <v>152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1010.83179</v>
      </c>
      <c r="E224" s="5">
        <v>4.56534</v>
      </c>
      <c r="F224" s="5">
        <v>152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1023.28559</v>
      </c>
      <c r="E225" s="5">
        <v>4.5556799999999997</v>
      </c>
      <c r="F225" s="5">
        <v>147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1010.24392</v>
      </c>
      <c r="E226" s="5">
        <v>4.5501300000000002</v>
      </c>
      <c r="F226" s="5">
        <v>151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1010.37742</v>
      </c>
      <c r="E227" s="5">
        <v>4.5533299999999999</v>
      </c>
      <c r="F227" s="5">
        <v>153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1017.85237</v>
      </c>
      <c r="E228" s="5">
        <v>4.5416499999999997</v>
      </c>
      <c r="F228" s="5">
        <v>153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1016.01803</v>
      </c>
      <c r="E229" s="5">
        <v>4.5623100000000001</v>
      </c>
      <c r="F229" s="5">
        <v>154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1023.88533</v>
      </c>
      <c r="E230" s="5">
        <v>4.5490700000000004</v>
      </c>
      <c r="F230" s="5">
        <v>153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996.50333000000001</v>
      </c>
      <c r="E231" s="5">
        <v>8.4102499999999996</v>
      </c>
      <c r="F231" s="5">
        <v>273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998.97208000000001</v>
      </c>
      <c r="E232" s="5">
        <v>8.4264100000000006</v>
      </c>
      <c r="F232" s="5">
        <v>272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991.85594000000003</v>
      </c>
      <c r="E233" s="5">
        <v>8.3959299999999999</v>
      </c>
      <c r="F233" s="5">
        <v>270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1001.64358</v>
      </c>
      <c r="E234" s="5">
        <v>8.3887199999999993</v>
      </c>
      <c r="F234" s="5">
        <v>275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1004.03153</v>
      </c>
      <c r="E235" s="5">
        <v>8.4121600000000001</v>
      </c>
      <c r="F235" s="5">
        <v>275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997.95699999999999</v>
      </c>
      <c r="E236" s="5">
        <v>8.3902900000000002</v>
      </c>
      <c r="F236" s="5">
        <v>272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996.09</v>
      </c>
      <c r="E237" s="5">
        <v>8.4079099999999993</v>
      </c>
      <c r="F237" s="5">
        <v>274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1001.4433299999999</v>
      </c>
      <c r="E238" s="5">
        <v>8.4205799999999993</v>
      </c>
      <c r="F238" s="5">
        <v>275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996.21624999999995</v>
      </c>
      <c r="E239" s="5">
        <v>8.4028799999999997</v>
      </c>
      <c r="F239" s="5">
        <v>273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996.58186000000001</v>
      </c>
      <c r="E240" s="5">
        <v>8.3954699999999995</v>
      </c>
      <c r="F240" s="5">
        <v>271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1874.0319400000001</v>
      </c>
      <c r="E241" s="5">
        <v>5.1237500000000002</v>
      </c>
      <c r="F241" s="5">
        <v>46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1843.2534000000001</v>
      </c>
      <c r="E242" s="5">
        <v>5.1164699999999996</v>
      </c>
      <c r="F242" s="5">
        <v>46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1810.97848</v>
      </c>
      <c r="E243" s="5">
        <v>5.1080800000000002</v>
      </c>
      <c r="F243" s="5">
        <v>46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1838.1804500000001</v>
      </c>
      <c r="E244" s="5">
        <v>5.0636799999999997</v>
      </c>
      <c r="F244" s="5">
        <v>45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1856.8761400000001</v>
      </c>
      <c r="E245" s="5">
        <v>5.1193900000000001</v>
      </c>
      <c r="F245" s="5">
        <v>46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1869.3867499999999</v>
      </c>
      <c r="E246" s="5">
        <v>5.1209300000000004</v>
      </c>
      <c r="F246" s="5">
        <v>46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1824.3231800000001</v>
      </c>
      <c r="E247" s="5">
        <v>5.1000100000000002</v>
      </c>
      <c r="F247" s="5">
        <v>46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1856.5278499999999</v>
      </c>
      <c r="E248" s="5">
        <v>5.1536900000000001</v>
      </c>
      <c r="F248" s="5">
        <v>46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1860.1424500000001</v>
      </c>
      <c r="E249" s="5">
        <v>5.1277699999999999</v>
      </c>
      <c r="F249" s="5">
        <v>46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1864.6474599999999</v>
      </c>
      <c r="E250" s="5">
        <v>5.1265499999999999</v>
      </c>
      <c r="F250" s="5">
        <v>46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1792.6940199999999</v>
      </c>
      <c r="E251" s="5">
        <v>9.4091500000000003</v>
      </c>
      <c r="F251" s="5">
        <v>81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1786.6894400000001</v>
      </c>
      <c r="E252" s="5">
        <v>9.4558700000000009</v>
      </c>
      <c r="F252" s="5">
        <v>82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1785.79152</v>
      </c>
      <c r="E253" s="5">
        <v>9.3818800000000007</v>
      </c>
      <c r="F253" s="5">
        <v>81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1803.1161</v>
      </c>
      <c r="E254" s="5">
        <v>9.4085400000000003</v>
      </c>
      <c r="F254" s="5">
        <v>81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1795.97667</v>
      </c>
      <c r="E255" s="5">
        <v>9.3733000000000004</v>
      </c>
      <c r="F255" s="5">
        <v>81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1795.8291899999999</v>
      </c>
      <c r="E256" s="5">
        <v>9.4268099999999997</v>
      </c>
      <c r="F256" s="5">
        <v>82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1799.8390999999999</v>
      </c>
      <c r="E257" s="5">
        <v>9.3966799999999999</v>
      </c>
      <c r="F257" s="5">
        <v>82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1798.9752000000001</v>
      </c>
      <c r="E258" s="5">
        <v>9.4354700000000005</v>
      </c>
      <c r="F258" s="5">
        <v>82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1802.8106299999999</v>
      </c>
      <c r="E259" s="5">
        <v>9.45716</v>
      </c>
      <c r="F259" s="5">
        <v>82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1793.3214</v>
      </c>
      <c r="E260" s="5">
        <v>9.4304199999999998</v>
      </c>
      <c r="F260" s="5">
        <v>81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1758.85025</v>
      </c>
      <c r="E261" s="5">
        <v>15.36713</v>
      </c>
      <c r="F261" s="5">
        <v>131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1758.78333</v>
      </c>
      <c r="E262" s="5">
        <v>15.345549999999999</v>
      </c>
      <c r="F262" s="5">
        <v>131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1757.36</v>
      </c>
      <c r="E263" s="5">
        <v>15.39456</v>
      </c>
      <c r="F263" s="5">
        <v>131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1755.5498</v>
      </c>
      <c r="E264" s="5">
        <v>15.43384</v>
      </c>
      <c r="F264" s="5">
        <v>132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1757.0919100000001</v>
      </c>
      <c r="E265" s="5">
        <v>15.34689</v>
      </c>
      <c r="F265" s="5">
        <v>132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1757.70667</v>
      </c>
      <c r="E266" s="5">
        <v>15.392709999999999</v>
      </c>
      <c r="F266" s="5">
        <v>132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1756.1266700000001</v>
      </c>
      <c r="E267" s="5">
        <v>15.416679999999999</v>
      </c>
      <c r="F267" s="5">
        <v>131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1757.38652</v>
      </c>
      <c r="E268" s="5">
        <v>15.40784</v>
      </c>
      <c r="F268" s="5">
        <v>132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1755.68226</v>
      </c>
      <c r="E269" s="5">
        <v>15.34013</v>
      </c>
      <c r="F269" s="5">
        <v>131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1758.8166699999999</v>
      </c>
      <c r="E270" s="5">
        <v>15.42869</v>
      </c>
      <c r="F270" s="5">
        <v>131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41.318849999999998</v>
      </c>
      <c r="E271" s="5">
        <v>0.58814</v>
      </c>
      <c r="F271" s="5">
        <v>48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41.083060000000003</v>
      </c>
      <c r="E272" s="5">
        <v>0.59023999999999999</v>
      </c>
      <c r="F272" s="5">
        <v>49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41.318849999999998</v>
      </c>
      <c r="E273" s="5">
        <v>0.59265999999999996</v>
      </c>
      <c r="F273" s="5">
        <v>54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41.318849999999998</v>
      </c>
      <c r="E274" s="5">
        <v>0.58686000000000005</v>
      </c>
      <c r="F274" s="5">
        <v>53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41.318849999999998</v>
      </c>
      <c r="E275" s="5">
        <v>0.58499999999999996</v>
      </c>
      <c r="F275" s="5">
        <v>53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41.318849999999998</v>
      </c>
      <c r="E276" s="5">
        <v>0.59162999999999999</v>
      </c>
      <c r="F276" s="5">
        <v>53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41.318849999999998</v>
      </c>
      <c r="E277" s="5">
        <v>0.59009</v>
      </c>
      <c r="F277" s="5">
        <v>54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41.318849999999998</v>
      </c>
      <c r="E278" s="5">
        <v>0.5867</v>
      </c>
      <c r="F278" s="5">
        <v>47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42.424349999999997</v>
      </c>
      <c r="E279" s="5">
        <v>0.58521999999999996</v>
      </c>
      <c r="F279" s="5">
        <v>54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41.318849999999998</v>
      </c>
      <c r="E280" s="5">
        <v>0.58947000000000005</v>
      </c>
      <c r="F280" s="5">
        <v>54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0.87590999999999997</v>
      </c>
      <c r="F281" s="5">
        <v>85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0.88071999999999995</v>
      </c>
      <c r="F282" s="5">
        <v>90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28.65436</v>
      </c>
      <c r="E283" s="5">
        <v>0.87487000000000004</v>
      </c>
      <c r="F283" s="5">
        <v>89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0.87558000000000002</v>
      </c>
      <c r="F284" s="5">
        <v>84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0.87444999999999995</v>
      </c>
      <c r="F285" s="5">
        <v>87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28.65436</v>
      </c>
      <c r="E286" s="5">
        <v>0.87875999999999999</v>
      </c>
      <c r="F286" s="5">
        <v>91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28.65436</v>
      </c>
      <c r="E287" s="5">
        <v>0.87661999999999995</v>
      </c>
      <c r="F287" s="5">
        <v>90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0.87541999999999998</v>
      </c>
      <c r="F288" s="5">
        <v>90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28.65436</v>
      </c>
      <c r="E289" s="5">
        <v>0.87821000000000005</v>
      </c>
      <c r="F289" s="5">
        <v>81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0.87826000000000004</v>
      </c>
      <c r="F290" s="5">
        <v>89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28.592030000000001</v>
      </c>
      <c r="E291" s="5">
        <v>1.13609</v>
      </c>
      <c r="F291" s="5">
        <v>104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28.592030000000001</v>
      </c>
      <c r="E292" s="5">
        <v>1.1325400000000001</v>
      </c>
      <c r="F292" s="5">
        <v>100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28.595680000000002</v>
      </c>
      <c r="E293" s="5">
        <v>1.1349800000000001</v>
      </c>
      <c r="F293" s="5">
        <v>108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28.587009999999999</v>
      </c>
      <c r="E294" s="5">
        <v>1.13161</v>
      </c>
      <c r="F294" s="5">
        <v>108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28.592030000000001</v>
      </c>
      <c r="E295" s="5">
        <v>1.13863</v>
      </c>
      <c r="F295" s="5">
        <v>111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28.592030000000001</v>
      </c>
      <c r="E296" s="5">
        <v>1.1365400000000001</v>
      </c>
      <c r="F296" s="5">
        <v>102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28.587009999999999</v>
      </c>
      <c r="E297" s="5">
        <v>1.1385700000000001</v>
      </c>
      <c r="F297" s="5">
        <v>115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28.587009999999999</v>
      </c>
      <c r="E298" s="5">
        <v>1.1382399999999999</v>
      </c>
      <c r="F298" s="5">
        <v>112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28.514099999999999</v>
      </c>
      <c r="E299" s="5">
        <v>1.1332500000000001</v>
      </c>
      <c r="F299" s="5">
        <v>106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28.592030000000001</v>
      </c>
      <c r="E300" s="5">
        <v>1.1317900000000001</v>
      </c>
      <c r="F300" s="5">
        <v>113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59.059829999999998</v>
      </c>
      <c r="E301" s="5">
        <v>1.9271199999999999</v>
      </c>
      <c r="F301" s="5">
        <v>60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58.902329999999999</v>
      </c>
      <c r="E302" s="5">
        <v>1.9354</v>
      </c>
      <c r="F302" s="5">
        <v>63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59.202849999999998</v>
      </c>
      <c r="E303" s="5">
        <v>1.9225399999999999</v>
      </c>
      <c r="F303" s="5">
        <v>61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58.818269999999998</v>
      </c>
      <c r="E304" s="5">
        <v>1.9387799999999999</v>
      </c>
      <c r="F304" s="5">
        <v>64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58.431280000000001</v>
      </c>
      <c r="E305" s="5">
        <v>1.9294800000000001</v>
      </c>
      <c r="F305" s="5">
        <v>61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59.061019999999999</v>
      </c>
      <c r="E306" s="5">
        <v>1.93885</v>
      </c>
      <c r="F306" s="5">
        <v>64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56.78134</v>
      </c>
      <c r="E307" s="5">
        <v>1.9447300000000001</v>
      </c>
      <c r="F307" s="5">
        <v>62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56.971339999999998</v>
      </c>
      <c r="E308" s="5">
        <v>1.9341299999999999</v>
      </c>
      <c r="F308" s="5">
        <v>64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56.901339999999998</v>
      </c>
      <c r="E309" s="5">
        <v>1.9325000000000001</v>
      </c>
      <c r="F309" s="5">
        <v>61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59.09102</v>
      </c>
      <c r="E310" s="5">
        <v>1.9332199999999999</v>
      </c>
      <c r="F310" s="5">
        <v>64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53.722749999999998</v>
      </c>
      <c r="E311" s="5">
        <v>3.76092</v>
      </c>
      <c r="F311" s="5">
        <v>116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53.595599999999997</v>
      </c>
      <c r="E312" s="5">
        <v>3.7578900000000002</v>
      </c>
      <c r="F312" s="5">
        <v>119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53.60275</v>
      </c>
      <c r="E313" s="5">
        <v>3.7559900000000002</v>
      </c>
      <c r="F313" s="5">
        <v>119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53.275599999999997</v>
      </c>
      <c r="E314" s="5">
        <v>3.7681499999999999</v>
      </c>
      <c r="F314" s="5">
        <v>118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53.285600000000002</v>
      </c>
      <c r="E315" s="5">
        <v>3.754</v>
      </c>
      <c r="F315" s="5">
        <v>119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53.60266</v>
      </c>
      <c r="E316" s="5">
        <v>3.7629700000000001</v>
      </c>
      <c r="F316" s="5">
        <v>117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53.746079999999999</v>
      </c>
      <c r="E317" s="5">
        <v>3.76417</v>
      </c>
      <c r="F317" s="5">
        <v>117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53.692749999999997</v>
      </c>
      <c r="E318" s="5">
        <v>3.7606099999999998</v>
      </c>
      <c r="F318" s="5">
        <v>120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53.536079999999998</v>
      </c>
      <c r="E319" s="5">
        <v>3.7656100000000001</v>
      </c>
      <c r="F319" s="5">
        <v>119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53.786079999999998</v>
      </c>
      <c r="E320" s="5">
        <v>3.7598199999999999</v>
      </c>
      <c r="F320" s="5">
        <v>116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53.097490000000001</v>
      </c>
      <c r="E321" s="5">
        <v>6.0777099999999997</v>
      </c>
      <c r="F321" s="5">
        <v>181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53.145600000000002</v>
      </c>
      <c r="E322" s="5">
        <v>6.09694</v>
      </c>
      <c r="F322" s="5">
        <v>183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53.231479999999998</v>
      </c>
      <c r="E323" s="5">
        <v>6.0804299999999998</v>
      </c>
      <c r="F323" s="5">
        <v>181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53.217489999999998</v>
      </c>
      <c r="E324" s="5">
        <v>6.08026</v>
      </c>
      <c r="F324" s="5">
        <v>183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53.538319999999999</v>
      </c>
      <c r="E325" s="5">
        <v>6.0912899999999999</v>
      </c>
      <c r="F325" s="5">
        <v>182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53.003740000000001</v>
      </c>
      <c r="E326" s="5">
        <v>6.0836699999999997</v>
      </c>
      <c r="F326" s="5">
        <v>184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53.507489999999997</v>
      </c>
      <c r="E327" s="5">
        <v>6.0960799999999997</v>
      </c>
      <c r="F327" s="5">
        <v>184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53.297490000000003</v>
      </c>
      <c r="E328" s="5">
        <v>6.1003499999999997</v>
      </c>
      <c r="F328" s="5">
        <v>182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53.097490000000001</v>
      </c>
      <c r="E329" s="5">
        <v>6.0818300000000001</v>
      </c>
      <c r="F329" s="5">
        <v>184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53.447490000000002</v>
      </c>
      <c r="E330" s="5">
        <v>6.0808099999999996</v>
      </c>
      <c r="F330" s="5">
        <v>182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148.31653</v>
      </c>
      <c r="E331" s="5">
        <v>7.0721800000000004</v>
      </c>
      <c r="F331" s="5">
        <v>60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148.17481000000001</v>
      </c>
      <c r="E332" s="5">
        <v>7.1218500000000002</v>
      </c>
      <c r="F332" s="5">
        <v>62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149.03249</v>
      </c>
      <c r="E333" s="5">
        <v>7.0735200000000003</v>
      </c>
      <c r="F333" s="5">
        <v>60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148.27234999999999</v>
      </c>
      <c r="E334" s="5">
        <v>7.0778800000000004</v>
      </c>
      <c r="F334" s="5">
        <v>61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148.22403</v>
      </c>
      <c r="E335" s="5">
        <v>7.0861999999999998</v>
      </c>
      <c r="F335" s="5">
        <v>61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148.24198999999999</v>
      </c>
      <c r="E336" s="5">
        <v>7.0810599999999999</v>
      </c>
      <c r="F336" s="5">
        <v>61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148.25486000000001</v>
      </c>
      <c r="E337" s="5">
        <v>7.0705</v>
      </c>
      <c r="F337" s="5">
        <v>61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148.39394999999999</v>
      </c>
      <c r="E338" s="5">
        <v>7.0634699999999997</v>
      </c>
      <c r="F338" s="5">
        <v>61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148.30403000000001</v>
      </c>
      <c r="E339" s="5">
        <v>7.1017400000000004</v>
      </c>
      <c r="F339" s="5">
        <v>61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148.22811999999999</v>
      </c>
      <c r="E340" s="5">
        <v>7.0308099999999998</v>
      </c>
      <c r="F340" s="5">
        <v>60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108.22418999999999</v>
      </c>
      <c r="E341" s="5">
        <v>16.805620000000001</v>
      </c>
      <c r="F341" s="5">
        <v>139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108.06829999999999</v>
      </c>
      <c r="E342" s="5">
        <v>16.86655</v>
      </c>
      <c r="F342" s="5">
        <v>139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108.35614</v>
      </c>
      <c r="E343" s="5">
        <v>16.882069999999999</v>
      </c>
      <c r="F343" s="5">
        <v>140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108.25928</v>
      </c>
      <c r="E344" s="5">
        <v>16.80574</v>
      </c>
      <c r="F344" s="5">
        <v>139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107.28163000000001</v>
      </c>
      <c r="E345" s="5">
        <v>16.876919999999998</v>
      </c>
      <c r="F345" s="5">
        <v>139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108.28614</v>
      </c>
      <c r="E346" s="5">
        <v>16.82742</v>
      </c>
      <c r="F346" s="5">
        <v>139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108.95609</v>
      </c>
      <c r="E347" s="5">
        <v>16.876100000000001</v>
      </c>
      <c r="F347" s="5">
        <v>140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108.20496</v>
      </c>
      <c r="E348" s="5">
        <v>16.81409</v>
      </c>
      <c r="F348" s="5">
        <v>139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108.0608</v>
      </c>
      <c r="E349" s="5">
        <v>16.81005</v>
      </c>
      <c r="F349" s="5">
        <v>140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108.2501</v>
      </c>
      <c r="E350" s="5">
        <v>16.8535</v>
      </c>
      <c r="F350" s="5">
        <v>141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104.0167</v>
      </c>
      <c r="E351" s="5">
        <v>29.41686</v>
      </c>
      <c r="F351" s="5">
        <v>236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103.96329</v>
      </c>
      <c r="E352" s="5">
        <v>29.376339999999999</v>
      </c>
      <c r="F352" s="5">
        <v>238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103.63163</v>
      </c>
      <c r="E353" s="5">
        <v>29.336939999999998</v>
      </c>
      <c r="F353" s="5">
        <v>236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103.96247</v>
      </c>
      <c r="E354" s="5">
        <v>29.420179999999998</v>
      </c>
      <c r="F354" s="5">
        <v>239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103.74253</v>
      </c>
      <c r="E355" s="5">
        <v>29.427959999999999</v>
      </c>
      <c r="F355" s="5">
        <v>237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103.49359</v>
      </c>
      <c r="E356" s="5">
        <v>29.434090000000001</v>
      </c>
      <c r="F356" s="5">
        <v>238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103.99413</v>
      </c>
      <c r="E357" s="5">
        <v>29.385100000000001</v>
      </c>
      <c r="F357" s="5">
        <v>238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103.94419000000001</v>
      </c>
      <c r="E358" s="5">
        <v>29.381129999999999</v>
      </c>
      <c r="F358" s="5">
        <v>238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103.88757</v>
      </c>
      <c r="E359" s="5">
        <v>29.392720000000001</v>
      </c>
      <c r="F359" s="5">
        <v>238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104.02663</v>
      </c>
      <c r="E360" s="5">
        <v>29.42698</v>
      </c>
      <c r="F360" s="5">
        <v>239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0.54954999999999998</v>
      </c>
      <c r="F361" s="5">
        <v>41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0.54274</v>
      </c>
      <c r="F362" s="5">
        <v>38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0.55030999999999997</v>
      </c>
      <c r="F363" s="5">
        <v>43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0.54405999999999999</v>
      </c>
      <c r="F364" s="5">
        <v>42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0.54227000000000003</v>
      </c>
      <c r="F365" s="5">
        <v>42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0.54971999999999999</v>
      </c>
      <c r="F366" s="5">
        <v>43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0.54551000000000005</v>
      </c>
      <c r="F367" s="5">
        <v>42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0.54440999999999995</v>
      </c>
      <c r="F368" s="5">
        <v>37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0.54479</v>
      </c>
      <c r="F369" s="5">
        <v>42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0.54744000000000004</v>
      </c>
      <c r="F370" s="5">
        <v>42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0.87504999999999999</v>
      </c>
      <c r="F371" s="5">
        <v>59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0.88092999999999999</v>
      </c>
      <c r="F372" s="5">
        <v>70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0.87392999999999998</v>
      </c>
      <c r="F373" s="5">
        <v>68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0.88088999999999995</v>
      </c>
      <c r="F374" s="5">
        <v>69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0.87587000000000004</v>
      </c>
      <c r="F375" s="5">
        <v>70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0.87685000000000002</v>
      </c>
      <c r="F376" s="5">
        <v>64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0.87646999999999997</v>
      </c>
      <c r="F377" s="5">
        <v>69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0.87377000000000005</v>
      </c>
      <c r="F378" s="5">
        <v>69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0.87563999999999997</v>
      </c>
      <c r="F379" s="5">
        <v>69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0.87361</v>
      </c>
      <c r="F380" s="5">
        <v>69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1.1507700000000001</v>
      </c>
      <c r="F381" s="5">
        <v>86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1.1553</v>
      </c>
      <c r="F382" s="5">
        <v>85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1.1565399999999999</v>
      </c>
      <c r="F383" s="5">
        <v>91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1.15263</v>
      </c>
      <c r="F384" s="5">
        <v>90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1.1552899999999999</v>
      </c>
      <c r="F385" s="5">
        <v>87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1.1489799999999999</v>
      </c>
      <c r="F386" s="5">
        <v>90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1.1525399999999999</v>
      </c>
      <c r="F387" s="5">
        <v>90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1.15584</v>
      </c>
      <c r="F388" s="5">
        <v>91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1.1499999999999999</v>
      </c>
      <c r="F389" s="5">
        <v>85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1.15585</v>
      </c>
      <c r="F390" s="5">
        <v>91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1.13595</v>
      </c>
      <c r="F391" s="5">
        <v>27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1.13296</v>
      </c>
      <c r="F392" s="5">
        <v>28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1.11538</v>
      </c>
      <c r="F393" s="5">
        <v>26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1.12873</v>
      </c>
      <c r="F394" s="5">
        <v>28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1.1246700000000001</v>
      </c>
      <c r="F395" s="5">
        <v>28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1.12707</v>
      </c>
      <c r="F396" s="5">
        <v>28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1.13245</v>
      </c>
      <c r="F397" s="5">
        <v>27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1.12768</v>
      </c>
      <c r="F398" s="5">
        <v>28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1.12616</v>
      </c>
      <c r="F399" s="5">
        <v>28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1.1639200000000001</v>
      </c>
      <c r="F400" s="5">
        <v>27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2.5125500000000001</v>
      </c>
      <c r="F401" s="5">
        <v>61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2.51248</v>
      </c>
      <c r="F402" s="5">
        <v>61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2.51003</v>
      </c>
      <c r="F403" s="5">
        <v>62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2.4935999999999998</v>
      </c>
      <c r="F404" s="5">
        <v>60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2.5181</v>
      </c>
      <c r="F405" s="5">
        <v>61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2.4981399999999998</v>
      </c>
      <c r="F406" s="5">
        <v>61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2.4929899999999998</v>
      </c>
      <c r="F407" s="5">
        <v>60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2.5081099999999998</v>
      </c>
      <c r="F408" s="5">
        <v>62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2.5059200000000001</v>
      </c>
      <c r="F409" s="5">
        <v>61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2.51335</v>
      </c>
      <c r="F410" s="5">
        <v>60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2.7533300000000001</v>
      </c>
      <c r="F411" s="5">
        <v>65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2.7281599999999999</v>
      </c>
      <c r="F412" s="5">
        <v>66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2.7281300000000002</v>
      </c>
      <c r="F413" s="5">
        <v>65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2.7336399999999998</v>
      </c>
      <c r="F414" s="5">
        <v>65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2.7471299999999998</v>
      </c>
      <c r="F415" s="5">
        <v>67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2.74356</v>
      </c>
      <c r="F416" s="5">
        <v>65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2.7410100000000002</v>
      </c>
      <c r="F417" s="5">
        <v>66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2.73766</v>
      </c>
      <c r="F418" s="5">
        <v>66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2.74288</v>
      </c>
      <c r="F419" s="5">
        <v>65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2.7433299999999998</v>
      </c>
      <c r="F420" s="5">
        <v>66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2.9848300000000001</v>
      </c>
      <c r="F421" s="5">
        <v>27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3.01593</v>
      </c>
      <c r="F422" s="5">
        <v>28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2.9872999999999998</v>
      </c>
      <c r="F423" s="5">
        <v>28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3.0236399999999999</v>
      </c>
      <c r="F424" s="5">
        <v>28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2.9965700000000002</v>
      </c>
      <c r="F425" s="5">
        <v>28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3.01824</v>
      </c>
      <c r="F426" s="5">
        <v>28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2.98936</v>
      </c>
      <c r="F427" s="5">
        <v>28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3.05308</v>
      </c>
      <c r="F428" s="5">
        <v>28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3.0363799999999999</v>
      </c>
      <c r="F429" s="5">
        <v>28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3.0327700000000002</v>
      </c>
      <c r="F430" s="5">
        <v>28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3.7832599999999998</v>
      </c>
      <c r="F431" s="5">
        <v>34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3.8247499999999999</v>
      </c>
      <c r="F432" s="5">
        <v>35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3.8396699999999999</v>
      </c>
      <c r="F433" s="5">
        <v>35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3.79779</v>
      </c>
      <c r="F434" s="5">
        <v>35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3.80803</v>
      </c>
      <c r="F435" s="5">
        <v>35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3.8564699999999998</v>
      </c>
      <c r="F436" s="5">
        <v>35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3.8562500000000002</v>
      </c>
      <c r="F437" s="5">
        <v>35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3.8341500000000002</v>
      </c>
      <c r="F438" s="5">
        <v>35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3.8649</v>
      </c>
      <c r="F439" s="5">
        <v>35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3.8327499999999999</v>
      </c>
      <c r="F440" s="5">
        <v>35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5.54284</v>
      </c>
      <c r="F441" s="5">
        <v>48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5.4665499999999998</v>
      </c>
      <c r="F442" s="5">
        <v>47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5.5255799999999997</v>
      </c>
      <c r="F443" s="5">
        <v>48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5.4685699999999997</v>
      </c>
      <c r="F444" s="5">
        <v>47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5.4879899999999999</v>
      </c>
      <c r="F445" s="5">
        <v>47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5.55382</v>
      </c>
      <c r="F446" s="5">
        <v>48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5.5429700000000004</v>
      </c>
      <c r="F447" s="5">
        <v>48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5.4991099999999999</v>
      </c>
      <c r="F448" s="5">
        <v>48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5.5429399999999998</v>
      </c>
      <c r="F449" s="5">
        <v>48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5.46746</v>
      </c>
      <c r="F450" s="5">
        <v>47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T1"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0.55449000000000004</v>
      </c>
      <c r="F1" s="5">
        <v>32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0.55254000000000003</v>
      </c>
      <c r="F2" s="5">
        <v>29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0.54413999999999996</v>
      </c>
      <c r="F3" s="5">
        <v>31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170.35004000000001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0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0.55101999999999995</v>
      </c>
      <c r="F4" s="5">
        <v>22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0.59114</v>
      </c>
      <c r="F5" s="5">
        <v>33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0.54625999999999997</v>
      </c>
      <c r="F6" s="5">
        <v>30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0.55513999999999997</v>
      </c>
      <c r="F7" s="5">
        <v>27</v>
      </c>
      <c r="H7" s="5" t="s">
        <v>27</v>
      </c>
      <c r="I7" s="5">
        <v>50</v>
      </c>
      <c r="J7" s="5">
        <v>1</v>
      </c>
      <c r="L7" s="5">
        <f t="shared" ca="1" si="11"/>
        <v>182.34583000000001</v>
      </c>
      <c r="M7" s="5">
        <f t="shared" ca="1" si="0"/>
        <v>182.44635</v>
      </c>
      <c r="N7" s="5">
        <f t="shared" ca="1" si="0"/>
        <v>180.24666999999999</v>
      </c>
      <c r="O7" s="5">
        <f t="shared" ca="1" si="0"/>
        <v>182.34583000000001</v>
      </c>
      <c r="P7" s="5">
        <f t="shared" ca="1" si="0"/>
        <v>182.34583000000001</v>
      </c>
      <c r="Q7" s="5">
        <f t="shared" ca="1" si="0"/>
        <v>181.5967</v>
      </c>
      <c r="R7" s="5">
        <f t="shared" ca="1" si="0"/>
        <v>180.38311999999999</v>
      </c>
      <c r="S7" s="5">
        <f t="shared" ca="1" si="0"/>
        <v>182.34583000000001</v>
      </c>
      <c r="T7" s="5">
        <f t="shared" ca="1" si="0"/>
        <v>181.40834000000001</v>
      </c>
      <c r="U7" s="5">
        <f t="shared" ca="1" si="0"/>
        <v>181.96333000000001</v>
      </c>
      <c r="W7" s="5">
        <f t="shared" ca="1" si="12"/>
        <v>181.74278299999997</v>
      </c>
      <c r="Y7" s="5">
        <f ca="1">Total!E7</f>
        <v>179.67332999999999</v>
      </c>
      <c r="AB7" s="5">
        <f t="shared" ca="1" si="1"/>
        <v>1.4874216446035779E-2</v>
      </c>
      <c r="AC7" s="5">
        <f t="shared" ca="1" si="2"/>
        <v>1.5433676216720659E-2</v>
      </c>
      <c r="AD7" s="5">
        <f t="shared" ca="1" si="3"/>
        <v>3.1910133796707713E-3</v>
      </c>
      <c r="AE7" s="5">
        <f t="shared" ca="1" si="4"/>
        <v>1.4874216446035779E-2</v>
      </c>
      <c r="AF7" s="5">
        <f t="shared" ca="1" si="5"/>
        <v>1.4874216446035779E-2</v>
      </c>
      <c r="AG7" s="5">
        <f t="shared" ca="1" si="6"/>
        <v>1.0704816346421618E-2</v>
      </c>
      <c r="AH7" s="5">
        <f t="shared" ca="1" si="7"/>
        <v>3.9504471810034251E-3</v>
      </c>
      <c r="AI7" s="5">
        <f t="shared" ca="1" si="8"/>
        <v>1.4874216446035779E-2</v>
      </c>
      <c r="AJ7" s="5">
        <f t="shared" ca="1" si="9"/>
        <v>9.6564693268612369E-3</v>
      </c>
      <c r="AK7" s="5">
        <f t="shared" ca="1" si="10"/>
        <v>1.2745352913534916E-2</v>
      </c>
      <c r="AM7" s="5">
        <f t="shared" ca="1" si="13"/>
        <v>0.11517864114835574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0.54866999999999999</v>
      </c>
      <c r="F8" s="5">
        <v>30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0.56145999999999996</v>
      </c>
      <c r="F9" s="5">
        <v>28</v>
      </c>
      <c r="H9" s="5" t="s">
        <v>27</v>
      </c>
      <c r="I9" s="5">
        <v>100</v>
      </c>
      <c r="J9" s="5">
        <v>0.7</v>
      </c>
      <c r="L9" s="5">
        <f t="shared" ca="1" si="11"/>
        <v>256.70184999999998</v>
      </c>
      <c r="M9" s="5">
        <f t="shared" ca="1" si="0"/>
        <v>258.20163000000002</v>
      </c>
      <c r="N9" s="5">
        <f t="shared" ca="1" si="0"/>
        <v>258.61185</v>
      </c>
      <c r="O9" s="5">
        <f t="shared" ca="1" si="0"/>
        <v>259.14519000000001</v>
      </c>
      <c r="P9" s="5">
        <f t="shared" ca="1" si="0"/>
        <v>259.25519000000003</v>
      </c>
      <c r="Q9" s="5">
        <f t="shared" ca="1" si="0"/>
        <v>259.92351000000002</v>
      </c>
      <c r="R9" s="5">
        <f t="shared" ca="1" si="0"/>
        <v>258.17065000000002</v>
      </c>
      <c r="S9" s="5">
        <f t="shared" ca="1" si="0"/>
        <v>258.92851999999999</v>
      </c>
      <c r="T9" s="5">
        <f t="shared" ca="1" si="0"/>
        <v>260.30185</v>
      </c>
      <c r="U9" s="5">
        <f t="shared" ca="1" si="0"/>
        <v>258.70292000000001</v>
      </c>
      <c r="W9" s="5">
        <f t="shared" ca="1" si="12"/>
        <v>258.79431600000004</v>
      </c>
      <c r="Y9" s="5">
        <f ca="1">Total!E9</f>
        <v>255.18879999999999</v>
      </c>
      <c r="AB9" s="5">
        <f t="shared" ca="1" si="1"/>
        <v>5.9291395233646337E-3</v>
      </c>
      <c r="AC9" s="5">
        <f t="shared" ca="1" si="2"/>
        <v>1.1806278331964556E-2</v>
      </c>
      <c r="AD9" s="5">
        <f t="shared" ca="1" si="3"/>
        <v>1.3413794022308259E-2</v>
      </c>
      <c r="AE9" s="5">
        <f t="shared" ca="1" si="4"/>
        <v>1.5503776027788161E-2</v>
      </c>
      <c r="AF9" s="5">
        <f t="shared" ca="1" si="5"/>
        <v>1.5934829428250932E-2</v>
      </c>
      <c r="AG9" s="5">
        <f t="shared" ca="1" si="6"/>
        <v>1.8553753142771294E-2</v>
      </c>
      <c r="AH9" s="5">
        <f t="shared" ca="1" si="7"/>
        <v>1.168487801972515E-2</v>
      </c>
      <c r="AI9" s="5">
        <f t="shared" ca="1" si="8"/>
        <v>1.4654718388894832E-2</v>
      </c>
      <c r="AJ9" s="5">
        <f t="shared" ca="1" si="9"/>
        <v>2.0036341720326346E-2</v>
      </c>
      <c r="AK9" s="5">
        <f t="shared" ca="1" si="10"/>
        <v>1.3770667051218627E-2</v>
      </c>
      <c r="AM9" s="5">
        <f t="shared" ca="1" si="13"/>
        <v>0.14128817565661281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0.54718999999999995</v>
      </c>
      <c r="F10" s="5">
        <v>21</v>
      </c>
      <c r="H10" s="5" t="s">
        <v>27</v>
      </c>
      <c r="I10" s="5">
        <v>100</v>
      </c>
      <c r="J10" s="5">
        <v>1</v>
      </c>
      <c r="L10" s="5">
        <f t="shared" ca="1" si="11"/>
        <v>239.05475000000001</v>
      </c>
      <c r="M10" s="5">
        <f t="shared" ca="1" si="0"/>
        <v>239.86332999999999</v>
      </c>
      <c r="N10" s="5">
        <f t="shared" ca="1" si="0"/>
        <v>239.52959000000001</v>
      </c>
      <c r="O10" s="5">
        <f t="shared" ca="1" si="0"/>
        <v>239.15223</v>
      </c>
      <c r="P10" s="5">
        <f t="shared" ca="1" si="0"/>
        <v>239.34</v>
      </c>
      <c r="Q10" s="5">
        <f t="shared" ca="1" si="0"/>
        <v>239.29</v>
      </c>
      <c r="R10" s="5">
        <f t="shared" ca="1" si="0"/>
        <v>239.44667000000001</v>
      </c>
      <c r="S10" s="5">
        <f t="shared" ca="1" si="0"/>
        <v>239.09333000000001</v>
      </c>
      <c r="T10" s="5">
        <f t="shared" ca="1" si="0"/>
        <v>239.64823000000001</v>
      </c>
      <c r="U10" s="5">
        <f t="shared" ca="1" si="0"/>
        <v>239.00667000000001</v>
      </c>
      <c r="W10" s="5">
        <f t="shared" ca="1" si="12"/>
        <v>239.34248000000002</v>
      </c>
      <c r="Y10" s="5">
        <f ca="1">Total!E10</f>
        <v>238.77667</v>
      </c>
      <c r="AB10" s="5">
        <f t="shared" ca="1" si="1"/>
        <v>1.1646028902238103E-3</v>
      </c>
      <c r="AC10" s="5">
        <f t="shared" ca="1" si="2"/>
        <v>4.5509471256132139E-3</v>
      </c>
      <c r="AD10" s="5">
        <f t="shared" ca="1" si="3"/>
        <v>3.1532393847356083E-3</v>
      </c>
      <c r="AE10" s="5">
        <f t="shared" ca="1" si="4"/>
        <v>1.5728504799066309E-3</v>
      </c>
      <c r="AF10" s="5">
        <f t="shared" ca="1" si="5"/>
        <v>2.3592338397214756E-3</v>
      </c>
      <c r="AG10" s="5">
        <f t="shared" ca="1" si="6"/>
        <v>2.1498331474343632E-3</v>
      </c>
      <c r="AH10" s="5">
        <f t="shared" ca="1" si="7"/>
        <v>2.8059692766467339E-3</v>
      </c>
      <c r="AI10" s="5">
        <f t="shared" ca="1" si="8"/>
        <v>1.3261764643924931E-3</v>
      </c>
      <c r="AJ10" s="5">
        <f t="shared" ca="1" si="9"/>
        <v>3.6501053473943518E-3</v>
      </c>
      <c r="AK10" s="5">
        <f t="shared" ca="1" si="10"/>
        <v>9.6324318452057397E-4</v>
      </c>
      <c r="AM10" s="5">
        <f t="shared" ca="1" si="13"/>
        <v>2.3696201140589256E-2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1.42998</v>
      </c>
      <c r="F11" s="5">
        <v>101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1.4223600000000001</v>
      </c>
      <c r="F12" s="5">
        <v>107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1.4292199999999999</v>
      </c>
      <c r="F13" s="5">
        <v>108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1.4271</v>
      </c>
      <c r="F14" s="5">
        <v>101</v>
      </c>
      <c r="H14" s="5" t="s">
        <v>2</v>
      </c>
      <c r="I14" s="5">
        <v>47</v>
      </c>
      <c r="J14" s="5">
        <v>0.4</v>
      </c>
      <c r="L14" s="5">
        <f t="shared" ca="1" si="11"/>
        <v>4348.0289499999999</v>
      </c>
      <c r="M14" s="5">
        <f t="shared" ca="1" si="0"/>
        <v>4348.0289499999999</v>
      </c>
      <c r="N14" s="5">
        <f t="shared" ca="1" si="0"/>
        <v>4348.0289499999999</v>
      </c>
      <c r="O14" s="5">
        <f t="shared" ca="1" si="0"/>
        <v>4348.0289499999999</v>
      </c>
      <c r="P14" s="5">
        <f t="shared" ca="1" si="0"/>
        <v>4348.0289499999999</v>
      </c>
      <c r="Q14" s="5">
        <f t="shared" ca="1" si="0"/>
        <v>4348.0289499999999</v>
      </c>
      <c r="R14" s="5">
        <f t="shared" ca="1" si="0"/>
        <v>4348.0289499999999</v>
      </c>
      <c r="S14" s="5">
        <f t="shared" ca="1" si="0"/>
        <v>4348.0289499999999</v>
      </c>
      <c r="T14" s="5">
        <f t="shared" ca="1" si="0"/>
        <v>4348.0289499999999</v>
      </c>
      <c r="U14" s="5">
        <f t="shared" ca="1" si="0"/>
        <v>4348.0289499999999</v>
      </c>
      <c r="W14" s="5">
        <f t="shared" ca="1" si="12"/>
        <v>4348.0289499999999</v>
      </c>
      <c r="Y14" s="5">
        <f ca="1">Total!E14</f>
        <v>4348.0289499999999</v>
      </c>
      <c r="AB14" s="5">
        <f t="shared" ca="1" si="1"/>
        <v>0</v>
      </c>
      <c r="AC14" s="5">
        <f t="shared" ca="1" si="2"/>
        <v>0</v>
      </c>
      <c r="AD14" s="5">
        <f t="shared" ca="1" si="3"/>
        <v>0</v>
      </c>
      <c r="AE14" s="5">
        <f t="shared" ca="1" si="4"/>
        <v>0</v>
      </c>
      <c r="AF14" s="5">
        <f t="shared" ca="1" si="5"/>
        <v>0</v>
      </c>
      <c r="AG14" s="5">
        <f t="shared" ca="1" si="6"/>
        <v>0</v>
      </c>
      <c r="AH14" s="5">
        <f t="shared" ca="1" si="7"/>
        <v>0</v>
      </c>
      <c r="AI14" s="5">
        <f t="shared" ca="1" si="8"/>
        <v>0</v>
      </c>
      <c r="AJ14" s="5">
        <f t="shared" ca="1" si="9"/>
        <v>0</v>
      </c>
      <c r="AK14" s="5">
        <f t="shared" ca="1" si="10"/>
        <v>0</v>
      </c>
      <c r="AM14" s="5">
        <f t="shared" ca="1" si="13"/>
        <v>0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1.42116</v>
      </c>
      <c r="F15" s="5">
        <v>105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1.4278900000000001</v>
      </c>
      <c r="F16" s="5">
        <v>108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1.4259599999999999</v>
      </c>
      <c r="F17" s="5">
        <v>102</v>
      </c>
      <c r="H17" s="5" t="s">
        <v>2</v>
      </c>
      <c r="I17" s="5">
        <v>100</v>
      </c>
      <c r="J17" s="5">
        <v>0.4</v>
      </c>
      <c r="L17" s="5">
        <f t="shared" ca="1" si="11"/>
        <v>42986.45392</v>
      </c>
      <c r="M17" s="5">
        <f t="shared" ca="1" si="0"/>
        <v>42986.836920000002</v>
      </c>
      <c r="N17" s="5">
        <f t="shared" ca="1" si="0"/>
        <v>42986.802479999998</v>
      </c>
      <c r="O17" s="5">
        <f t="shared" ca="1" si="0"/>
        <v>42986.673049999998</v>
      </c>
      <c r="P17" s="5">
        <f t="shared" ca="1" si="0"/>
        <v>42986.403050000001</v>
      </c>
      <c r="Q17" s="5">
        <f t="shared" ca="1" si="0"/>
        <v>42987.904589999998</v>
      </c>
      <c r="R17" s="5">
        <f t="shared" ca="1" si="0"/>
        <v>42986.802479999998</v>
      </c>
      <c r="S17" s="5">
        <f t="shared" ca="1" si="0"/>
        <v>42986.403050000001</v>
      </c>
      <c r="T17" s="5">
        <f t="shared" ca="1" si="0"/>
        <v>42988.818220000001</v>
      </c>
      <c r="U17" s="5">
        <f t="shared" ca="1" si="0"/>
        <v>42986.802479999998</v>
      </c>
      <c r="W17" s="5">
        <f t="shared" ca="1" si="12"/>
        <v>42986.990024000006</v>
      </c>
      <c r="Y17" s="5">
        <f ca="1">Total!E17</f>
        <v>42986.193919999998</v>
      </c>
      <c r="AB17" s="5">
        <f t="shared" ca="1" si="1"/>
        <v>6.04845361480278E-6</v>
      </c>
      <c r="AC17" s="5">
        <f t="shared" ca="1" si="2"/>
        <v>1.4958291055038052E-5</v>
      </c>
      <c r="AD17" s="5">
        <f t="shared" ca="1" si="3"/>
        <v>1.4157103583842479E-5</v>
      </c>
      <c r="AE17" s="5">
        <f t="shared" ca="1" si="4"/>
        <v>1.1146136847830832E-5</v>
      </c>
      <c r="AF17" s="5">
        <f t="shared" ca="1" si="5"/>
        <v>4.8650504018131747E-6</v>
      </c>
      <c r="AG17" s="5">
        <f t="shared" ca="1" si="6"/>
        <v>3.9795800558292164E-5</v>
      </c>
      <c r="AH17" s="5">
        <f t="shared" ca="1" si="7"/>
        <v>1.4157103583842479E-5</v>
      </c>
      <c r="AI17" s="5">
        <f t="shared" ca="1" si="8"/>
        <v>4.8650504018131747E-6</v>
      </c>
      <c r="AJ17" s="5">
        <f t="shared" ca="1" si="9"/>
        <v>6.1049833927775011E-5</v>
      </c>
      <c r="AK17" s="5">
        <f t="shared" ca="1" si="10"/>
        <v>1.4157103583842479E-5</v>
      </c>
      <c r="AM17" s="5">
        <f t="shared" ca="1" si="13"/>
        <v>1.8519992755889261E-4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1.4255899999999999</v>
      </c>
      <c r="F18" s="5">
        <v>107</v>
      </c>
      <c r="H18" s="5" t="s">
        <v>2</v>
      </c>
      <c r="I18" s="5">
        <v>100</v>
      </c>
      <c r="J18" s="5">
        <v>0.7</v>
      </c>
      <c r="L18" s="5">
        <f t="shared" ca="1" si="11"/>
        <v>35750.577870000001</v>
      </c>
      <c r="M18" s="5">
        <f t="shared" ca="1" si="11"/>
        <v>35776.495929999997</v>
      </c>
      <c r="N18" s="5">
        <f t="shared" ca="1" si="11"/>
        <v>35805.77044</v>
      </c>
      <c r="O18" s="5">
        <f t="shared" ca="1" si="11"/>
        <v>35857.378239999998</v>
      </c>
      <c r="P18" s="5">
        <f t="shared" ca="1" si="11"/>
        <v>35901.448989999997</v>
      </c>
      <c r="Q18" s="5">
        <f t="shared" ca="1" si="11"/>
        <v>35820.320619999999</v>
      </c>
      <c r="R18" s="5">
        <f t="shared" ca="1" si="11"/>
        <v>35858.966639999999</v>
      </c>
      <c r="S18" s="5">
        <f t="shared" ca="1" si="11"/>
        <v>35798.843430000001</v>
      </c>
      <c r="T18" s="5">
        <f t="shared" ca="1" si="11"/>
        <v>35412.865919999997</v>
      </c>
      <c r="U18" s="5">
        <f t="shared" ca="1" si="11"/>
        <v>35790.090600000003</v>
      </c>
      <c r="W18" s="5">
        <f t="shared" ca="1" si="12"/>
        <v>35777.275868000004</v>
      </c>
      <c r="Y18" s="5">
        <f ca="1">Total!E18</f>
        <v>35336.072039999999</v>
      </c>
      <c r="AB18" s="5">
        <f t="shared" ca="1" si="1"/>
        <v>1.1730387846469929E-2</v>
      </c>
      <c r="AC18" s="5">
        <f t="shared" ca="1" si="2"/>
        <v>1.2463860994550945E-2</v>
      </c>
      <c r="AD18" s="5">
        <f t="shared" ca="1" si="3"/>
        <v>1.329232064809887E-2</v>
      </c>
      <c r="AE18" s="5">
        <f t="shared" ca="1" si="4"/>
        <v>1.475280555829428E-2</v>
      </c>
      <c r="AF18" s="5">
        <f t="shared" ca="1" si="5"/>
        <v>1.59999942653501E-2</v>
      </c>
      <c r="AG18" s="5">
        <f t="shared" ca="1" si="6"/>
        <v>1.3704086279081502E-2</v>
      </c>
      <c r="AH18" s="5">
        <f t="shared" ca="1" si="7"/>
        <v>1.4797756791079929E-2</v>
      </c>
      <c r="AI18" s="5">
        <f t="shared" ca="1" si="8"/>
        <v>1.3096288389839996E-2</v>
      </c>
      <c r="AJ18" s="5">
        <f t="shared" ca="1" si="9"/>
        <v>2.1732432487987833E-3</v>
      </c>
      <c r="AK18" s="5">
        <f t="shared" ca="1" si="10"/>
        <v>1.2848585985620038E-2</v>
      </c>
      <c r="AM18" s="5">
        <f t="shared" ca="1" si="13"/>
        <v>0.12485933000718435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1.4315599999999999</v>
      </c>
      <c r="F19" s="5">
        <v>106</v>
      </c>
      <c r="H19" s="5" t="s">
        <v>2</v>
      </c>
      <c r="I19" s="5">
        <v>100</v>
      </c>
      <c r="J19" s="5">
        <v>1</v>
      </c>
      <c r="L19" s="5">
        <f t="shared" ca="1" si="11"/>
        <v>35273.949999999997</v>
      </c>
      <c r="M19" s="5">
        <f t="shared" ca="1" si="11"/>
        <v>35226.300000000003</v>
      </c>
      <c r="N19" s="5">
        <f t="shared" ca="1" si="11"/>
        <v>35246.221239999999</v>
      </c>
      <c r="O19" s="5">
        <f t="shared" ca="1" si="11"/>
        <v>35259.546670000003</v>
      </c>
      <c r="P19" s="5">
        <f t="shared" ca="1" si="11"/>
        <v>35236.2281</v>
      </c>
      <c r="Q19" s="5">
        <f t="shared" ca="1" si="11"/>
        <v>35253.455269999999</v>
      </c>
      <c r="R19" s="5">
        <f t="shared" ca="1" si="11"/>
        <v>35272.534059999998</v>
      </c>
      <c r="S19" s="5">
        <f t="shared" ca="1" si="11"/>
        <v>35241.77218</v>
      </c>
      <c r="T19" s="5">
        <f t="shared" ca="1" si="11"/>
        <v>35254.326670000002</v>
      </c>
      <c r="U19" s="5">
        <f t="shared" ca="1" si="11"/>
        <v>35313.476669999996</v>
      </c>
      <c r="W19" s="5">
        <f t="shared" ca="1" si="12"/>
        <v>35257.781085999995</v>
      </c>
      <c r="Y19" s="5">
        <f ca="1">Total!E19</f>
        <v>35203.853329999998</v>
      </c>
      <c r="AB19" s="5">
        <f t="shared" ca="1" si="1"/>
        <v>1.9911646984469185E-3</v>
      </c>
      <c r="AC19" s="5">
        <f t="shared" ca="1" si="2"/>
        <v>6.3761968866278128E-4</v>
      </c>
      <c r="AD19" s="5">
        <f t="shared" ca="1" si="3"/>
        <v>1.2035020599263713E-3</v>
      </c>
      <c r="AE19" s="5">
        <f t="shared" ca="1" si="4"/>
        <v>1.5820239755556687E-3</v>
      </c>
      <c r="AF19" s="5">
        <f t="shared" ca="1" si="5"/>
        <v>9.196371117821088E-4</v>
      </c>
      <c r="AG19" s="5">
        <f t="shared" ca="1" si="6"/>
        <v>1.4089917809574192E-3</v>
      </c>
      <c r="AH19" s="5">
        <f t="shared" ca="1" si="7"/>
        <v>1.9509435332600859E-3</v>
      </c>
      <c r="AI19" s="5">
        <f t="shared" ca="1" si="8"/>
        <v>1.0771221446854563E-3</v>
      </c>
      <c r="AJ19" s="5">
        <f t="shared" ca="1" si="9"/>
        <v>1.4337447530776912E-3</v>
      </c>
      <c r="AK19" s="5">
        <f t="shared" ca="1" si="10"/>
        <v>3.1139585480143882E-3</v>
      </c>
      <c r="AM19" s="5">
        <f t="shared" ca="1" si="13"/>
        <v>1.5318708294368891E-2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1.42458</v>
      </c>
      <c r="F20" s="5">
        <v>100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1.7799199999999999</v>
      </c>
      <c r="F21" s="5">
        <v>131</v>
      </c>
      <c r="H21" s="5" t="s">
        <v>1</v>
      </c>
      <c r="I21" s="5">
        <v>30</v>
      </c>
      <c r="J21" s="5">
        <v>0.7</v>
      </c>
      <c r="L21" s="5">
        <f t="shared" ca="1" si="11"/>
        <v>675.36989000000005</v>
      </c>
      <c r="M21" s="5">
        <f t="shared" ca="1" si="11"/>
        <v>675.36581000000001</v>
      </c>
      <c r="N21" s="5">
        <f t="shared" ca="1" si="11"/>
        <v>675.47581000000002</v>
      </c>
      <c r="O21" s="5">
        <f t="shared" ca="1" si="11"/>
        <v>677.41029000000003</v>
      </c>
      <c r="P21" s="5">
        <f t="shared" ca="1" si="11"/>
        <v>675.36989000000005</v>
      </c>
      <c r="Q21" s="5">
        <f t="shared" ca="1" si="11"/>
        <v>675.78093999999999</v>
      </c>
      <c r="R21" s="5">
        <f t="shared" ca="1" si="11"/>
        <v>675.36581000000001</v>
      </c>
      <c r="S21" s="5">
        <f t="shared" ca="1" si="11"/>
        <v>675.36989000000005</v>
      </c>
      <c r="T21" s="5">
        <f t="shared" ca="1" si="11"/>
        <v>675.36581000000001</v>
      </c>
      <c r="U21" s="5">
        <f t="shared" ca="1" si="11"/>
        <v>675.36581000000001</v>
      </c>
      <c r="W21" s="5">
        <f t="shared" ca="1" si="12"/>
        <v>675.62399500000004</v>
      </c>
      <c r="Y21" s="5">
        <f ca="1">Total!E21</f>
        <v>675.36581000000001</v>
      </c>
      <c r="AB21" s="5">
        <f t="shared" ca="1" si="1"/>
        <v>6.0411704881010963E-6</v>
      </c>
      <c r="AC21" s="5">
        <f t="shared" ca="1" si="2"/>
        <v>0</v>
      </c>
      <c r="AD21" s="5">
        <f t="shared" ca="1" si="3"/>
        <v>1.6287469453038145E-4</v>
      </c>
      <c r="AE21" s="5">
        <f t="shared" ca="1" si="4"/>
        <v>3.0272186861221495E-3</v>
      </c>
      <c r="AF21" s="5">
        <f t="shared" ca="1" si="5"/>
        <v>6.0411704881010963E-6</v>
      </c>
      <c r="AG21" s="5">
        <f t="shared" ca="1" si="6"/>
        <v>6.1467429036713664E-4</v>
      </c>
      <c r="AH21" s="5">
        <f t="shared" ca="1" si="7"/>
        <v>0</v>
      </c>
      <c r="AI21" s="5">
        <f t="shared" ca="1" si="8"/>
        <v>6.0411704881010963E-6</v>
      </c>
      <c r="AJ21" s="5">
        <f t="shared" ca="1" si="9"/>
        <v>0</v>
      </c>
      <c r="AK21" s="5">
        <f t="shared" ca="1" si="10"/>
        <v>0</v>
      </c>
      <c r="AM21" s="5">
        <f t="shared" ca="1" si="13"/>
        <v>3.8228911824839708E-3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1.77915</v>
      </c>
      <c r="F22" s="5">
        <v>131</v>
      </c>
      <c r="H22" s="5" t="s">
        <v>1</v>
      </c>
      <c r="I22" s="5">
        <v>30</v>
      </c>
      <c r="J22" s="5">
        <v>1</v>
      </c>
      <c r="L22" s="5">
        <f t="shared" ca="1" si="11"/>
        <v>657.32992999999999</v>
      </c>
      <c r="M22" s="5">
        <f t="shared" ca="1" si="11"/>
        <v>657.32380999999998</v>
      </c>
      <c r="N22" s="5">
        <f t="shared" ca="1" si="11"/>
        <v>657.45713999999998</v>
      </c>
      <c r="O22" s="5">
        <f t="shared" ca="1" si="11"/>
        <v>657.45713999999998</v>
      </c>
      <c r="P22" s="5">
        <f t="shared" ca="1" si="11"/>
        <v>656.34204</v>
      </c>
      <c r="Q22" s="5">
        <f t="shared" ca="1" si="11"/>
        <v>657.95457999999996</v>
      </c>
      <c r="R22" s="5">
        <f t="shared" ca="1" si="11"/>
        <v>657.32380999999998</v>
      </c>
      <c r="S22" s="5">
        <f t="shared" ca="1" si="11"/>
        <v>655.43295999999998</v>
      </c>
      <c r="T22" s="5">
        <f t="shared" ca="1" si="11"/>
        <v>655.46475999999996</v>
      </c>
      <c r="U22" s="5">
        <f t="shared" ca="1" si="11"/>
        <v>655.46475999999996</v>
      </c>
      <c r="W22" s="5">
        <f t="shared" ca="1" si="12"/>
        <v>656.75509299999999</v>
      </c>
      <c r="Y22" s="5">
        <f ca="1">Total!E22</f>
        <v>655.43295999999998</v>
      </c>
      <c r="AB22" s="5">
        <f t="shared" ca="1" si="1"/>
        <v>2.8942243002244047E-3</v>
      </c>
      <c r="AC22" s="5">
        <f t="shared" ca="1" si="2"/>
        <v>2.8848869608266272E-3</v>
      </c>
      <c r="AD22" s="5">
        <f t="shared" ca="1" si="3"/>
        <v>3.088309748719383E-3</v>
      </c>
      <c r="AE22" s="5">
        <f t="shared" ca="1" si="4"/>
        <v>3.088309748719383E-3</v>
      </c>
      <c r="AF22" s="5">
        <f t="shared" ca="1" si="5"/>
        <v>1.3869915849212362E-3</v>
      </c>
      <c r="AG22" s="5">
        <f t="shared" ca="1" si="6"/>
        <v>3.847258459507414E-3</v>
      </c>
      <c r="AH22" s="5">
        <f t="shared" ca="1" si="7"/>
        <v>2.8848869608266272E-3</v>
      </c>
      <c r="AI22" s="5">
        <f t="shared" ca="1" si="8"/>
        <v>0</v>
      </c>
      <c r="AJ22" s="5">
        <f t="shared" ca="1" si="9"/>
        <v>4.8517547851080951E-5</v>
      </c>
      <c r="AK22" s="5">
        <f t="shared" ca="1" si="10"/>
        <v>4.8517547851080951E-5</v>
      </c>
      <c r="AM22" s="5">
        <f t="shared" ca="1" si="13"/>
        <v>2.0171902859447238E-2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1.7718400000000001</v>
      </c>
      <c r="F23" s="5">
        <v>134</v>
      </c>
      <c r="H23" s="5" t="s">
        <v>1</v>
      </c>
      <c r="I23" s="5">
        <v>50</v>
      </c>
      <c r="J23" s="5">
        <v>0.4</v>
      </c>
      <c r="L23" s="5">
        <f t="shared" ca="1" si="11"/>
        <v>1467.0878600000001</v>
      </c>
      <c r="M23" s="5">
        <f t="shared" ca="1" si="11"/>
        <v>1483.36385</v>
      </c>
      <c r="N23" s="5">
        <f t="shared" ca="1" si="11"/>
        <v>1467.0878600000001</v>
      </c>
      <c r="O23" s="5">
        <f t="shared" ca="1" si="11"/>
        <v>1460.0209400000001</v>
      </c>
      <c r="P23" s="5">
        <f t="shared" ca="1" si="11"/>
        <v>1459.9687899999999</v>
      </c>
      <c r="Q23" s="5">
        <f t="shared" ca="1" si="11"/>
        <v>1483.36385</v>
      </c>
      <c r="R23" s="5">
        <f t="shared" ca="1" si="11"/>
        <v>1459.9687899999999</v>
      </c>
      <c r="S23" s="5">
        <f t="shared" ca="1" si="11"/>
        <v>1459.9687899999999</v>
      </c>
      <c r="T23" s="5">
        <f t="shared" ca="1" si="11"/>
        <v>1483.55051</v>
      </c>
      <c r="U23" s="5">
        <f t="shared" ca="1" si="11"/>
        <v>1483.4559999999999</v>
      </c>
      <c r="W23" s="5">
        <f t="shared" ca="1" si="12"/>
        <v>1470.7837240000003</v>
      </c>
      <c r="Y23" s="5">
        <f ca="1">Total!E23</f>
        <v>1459.9687899999999</v>
      </c>
      <c r="AB23" s="5">
        <f t="shared" ca="1" si="1"/>
        <v>4.8761795791540125E-3</v>
      </c>
      <c r="AC23" s="5">
        <f t="shared" ca="1" si="2"/>
        <v>1.6024356246683916E-2</v>
      </c>
      <c r="AD23" s="5">
        <f t="shared" ca="1" si="3"/>
        <v>4.8761795791540125E-3</v>
      </c>
      <c r="AE23" s="5">
        <f t="shared" ca="1" si="4"/>
        <v>3.5719941657253266E-5</v>
      </c>
      <c r="AF23" s="5">
        <f t="shared" ca="1" si="5"/>
        <v>0</v>
      </c>
      <c r="AG23" s="5">
        <f t="shared" ca="1" si="6"/>
        <v>1.6024356246683916E-2</v>
      </c>
      <c r="AH23" s="5">
        <f t="shared" ca="1" si="7"/>
        <v>0</v>
      </c>
      <c r="AI23" s="5">
        <f t="shared" ca="1" si="8"/>
        <v>0</v>
      </c>
      <c r="AJ23" s="5">
        <f t="shared" ca="1" si="9"/>
        <v>1.6152208294808915E-2</v>
      </c>
      <c r="AK23" s="5">
        <f t="shared" ca="1" si="10"/>
        <v>1.6087474034290832E-2</v>
      </c>
      <c r="AM23" s="5">
        <f t="shared" ca="1" si="13"/>
        <v>7.4076473922432856E-2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1.7743100000000001</v>
      </c>
      <c r="F24" s="5">
        <v>126</v>
      </c>
      <c r="H24" s="5" t="s">
        <v>1</v>
      </c>
      <c r="I24" s="5">
        <v>50</v>
      </c>
      <c r="J24" s="5">
        <v>0.7</v>
      </c>
      <c r="L24" s="5">
        <f t="shared" ca="1" si="11"/>
        <v>1014.16401</v>
      </c>
      <c r="M24" s="5">
        <f t="shared" ca="1" si="11"/>
        <v>1016.38542</v>
      </c>
      <c r="N24" s="5">
        <f t="shared" ca="1" si="11"/>
        <v>1007.52946</v>
      </c>
      <c r="O24" s="5">
        <f t="shared" ca="1" si="11"/>
        <v>1024.2514000000001</v>
      </c>
      <c r="P24" s="5">
        <f t="shared" ca="1" si="11"/>
        <v>1007.91182</v>
      </c>
      <c r="Q24" s="5">
        <f t="shared" ca="1" si="11"/>
        <v>1021.78467</v>
      </c>
      <c r="R24" s="5">
        <f t="shared" ca="1" si="11"/>
        <v>1010.97712</v>
      </c>
      <c r="S24" s="5">
        <f t="shared" ca="1" si="11"/>
        <v>1018.838</v>
      </c>
      <c r="T24" s="5">
        <f t="shared" ca="1" si="11"/>
        <v>1026.66452</v>
      </c>
      <c r="U24" s="5">
        <f t="shared" ca="1" si="11"/>
        <v>1009.14121</v>
      </c>
      <c r="W24" s="5">
        <f t="shared" ca="1" si="12"/>
        <v>1015.7647629999999</v>
      </c>
      <c r="Y24" s="5">
        <f ca="1">Total!E24</f>
        <v>1005.95063</v>
      </c>
      <c r="AB24" s="5">
        <f t="shared" ca="1" si="1"/>
        <v>8.1647943299164843E-3</v>
      </c>
      <c r="AC24" s="5">
        <f t="shared" ca="1" si="2"/>
        <v>1.0373063735742087E-2</v>
      </c>
      <c r="AD24" s="5">
        <f t="shared" ca="1" si="3"/>
        <v>1.5694905424930498E-3</v>
      </c>
      <c r="AE24" s="5">
        <f t="shared" ca="1" si="4"/>
        <v>1.8192513085855969E-2</v>
      </c>
      <c r="AF24" s="5">
        <f t="shared" ca="1" si="5"/>
        <v>1.9495887188817483E-3</v>
      </c>
      <c r="AG24" s="5">
        <f t="shared" ca="1" si="6"/>
        <v>1.5740374853187335E-2</v>
      </c>
      <c r="AH24" s="5">
        <f t="shared" ca="1" si="7"/>
        <v>4.9967561529336351E-3</v>
      </c>
      <c r="AI24" s="5">
        <f t="shared" ca="1" si="8"/>
        <v>1.2811135671737606E-2</v>
      </c>
      <c r="AJ24" s="5">
        <f t="shared" ca="1" si="9"/>
        <v>2.0591358444698216E-2</v>
      </c>
      <c r="AK24" s="5">
        <f t="shared" ca="1" si="10"/>
        <v>3.1717063490481179E-3</v>
      </c>
      <c r="AM24" s="5">
        <f t="shared" ca="1" si="13"/>
        <v>9.7560781884494255E-2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1.76999</v>
      </c>
      <c r="F25" s="5">
        <v>131</v>
      </c>
      <c r="H25" s="5" t="s">
        <v>1</v>
      </c>
      <c r="I25" s="5">
        <v>50</v>
      </c>
      <c r="J25" s="5">
        <v>1</v>
      </c>
      <c r="L25" s="5">
        <f t="shared" ca="1" si="11"/>
        <v>999.24170000000004</v>
      </c>
      <c r="M25" s="5">
        <f t="shared" ca="1" si="11"/>
        <v>994.47051999999996</v>
      </c>
      <c r="N25" s="5">
        <f t="shared" ca="1" si="11"/>
        <v>995.95667000000003</v>
      </c>
      <c r="O25" s="5">
        <f t="shared" ca="1" si="11"/>
        <v>996.04778999999996</v>
      </c>
      <c r="P25" s="5">
        <f t="shared" ca="1" si="11"/>
        <v>994.64130999999998</v>
      </c>
      <c r="Q25" s="5">
        <f t="shared" ca="1" si="11"/>
        <v>996.53232000000003</v>
      </c>
      <c r="R25" s="5">
        <f t="shared" ca="1" si="11"/>
        <v>993.00819999999999</v>
      </c>
      <c r="S25" s="5">
        <f t="shared" ca="1" si="11"/>
        <v>994.67875000000004</v>
      </c>
      <c r="T25" s="5">
        <f t="shared" ca="1" si="11"/>
        <v>993.83617000000004</v>
      </c>
      <c r="U25" s="5">
        <f t="shared" ca="1" si="11"/>
        <v>992.59464000000003</v>
      </c>
      <c r="W25" s="5">
        <f t="shared" ca="1" si="12"/>
        <v>995.10080700000003</v>
      </c>
      <c r="Y25" s="5">
        <f ca="1">Total!E25</f>
        <v>990.69820000000004</v>
      </c>
      <c r="AB25" s="5">
        <f t="shared" ca="1" si="1"/>
        <v>8.6237160822539034E-3</v>
      </c>
      <c r="AC25" s="5">
        <f t="shared" ca="1" si="2"/>
        <v>3.8077388250023288E-3</v>
      </c>
      <c r="AD25" s="5">
        <f t="shared" ca="1" si="3"/>
        <v>5.307842489266649E-3</v>
      </c>
      <c r="AE25" s="5">
        <f t="shared" ca="1" si="4"/>
        <v>5.3998180273265063E-3</v>
      </c>
      <c r="AF25" s="5">
        <f t="shared" ca="1" si="5"/>
        <v>3.9801323955165491E-3</v>
      </c>
      <c r="AG25" s="5">
        <f t="shared" ca="1" si="6"/>
        <v>5.8888973453267443E-3</v>
      </c>
      <c r="AH25" s="5">
        <f t="shared" ca="1" si="7"/>
        <v>2.3316889038457376E-3</v>
      </c>
      <c r="AI25" s="5">
        <f t="shared" ca="1" si="8"/>
        <v>4.0179239247633575E-3</v>
      </c>
      <c r="AJ25" s="5">
        <f t="shared" ca="1" si="9"/>
        <v>3.1674328266670876E-3</v>
      </c>
      <c r="AK25" s="5">
        <f t="shared" ca="1" si="10"/>
        <v>1.9142459328178694E-3</v>
      </c>
      <c r="AM25" s="5">
        <f t="shared" ca="1" si="13"/>
        <v>4.4439436752786728E-2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1.7818099999999999</v>
      </c>
      <c r="F26" s="5">
        <v>126</v>
      </c>
      <c r="H26" s="5" t="s">
        <v>1</v>
      </c>
      <c r="I26" s="5">
        <v>100</v>
      </c>
      <c r="J26" s="5">
        <v>0.4</v>
      </c>
      <c r="L26" s="5">
        <f t="shared" ca="1" si="11"/>
        <v>1811.4907700000001</v>
      </c>
      <c r="M26" s="5">
        <f t="shared" ca="1" si="11"/>
        <v>1815.6094000000001</v>
      </c>
      <c r="N26" s="5">
        <f t="shared" ca="1" si="11"/>
        <v>1824.11</v>
      </c>
      <c r="O26" s="5">
        <f t="shared" ca="1" si="11"/>
        <v>1831.8445999999999</v>
      </c>
      <c r="P26" s="5">
        <f t="shared" ca="1" si="11"/>
        <v>1852.1056599999999</v>
      </c>
      <c r="Q26" s="5">
        <f t="shared" ca="1" si="11"/>
        <v>1838.35571</v>
      </c>
      <c r="R26" s="5">
        <f t="shared" ca="1" si="11"/>
        <v>1878.3117500000001</v>
      </c>
      <c r="S26" s="5">
        <f t="shared" ca="1" si="11"/>
        <v>1838.5491099999999</v>
      </c>
      <c r="T26" s="5">
        <f t="shared" ca="1" si="11"/>
        <v>1876.9190900000001</v>
      </c>
      <c r="U26" s="5">
        <f t="shared" ca="1" si="11"/>
        <v>1859.61176</v>
      </c>
      <c r="W26" s="5">
        <f t="shared" ca="1" si="12"/>
        <v>1842.690785</v>
      </c>
      <c r="Y26" s="5">
        <f ca="1">Total!E26</f>
        <v>1786.3248599999999</v>
      </c>
      <c r="AB26" s="5">
        <f t="shared" ca="1" si="1"/>
        <v>1.4088092576845271E-2</v>
      </c>
      <c r="AC26" s="5">
        <f t="shared" ca="1" si="2"/>
        <v>1.639373702720574E-2</v>
      </c>
      <c r="AD26" s="5">
        <f t="shared" ca="1" si="3"/>
        <v>2.1152445921846466E-2</v>
      </c>
      <c r="AE26" s="5">
        <f t="shared" ca="1" si="4"/>
        <v>2.5482341437044077E-2</v>
      </c>
      <c r="AF26" s="5">
        <f t="shared" ca="1" si="5"/>
        <v>3.6824656854408888E-2</v>
      </c>
      <c r="AG26" s="5">
        <f t="shared" ca="1" si="6"/>
        <v>2.9127316741256182E-2</v>
      </c>
      <c r="AH26" s="5">
        <f t="shared" ca="1" si="7"/>
        <v>5.1495051129725716E-2</v>
      </c>
      <c r="AI26" s="5">
        <f t="shared" ca="1" si="8"/>
        <v>2.9235583722436682E-2</v>
      </c>
      <c r="AJ26" s="5">
        <f t="shared" ca="1" si="9"/>
        <v>5.0715428099679556E-2</v>
      </c>
      <c r="AK26" s="5">
        <f t="shared" ca="1" si="10"/>
        <v>4.1026636106939733E-2</v>
      </c>
      <c r="AM26" s="5">
        <f t="shared" ca="1" si="13"/>
        <v>0.31554128961738831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1.7787500000000001</v>
      </c>
      <c r="F27" s="5">
        <v>132</v>
      </c>
      <c r="H27" s="5" t="s">
        <v>1</v>
      </c>
      <c r="I27" s="5">
        <v>100</v>
      </c>
      <c r="J27" s="5">
        <v>0.7</v>
      </c>
      <c r="L27" s="5">
        <f t="shared" ca="1" si="11"/>
        <v>1791.78</v>
      </c>
      <c r="M27" s="5">
        <f t="shared" ca="1" si="11"/>
        <v>1791.4996900000001</v>
      </c>
      <c r="N27" s="5">
        <f t="shared" ca="1" si="11"/>
        <v>1781.66643</v>
      </c>
      <c r="O27" s="5">
        <f t="shared" ca="1" si="11"/>
        <v>1781.2716</v>
      </c>
      <c r="P27" s="5">
        <f t="shared" ca="1" si="11"/>
        <v>1777.2949000000001</v>
      </c>
      <c r="Q27" s="5">
        <f t="shared" ca="1" si="11"/>
        <v>1779.0733</v>
      </c>
      <c r="R27" s="5">
        <f t="shared" ca="1" si="11"/>
        <v>1785.43</v>
      </c>
      <c r="S27" s="5">
        <f t="shared" ca="1" si="11"/>
        <v>1781.20985</v>
      </c>
      <c r="T27" s="5">
        <f t="shared" ca="1" si="11"/>
        <v>1777.94795</v>
      </c>
      <c r="U27" s="5">
        <f t="shared" ca="1" si="11"/>
        <v>1778.4569200000001</v>
      </c>
      <c r="W27" s="5">
        <f t="shared" ca="1" si="12"/>
        <v>1782.5630639999999</v>
      </c>
      <c r="Y27" s="5">
        <f ca="1">Total!E27</f>
        <v>1761.02206</v>
      </c>
      <c r="AB27" s="5">
        <f t="shared" ca="1" si="1"/>
        <v>1.7465959512170996E-2</v>
      </c>
      <c r="AC27" s="5">
        <f t="shared" ca="1" si="2"/>
        <v>1.7306784901945003E-2</v>
      </c>
      <c r="AD27" s="5">
        <f t="shared" ca="1" si="3"/>
        <v>1.1722947979425073E-2</v>
      </c>
      <c r="AE27" s="5">
        <f t="shared" ca="1" si="4"/>
        <v>1.149874295157894E-2</v>
      </c>
      <c r="AF27" s="5">
        <f t="shared" ca="1" si="5"/>
        <v>9.2405656746855792E-3</v>
      </c>
      <c r="AG27" s="5">
        <f t="shared" ca="1" si="6"/>
        <v>1.0250433773668915E-2</v>
      </c>
      <c r="AH27" s="5">
        <f t="shared" ca="1" si="7"/>
        <v>1.386009894731248E-2</v>
      </c>
      <c r="AI27" s="5">
        <f t="shared" ca="1" si="8"/>
        <v>1.1463678087030863E-2</v>
      </c>
      <c r="AJ27" s="5">
        <f t="shared" ca="1" si="9"/>
        <v>9.6114014608084924E-3</v>
      </c>
      <c r="AK27" s="5">
        <f t="shared" ca="1" si="10"/>
        <v>9.9004211224929632E-3</v>
      </c>
      <c r="AM27" s="5">
        <f t="shared" ca="1" si="13"/>
        <v>0.1223210344111193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1.77549</v>
      </c>
      <c r="F28" s="5">
        <v>131</v>
      </c>
      <c r="H28" s="5" t="s">
        <v>1</v>
      </c>
      <c r="I28" s="5">
        <v>100</v>
      </c>
      <c r="J28" s="5">
        <v>1</v>
      </c>
      <c r="L28" s="5">
        <f t="shared" ca="1" si="11"/>
        <v>1761.6044300000001</v>
      </c>
      <c r="M28" s="5">
        <f t="shared" ca="1" si="11"/>
        <v>1759.6911700000001</v>
      </c>
      <c r="N28" s="5">
        <f t="shared" ca="1" si="11"/>
        <v>1757.2801999999999</v>
      </c>
      <c r="O28" s="5">
        <f t="shared" ca="1" si="11"/>
        <v>1757.55</v>
      </c>
      <c r="P28" s="5">
        <f t="shared" ca="1" si="11"/>
        <v>1758.21333</v>
      </c>
      <c r="Q28" s="5">
        <f t="shared" ca="1" si="11"/>
        <v>1758.25818</v>
      </c>
      <c r="R28" s="5">
        <f t="shared" ca="1" si="11"/>
        <v>1756.8338900000001</v>
      </c>
      <c r="S28" s="5">
        <f t="shared" ca="1" si="11"/>
        <v>1758.48</v>
      </c>
      <c r="T28" s="5">
        <f t="shared" ca="1" si="11"/>
        <v>1758.50667</v>
      </c>
      <c r="U28" s="5">
        <f t="shared" ca="1" si="11"/>
        <v>1758.11</v>
      </c>
      <c r="W28" s="5">
        <f t="shared" ca="1" si="12"/>
        <v>1758.4527870000002</v>
      </c>
      <c r="Y28" s="5">
        <f ca="1">Total!E28</f>
        <v>1753.1198199999999</v>
      </c>
      <c r="AB28" s="5">
        <f t="shared" ca="1" si="1"/>
        <v>4.8397205388963109E-3</v>
      </c>
      <c r="AC28" s="5">
        <f t="shared" ca="1" si="2"/>
        <v>3.7483747117753575E-3</v>
      </c>
      <c r="AD28" s="5">
        <f t="shared" ca="1" si="3"/>
        <v>2.3731292935813323E-3</v>
      </c>
      <c r="AE28" s="5">
        <f t="shared" ca="1" si="4"/>
        <v>2.5270263614953965E-3</v>
      </c>
      <c r="AF28" s="5">
        <f t="shared" ca="1" si="5"/>
        <v>2.9053975329536527E-3</v>
      </c>
      <c r="AG28" s="5">
        <f t="shared" ca="1" si="6"/>
        <v>2.9309804962447737E-3</v>
      </c>
      <c r="AH28" s="5">
        <f t="shared" ca="1" si="7"/>
        <v>2.1185488622222181E-3</v>
      </c>
      <c r="AI28" s="5">
        <f t="shared" ca="1" si="8"/>
        <v>3.0575092123481485E-3</v>
      </c>
      <c r="AJ28" s="5">
        <f t="shared" ca="1" si="9"/>
        <v>3.0727220915225837E-3</v>
      </c>
      <c r="AK28" s="5">
        <f t="shared" ca="1" si="10"/>
        <v>2.8464568953421618E-3</v>
      </c>
      <c r="AM28" s="5">
        <f t="shared" ca="1" si="13"/>
        <v>3.041986599638194E-2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1.77938</v>
      </c>
      <c r="F29" s="5">
        <v>127</v>
      </c>
      <c r="H29" s="5" t="s">
        <v>0</v>
      </c>
      <c r="I29" s="5">
        <v>25</v>
      </c>
      <c r="J29" s="5">
        <v>0.4</v>
      </c>
      <c r="L29" s="5">
        <f t="shared" ca="1" si="11"/>
        <v>41.318849999999998</v>
      </c>
      <c r="M29" s="5">
        <f t="shared" ca="1" si="11"/>
        <v>42.424349999999997</v>
      </c>
      <c r="N29" s="5">
        <f t="shared" ca="1" si="11"/>
        <v>41.318849999999998</v>
      </c>
      <c r="O29" s="5">
        <f t="shared" ca="1" si="11"/>
        <v>41.318849999999998</v>
      </c>
      <c r="P29" s="5">
        <f t="shared" ca="1" si="11"/>
        <v>41.318849999999998</v>
      </c>
      <c r="Q29" s="5">
        <f t="shared" ca="1" si="11"/>
        <v>42.424349999999997</v>
      </c>
      <c r="R29" s="5">
        <f t="shared" ca="1" si="11"/>
        <v>41.318849999999998</v>
      </c>
      <c r="S29" s="5">
        <f t="shared" ca="1" si="11"/>
        <v>42.424349999999997</v>
      </c>
      <c r="T29" s="5">
        <f t="shared" ca="1" si="11"/>
        <v>42.424349999999997</v>
      </c>
      <c r="U29" s="5">
        <f t="shared" ca="1" si="11"/>
        <v>42.424349999999997</v>
      </c>
      <c r="W29" s="5">
        <f t="shared" ca="1" si="12"/>
        <v>41.871600000000001</v>
      </c>
      <c r="Y29" s="5">
        <f ca="1">Total!E29</f>
        <v>40.897550000000003</v>
      </c>
      <c r="AB29" s="5">
        <f t="shared" ca="1" si="1"/>
        <v>1.0301350569899543E-2</v>
      </c>
      <c r="AC29" s="5">
        <f t="shared" ca="1" si="2"/>
        <v>3.7332309637129711E-2</v>
      </c>
      <c r="AD29" s="5">
        <f t="shared" ca="1" si="3"/>
        <v>1.0301350569899543E-2</v>
      </c>
      <c r="AE29" s="5">
        <f t="shared" ca="1" si="4"/>
        <v>1.0301350569899543E-2</v>
      </c>
      <c r="AF29" s="5">
        <f t="shared" ca="1" si="5"/>
        <v>1.0301350569899543E-2</v>
      </c>
      <c r="AG29" s="5">
        <f t="shared" ca="1" si="6"/>
        <v>3.7332309637129711E-2</v>
      </c>
      <c r="AH29" s="5">
        <f t="shared" ca="1" si="7"/>
        <v>1.0301350569899543E-2</v>
      </c>
      <c r="AI29" s="5">
        <f t="shared" ca="1" si="8"/>
        <v>3.7332309637129711E-2</v>
      </c>
      <c r="AJ29" s="5">
        <f t="shared" ca="1" si="9"/>
        <v>3.7332309637129711E-2</v>
      </c>
      <c r="AK29" s="5">
        <f t="shared" ca="1" si="10"/>
        <v>3.7332309637129711E-2</v>
      </c>
      <c r="AM29" s="5">
        <f t="shared" ca="1" si="13"/>
        <v>0.23816830103514627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1.7697499999999999</v>
      </c>
      <c r="F30" s="5">
        <v>131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1"/>
        <v>28.65436</v>
      </c>
      <c r="N30" s="5">
        <f t="shared" ca="1" si="11"/>
        <v>28.65624</v>
      </c>
      <c r="O30" s="5">
        <f t="shared" ca="1" si="11"/>
        <v>28.65436</v>
      </c>
      <c r="P30" s="5">
        <f t="shared" ca="1" si="11"/>
        <v>28.65436</v>
      </c>
      <c r="Q30" s="5">
        <f t="shared" ca="1" si="11"/>
        <v>28.65436</v>
      </c>
      <c r="R30" s="5">
        <f t="shared" ca="1" si="11"/>
        <v>28.65436</v>
      </c>
      <c r="S30" s="5">
        <f t="shared" ca="1" si="11"/>
        <v>28.65436</v>
      </c>
      <c r="T30" s="5">
        <f t="shared" ca="1" si="11"/>
        <v>28.65436</v>
      </c>
      <c r="U30" s="5">
        <f t="shared" ca="1" si="11"/>
        <v>28.65436</v>
      </c>
      <c r="W30" s="5">
        <f t="shared" ca="1" si="12"/>
        <v>28.654547999999998</v>
      </c>
      <c r="Y30" s="5">
        <f ca="1">Total!E30</f>
        <v>28.65436</v>
      </c>
      <c r="AB30" s="5">
        <f t="shared" ca="1" si="1"/>
        <v>0</v>
      </c>
      <c r="AC30" s="5">
        <f t="shared" ca="1" si="2"/>
        <v>0</v>
      </c>
      <c r="AD30" s="5">
        <f t="shared" ca="1" si="3"/>
        <v>6.5609561686245368E-5</v>
      </c>
      <c r="AE30" s="5">
        <f t="shared" ca="1" si="4"/>
        <v>0</v>
      </c>
      <c r="AF30" s="5">
        <f t="shared" ca="1" si="5"/>
        <v>0</v>
      </c>
      <c r="AG30" s="5">
        <f t="shared" ca="1" si="6"/>
        <v>0</v>
      </c>
      <c r="AH30" s="5">
        <f t="shared" ca="1" si="7"/>
        <v>0</v>
      </c>
      <c r="AI30" s="5">
        <f t="shared" ca="1" si="8"/>
        <v>0</v>
      </c>
      <c r="AJ30" s="5">
        <f t="shared" ca="1" si="9"/>
        <v>0</v>
      </c>
      <c r="AK30" s="5">
        <f t="shared" ca="1" si="10"/>
        <v>0</v>
      </c>
      <c r="AM30" s="5">
        <f t="shared" ca="1" si="13"/>
        <v>6.5609561686245368E-5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1.20143</v>
      </c>
      <c r="F31" s="5">
        <v>29</v>
      </c>
      <c r="H31" s="5" t="s">
        <v>0</v>
      </c>
      <c r="I31" s="5">
        <v>25</v>
      </c>
      <c r="J31" s="5">
        <v>1</v>
      </c>
      <c r="L31" s="5">
        <f t="shared" ca="1" si="11"/>
        <v>28.587009999999999</v>
      </c>
      <c r="M31" s="5">
        <f t="shared" ca="1" si="11"/>
        <v>28.592030000000001</v>
      </c>
      <c r="N31" s="5">
        <f t="shared" ca="1" si="11"/>
        <v>28.546240000000001</v>
      </c>
      <c r="O31" s="5">
        <f t="shared" ca="1" si="11"/>
        <v>28.594360000000002</v>
      </c>
      <c r="P31" s="5">
        <f t="shared" ca="1" si="11"/>
        <v>28.546240000000001</v>
      </c>
      <c r="Q31" s="5">
        <f t="shared" ca="1" si="11"/>
        <v>28.546240000000001</v>
      </c>
      <c r="R31" s="5">
        <f t="shared" ca="1" si="11"/>
        <v>28.60624</v>
      </c>
      <c r="S31" s="5">
        <f t="shared" ca="1" si="11"/>
        <v>28.58203</v>
      </c>
      <c r="T31" s="5">
        <f t="shared" ca="1" si="11"/>
        <v>28.546240000000001</v>
      </c>
      <c r="U31" s="5">
        <f t="shared" ca="1" si="11"/>
        <v>28.587009999999999</v>
      </c>
      <c r="W31" s="5">
        <f t="shared" ca="1" si="12"/>
        <v>28.573364000000005</v>
      </c>
      <c r="Y31" s="5">
        <f ca="1">Total!E31</f>
        <v>28.504100000000001</v>
      </c>
      <c r="AB31" s="5">
        <f t="shared" ca="1" si="1"/>
        <v>2.9087043618285882E-3</v>
      </c>
      <c r="AC31" s="5">
        <f t="shared" ca="1" si="2"/>
        <v>3.0848193768615766E-3</v>
      </c>
      <c r="AD31" s="5">
        <f t="shared" ca="1" si="3"/>
        <v>1.4783838114516804E-3</v>
      </c>
      <c r="AE31" s="5">
        <f t="shared" ca="1" si="4"/>
        <v>3.1665620033609434E-3</v>
      </c>
      <c r="AF31" s="5">
        <f t="shared" ca="1" si="5"/>
        <v>1.4783838114516804E-3</v>
      </c>
      <c r="AG31" s="5">
        <f t="shared" ca="1" si="6"/>
        <v>1.4783838114516804E-3</v>
      </c>
      <c r="AH31" s="5">
        <f t="shared" ca="1" si="7"/>
        <v>3.5833441504905805E-3</v>
      </c>
      <c r="AI31" s="5">
        <f t="shared" ca="1" si="8"/>
        <v>2.733992653688364E-3</v>
      </c>
      <c r="AJ31" s="5">
        <f t="shared" ca="1" si="9"/>
        <v>1.4783838114516804E-3</v>
      </c>
      <c r="AK31" s="5">
        <f t="shared" ca="1" si="10"/>
        <v>2.9087043618285882E-3</v>
      </c>
      <c r="AM31" s="5">
        <f t="shared" ca="1" si="13"/>
        <v>2.4299662153865365E-2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1.2033799999999999</v>
      </c>
      <c r="F32" s="5">
        <v>29</v>
      </c>
      <c r="H32" s="5" t="s">
        <v>0</v>
      </c>
      <c r="I32" s="5">
        <v>50</v>
      </c>
      <c r="J32" s="5">
        <v>0.4</v>
      </c>
      <c r="L32" s="5">
        <f t="shared" ca="1" si="11"/>
        <v>56.511339999999997</v>
      </c>
      <c r="M32" s="5">
        <f t="shared" ca="1" si="11"/>
        <v>56.901339999999998</v>
      </c>
      <c r="N32" s="5">
        <f t="shared" ca="1" si="11"/>
        <v>58.976860000000002</v>
      </c>
      <c r="O32" s="5">
        <f t="shared" ca="1" si="11"/>
        <v>59.044339999999998</v>
      </c>
      <c r="P32" s="5">
        <f t="shared" ca="1" si="11"/>
        <v>56.901339999999998</v>
      </c>
      <c r="Q32" s="5">
        <f t="shared" ca="1" si="11"/>
        <v>59.637619999999998</v>
      </c>
      <c r="R32" s="5">
        <f t="shared" ca="1" si="11"/>
        <v>60.024349999999998</v>
      </c>
      <c r="S32" s="5">
        <f t="shared" ca="1" si="11"/>
        <v>56.911659999999998</v>
      </c>
      <c r="T32" s="5">
        <f t="shared" ca="1" si="11"/>
        <v>59.011339999999997</v>
      </c>
      <c r="U32" s="5">
        <f t="shared" ca="1" si="11"/>
        <v>58.962850000000003</v>
      </c>
      <c r="W32" s="5">
        <f t="shared" ca="1" si="12"/>
        <v>58.288304000000004</v>
      </c>
      <c r="Y32" s="5">
        <f ca="1">Total!E32</f>
        <v>56.511339999999997</v>
      </c>
      <c r="AB32" s="5">
        <f t="shared" ca="1" si="1"/>
        <v>0</v>
      </c>
      <c r="AC32" s="5">
        <f t="shared" ca="1" si="2"/>
        <v>6.901269727456482E-3</v>
      </c>
      <c r="AD32" s="5">
        <f t="shared" ca="1" si="3"/>
        <v>4.362876548317568E-2</v>
      </c>
      <c r="AE32" s="5">
        <f t="shared" ca="1" si="4"/>
        <v>4.4822862101659623E-2</v>
      </c>
      <c r="AF32" s="5">
        <f t="shared" ca="1" si="5"/>
        <v>6.901269727456482E-3</v>
      </c>
      <c r="AG32" s="5">
        <f t="shared" ca="1" si="6"/>
        <v>5.5321285957827253E-2</v>
      </c>
      <c r="AH32" s="5">
        <f t="shared" ca="1" si="7"/>
        <v>6.2164691192953508E-2</v>
      </c>
      <c r="AI32" s="5">
        <f t="shared" ca="1" si="8"/>
        <v>7.0838879417830245E-3</v>
      </c>
      <c r="AJ32" s="5">
        <f t="shared" ca="1" si="9"/>
        <v>4.4238908509336358E-2</v>
      </c>
      <c r="AK32" s="5">
        <f t="shared" ca="1" si="10"/>
        <v>4.3380850639889376E-2</v>
      </c>
      <c r="AM32" s="5">
        <f t="shared" ca="1" si="13"/>
        <v>0.31444379128153782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1.21637</v>
      </c>
      <c r="F33" s="5">
        <v>28</v>
      </c>
      <c r="H33" s="5" t="s">
        <v>0</v>
      </c>
      <c r="I33" s="5">
        <v>50</v>
      </c>
      <c r="J33" s="5">
        <v>0.7</v>
      </c>
      <c r="L33" s="5">
        <f t="shared" ca="1" si="11"/>
        <v>53.688400000000001</v>
      </c>
      <c r="M33" s="5">
        <f t="shared" ca="1" si="11"/>
        <v>53.91507</v>
      </c>
      <c r="N33" s="5">
        <f t="shared" ca="1" si="11"/>
        <v>53.444980000000001</v>
      </c>
      <c r="O33" s="5">
        <f t="shared" ca="1" si="11"/>
        <v>53.262749999999997</v>
      </c>
      <c r="P33" s="5">
        <f t="shared" ca="1" si="11"/>
        <v>53.755600000000001</v>
      </c>
      <c r="Q33" s="5">
        <f t="shared" ca="1" si="11"/>
        <v>53.636920000000003</v>
      </c>
      <c r="R33" s="5">
        <f t="shared" ca="1" si="11"/>
        <v>53.338639999999998</v>
      </c>
      <c r="S33" s="5">
        <f t="shared" ca="1" si="11"/>
        <v>53.531370000000003</v>
      </c>
      <c r="T33" s="5">
        <f t="shared" ca="1" si="11"/>
        <v>53.547629999999998</v>
      </c>
      <c r="U33" s="5">
        <f t="shared" ca="1" si="11"/>
        <v>54.02402</v>
      </c>
      <c r="W33" s="5">
        <f t="shared" ca="1" si="12"/>
        <v>53.614537999999996</v>
      </c>
      <c r="Y33" s="5">
        <f ca="1">Total!E33</f>
        <v>53.115070000000003</v>
      </c>
      <c r="AB33" s="5">
        <f t="shared" ca="1" si="1"/>
        <v>1.0794111727613246E-2</v>
      </c>
      <c r="AC33" s="5">
        <f t="shared" ca="1" si="2"/>
        <v>1.5061638815499953E-2</v>
      </c>
      <c r="AD33" s="5">
        <f t="shared" ca="1" si="3"/>
        <v>6.2112315770269742E-3</v>
      </c>
      <c r="AE33" s="5">
        <f t="shared" ca="1" si="4"/>
        <v>2.780378525341189E-3</v>
      </c>
      <c r="AF33" s="5">
        <f t="shared" ca="1" si="5"/>
        <v>1.2059289388115242E-2</v>
      </c>
      <c r="AG33" s="5">
        <f t="shared" ca="1" si="6"/>
        <v>9.8248952698358587E-3</v>
      </c>
      <c r="AH33" s="5">
        <f t="shared" ca="1" si="7"/>
        <v>4.2091632374765793E-3</v>
      </c>
      <c r="AI33" s="5">
        <f t="shared" ca="1" si="8"/>
        <v>7.8377002986158104E-3</v>
      </c>
      <c r="AJ33" s="5">
        <f t="shared" ca="1" si="9"/>
        <v>8.1438281075407633E-3</v>
      </c>
      <c r="AK33" s="5">
        <f t="shared" ca="1" si="10"/>
        <v>1.7112845751685861E-2</v>
      </c>
      <c r="AM33" s="5">
        <f t="shared" ca="1" si="13"/>
        <v>9.4035082698751465E-2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1.2095100000000001</v>
      </c>
      <c r="F34" s="5">
        <v>30</v>
      </c>
      <c r="H34" s="5" t="s">
        <v>0</v>
      </c>
      <c r="I34" s="5">
        <v>50</v>
      </c>
      <c r="J34" s="5">
        <v>1</v>
      </c>
      <c r="L34" s="5">
        <f t="shared" ca="1" si="11"/>
        <v>53.167569999999998</v>
      </c>
      <c r="M34" s="5">
        <f t="shared" ca="1" si="11"/>
        <v>53.247489999999999</v>
      </c>
      <c r="N34" s="5">
        <f t="shared" ca="1" si="11"/>
        <v>53.147570000000002</v>
      </c>
      <c r="O34" s="5">
        <f t="shared" ca="1" si="11"/>
        <v>53.045859999999998</v>
      </c>
      <c r="P34" s="5">
        <f t="shared" ca="1" si="11"/>
        <v>53.557490000000001</v>
      </c>
      <c r="Q34" s="5">
        <f t="shared" ca="1" si="11"/>
        <v>53.247489999999999</v>
      </c>
      <c r="R34" s="5">
        <f t="shared" ca="1" si="11"/>
        <v>53.272190000000002</v>
      </c>
      <c r="S34" s="5">
        <f t="shared" ca="1" si="11"/>
        <v>53.495600000000003</v>
      </c>
      <c r="T34" s="5">
        <f t="shared" ca="1" si="11"/>
        <v>53.212179999999996</v>
      </c>
      <c r="U34" s="5">
        <f t="shared" ca="1" si="11"/>
        <v>53.480029999999999</v>
      </c>
      <c r="W34" s="5">
        <f t="shared" ca="1" si="12"/>
        <v>53.287346999999997</v>
      </c>
      <c r="Y34" s="5">
        <f ca="1">Total!E34</f>
        <v>53.003740000000001</v>
      </c>
      <c r="AB34" s="5">
        <f t="shared" ca="1" si="1"/>
        <v>3.0909139619203713E-3</v>
      </c>
      <c r="AC34" s="5">
        <f t="shared" ca="1" si="2"/>
        <v>4.598732089471395E-3</v>
      </c>
      <c r="AD34" s="5">
        <f t="shared" ca="1" si="3"/>
        <v>2.7135820981689447E-3</v>
      </c>
      <c r="AE34" s="5">
        <f t="shared" ca="1" si="4"/>
        <v>7.9466090506060609E-4</v>
      </c>
      <c r="AF34" s="5">
        <f t="shared" ca="1" si="5"/>
        <v>1.0447375977619709E-2</v>
      </c>
      <c r="AG34" s="5">
        <f t="shared" ca="1" si="6"/>
        <v>4.598732089471395E-3</v>
      </c>
      <c r="AH34" s="5">
        <f t="shared" ca="1" si="7"/>
        <v>5.0647369412045529E-3</v>
      </c>
      <c r="AI34" s="5">
        <f t="shared" ca="1" si="8"/>
        <v>9.2797225252407214E-3</v>
      </c>
      <c r="AJ34" s="5">
        <f t="shared" ca="1" si="9"/>
        <v>3.9325526840180702E-3</v>
      </c>
      <c r="AK34" s="5">
        <f t="shared" ca="1" si="10"/>
        <v>8.9859696693101038E-3</v>
      </c>
      <c r="AM34" s="5">
        <f t="shared" ca="1" si="13"/>
        <v>5.3506978941485872E-2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1.20366</v>
      </c>
      <c r="F35" s="5">
        <v>30</v>
      </c>
      <c r="H35" s="5" t="s">
        <v>0</v>
      </c>
      <c r="I35" s="5">
        <v>100</v>
      </c>
      <c r="J35" s="5">
        <v>0.4</v>
      </c>
      <c r="L35" s="5">
        <f t="shared" ca="1" si="11"/>
        <v>148.22783000000001</v>
      </c>
      <c r="M35" s="5">
        <f t="shared" ca="1" si="11"/>
        <v>148.2432</v>
      </c>
      <c r="N35" s="5">
        <f t="shared" ca="1" si="11"/>
        <v>148.27562</v>
      </c>
      <c r="O35" s="5">
        <f t="shared" ca="1" si="11"/>
        <v>148.26902000000001</v>
      </c>
      <c r="P35" s="5">
        <f t="shared" ca="1" si="11"/>
        <v>148.27403000000001</v>
      </c>
      <c r="Q35" s="5">
        <f t="shared" ca="1" si="11"/>
        <v>148.28783000000001</v>
      </c>
      <c r="R35" s="5">
        <f t="shared" ca="1" si="11"/>
        <v>148.23033000000001</v>
      </c>
      <c r="S35" s="5">
        <f t="shared" ca="1" si="11"/>
        <v>148.23298</v>
      </c>
      <c r="T35" s="5">
        <f t="shared" ca="1" si="11"/>
        <v>148.25153</v>
      </c>
      <c r="U35" s="5">
        <f t="shared" ca="1" si="11"/>
        <v>148.26949999999999</v>
      </c>
      <c r="W35" s="5">
        <f t="shared" ca="1" si="12"/>
        <v>148.25618700000001</v>
      </c>
      <c r="Y35" s="5">
        <f ca="1">Total!E35</f>
        <v>147.96312</v>
      </c>
      <c r="AB35" s="5">
        <f t="shared" ca="1" si="1"/>
        <v>1.7890268872406041E-3</v>
      </c>
      <c r="AC35" s="5">
        <f t="shared" ca="1" si="2"/>
        <v>1.8929041236762114E-3</v>
      </c>
      <c r="AD35" s="5">
        <f t="shared" ca="1" si="3"/>
        <v>2.1120127772380035E-3</v>
      </c>
      <c r="AE35" s="5">
        <f t="shared" ca="1" si="4"/>
        <v>2.0674070673827928E-3</v>
      </c>
      <c r="AF35" s="5">
        <f t="shared" ca="1" si="5"/>
        <v>2.1012668562274631E-3</v>
      </c>
      <c r="AG35" s="5">
        <f t="shared" ca="1" si="6"/>
        <v>2.1945333404703163E-3</v>
      </c>
      <c r="AH35" s="5">
        <f t="shared" ca="1" si="7"/>
        <v>1.805922989458493E-3</v>
      </c>
      <c r="AI35" s="5">
        <f t="shared" ca="1" si="8"/>
        <v>1.8238328578093935E-3</v>
      </c>
      <c r="AJ35" s="5">
        <f t="shared" ca="1" si="9"/>
        <v>1.9492019362662733E-3</v>
      </c>
      <c r="AK35" s="5">
        <f t="shared" ca="1" si="10"/>
        <v>2.0706511190085077E-3</v>
      </c>
      <c r="AM35" s="5">
        <f t="shared" ca="1" si="13"/>
        <v>1.9806759954778059E-2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1.21923</v>
      </c>
      <c r="F36" s="5">
        <v>30</v>
      </c>
      <c r="H36" s="5" t="s">
        <v>0</v>
      </c>
      <c r="I36" s="5">
        <v>100</v>
      </c>
      <c r="J36" s="5">
        <v>0.7</v>
      </c>
      <c r="L36" s="5">
        <f t="shared" ca="1" si="11"/>
        <v>108.0596</v>
      </c>
      <c r="M36" s="5">
        <f t="shared" ca="1" si="11"/>
        <v>108.34344</v>
      </c>
      <c r="N36" s="5">
        <f t="shared" ca="1" si="11"/>
        <v>108.29949999999999</v>
      </c>
      <c r="O36" s="5">
        <f t="shared" ca="1" si="11"/>
        <v>108.26533000000001</v>
      </c>
      <c r="P36" s="5">
        <f t="shared" ca="1" si="11"/>
        <v>108.4504</v>
      </c>
      <c r="Q36" s="5">
        <f t="shared" ca="1" si="11"/>
        <v>108.23147</v>
      </c>
      <c r="R36" s="5">
        <f t="shared" ca="1" si="11"/>
        <v>108.14337</v>
      </c>
      <c r="S36" s="5">
        <f t="shared" ca="1" si="11"/>
        <v>108.41177999999999</v>
      </c>
      <c r="T36" s="5">
        <f t="shared" ca="1" si="11"/>
        <v>108.17543999999999</v>
      </c>
      <c r="U36" s="5">
        <f t="shared" ca="1" si="11"/>
        <v>108.15926</v>
      </c>
      <c r="W36" s="5">
        <f t="shared" ca="1" si="12"/>
        <v>108.25395900000001</v>
      </c>
      <c r="Y36" s="5">
        <f ca="1">Total!E36</f>
        <v>107.28163000000001</v>
      </c>
      <c r="AB36" s="5">
        <f t="shared" ca="1" si="1"/>
        <v>7.2516608854656314E-3</v>
      </c>
      <c r="AC36" s="5">
        <f t="shared" ca="1" si="2"/>
        <v>9.8974074126203532E-3</v>
      </c>
      <c r="AD36" s="5">
        <f t="shared" ca="1" si="3"/>
        <v>9.4878312344805708E-3</v>
      </c>
      <c r="AE36" s="5">
        <f t="shared" ca="1" si="4"/>
        <v>9.1693237695959582E-3</v>
      </c>
      <c r="AF36" s="5">
        <f t="shared" ca="1" si="5"/>
        <v>1.089440941566599E-2</v>
      </c>
      <c r="AG36" s="5">
        <f t="shared" ca="1" si="6"/>
        <v>8.8537058954081382E-3</v>
      </c>
      <c r="AH36" s="5">
        <f t="shared" ca="1" si="7"/>
        <v>8.0325028618599241E-3</v>
      </c>
      <c r="AI36" s="5">
        <f t="shared" ca="1" si="8"/>
        <v>1.053442234238971E-2</v>
      </c>
      <c r="AJ36" s="5">
        <f t="shared" ca="1" si="9"/>
        <v>8.3314356800878939E-3</v>
      </c>
      <c r="AK36" s="5">
        <f t="shared" ca="1" si="10"/>
        <v>8.180617688228602E-3</v>
      </c>
      <c r="AM36" s="5">
        <f t="shared" ca="1" si="13"/>
        <v>9.0633317185802767E-2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1.20322</v>
      </c>
      <c r="F37" s="5">
        <v>30</v>
      </c>
      <c r="H37" s="5" t="s">
        <v>0</v>
      </c>
      <c r="I37" s="5">
        <v>100</v>
      </c>
      <c r="J37" s="5">
        <v>1</v>
      </c>
      <c r="L37" s="5">
        <f t="shared" ca="1" si="11"/>
        <v>103.60996</v>
      </c>
      <c r="M37" s="5">
        <f t="shared" ca="1" si="11"/>
        <v>104.01033</v>
      </c>
      <c r="N37" s="5">
        <f t="shared" ca="1" si="11"/>
        <v>104.002</v>
      </c>
      <c r="O37" s="5">
        <f t="shared" ca="1" si="11"/>
        <v>103.69919</v>
      </c>
      <c r="P37" s="5">
        <f t="shared" ca="1" si="11"/>
        <v>103.98163</v>
      </c>
      <c r="Q37" s="5">
        <f t="shared" ca="1" si="11"/>
        <v>103.95419</v>
      </c>
      <c r="R37" s="5">
        <f t="shared" ca="1" si="11"/>
        <v>103.58663</v>
      </c>
      <c r="S37" s="5">
        <f t="shared" ca="1" si="11"/>
        <v>103.26828999999999</v>
      </c>
      <c r="T37" s="5">
        <f t="shared" ca="1" si="11"/>
        <v>103.94747</v>
      </c>
      <c r="U37" s="5">
        <f t="shared" ca="1" si="11"/>
        <v>103.94329</v>
      </c>
      <c r="W37" s="5">
        <f t="shared" ca="1" si="12"/>
        <v>103.800298</v>
      </c>
      <c r="Y37" s="5">
        <f ca="1">Total!E37</f>
        <v>103.21266</v>
      </c>
      <c r="AB37" s="5">
        <f t="shared" ca="1" si="1"/>
        <v>3.8493339867415616E-3</v>
      </c>
      <c r="AC37" s="5">
        <f t="shared" ca="1" si="2"/>
        <v>7.7284123866199804E-3</v>
      </c>
      <c r="AD37" s="5">
        <f t="shared" ca="1" si="3"/>
        <v>7.6477052330595459E-3</v>
      </c>
      <c r="AE37" s="5">
        <f t="shared" ca="1" si="4"/>
        <v>4.7138597144962824E-3</v>
      </c>
      <c r="AF37" s="5">
        <f t="shared" ca="1" si="5"/>
        <v>7.4503457230924571E-3</v>
      </c>
      <c r="AG37" s="5">
        <f t="shared" ca="1" si="6"/>
        <v>7.1844868643051868E-3</v>
      </c>
      <c r="AH37" s="5">
        <f t="shared" ca="1" si="7"/>
        <v>3.6232958243688313E-3</v>
      </c>
      <c r="AI37" s="5">
        <f t="shared" ca="1" si="8"/>
        <v>5.3898426801512165E-4</v>
      </c>
      <c r="AJ37" s="5">
        <f t="shared" ca="1" si="9"/>
        <v>7.1193785723572666E-3</v>
      </c>
      <c r="AK37" s="5">
        <f t="shared" ca="1" si="10"/>
        <v>7.0788796645683289E-3</v>
      </c>
      <c r="AM37" s="5">
        <f t="shared" ca="1" si="13"/>
        <v>5.6934682237624559E-2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1.2007300000000001</v>
      </c>
      <c r="F38" s="5">
        <v>29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1.2104200000000001</v>
      </c>
      <c r="F39" s="5">
        <v>30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1.21712</v>
      </c>
      <c r="F40" s="5">
        <v>29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2.8960599999999999</v>
      </c>
      <c r="F41" s="5">
        <v>83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2.9136899999999999</v>
      </c>
      <c r="F42" s="5">
        <v>85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2.9082699999999999</v>
      </c>
      <c r="F43" s="5">
        <v>85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2.9089</v>
      </c>
      <c r="F44" s="5">
        <v>84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2.9169</v>
      </c>
      <c r="F45" s="5">
        <v>86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2.9118900000000001</v>
      </c>
      <c r="F46" s="5">
        <v>85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2.91513</v>
      </c>
      <c r="F47" s="5">
        <v>84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2.8963100000000002</v>
      </c>
      <c r="F48" s="5">
        <v>83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2.8924400000000001</v>
      </c>
      <c r="F49" s="5">
        <v>85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2.9155899999999999</v>
      </c>
      <c r="F50" s="5">
        <v>85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182.34583000000001</v>
      </c>
      <c r="E51" s="5">
        <v>4.6125699999999998</v>
      </c>
      <c r="F51" s="5">
        <v>130</v>
      </c>
    </row>
    <row r="52" spans="1:6" x14ac:dyDescent="0.25">
      <c r="A52" s="5" t="s">
        <v>27</v>
      </c>
      <c r="B52" s="5">
        <v>50</v>
      </c>
      <c r="C52" s="5">
        <v>1</v>
      </c>
      <c r="D52" s="5">
        <v>182.44635</v>
      </c>
      <c r="E52" s="5">
        <v>4.61449</v>
      </c>
      <c r="F52" s="5">
        <v>134</v>
      </c>
    </row>
    <row r="53" spans="1:6" x14ac:dyDescent="0.25">
      <c r="A53" s="5" t="s">
        <v>27</v>
      </c>
      <c r="B53" s="5">
        <v>50</v>
      </c>
      <c r="C53" s="5">
        <v>1</v>
      </c>
      <c r="D53" s="5">
        <v>180.24666999999999</v>
      </c>
      <c r="E53" s="5">
        <v>4.5983000000000001</v>
      </c>
      <c r="F53" s="5">
        <v>134</v>
      </c>
    </row>
    <row r="54" spans="1:6" x14ac:dyDescent="0.25">
      <c r="A54" s="5" t="s">
        <v>27</v>
      </c>
      <c r="B54" s="5">
        <v>50</v>
      </c>
      <c r="C54" s="5">
        <v>1</v>
      </c>
      <c r="D54" s="5">
        <v>182.34583000000001</v>
      </c>
      <c r="E54" s="5">
        <v>4.6108900000000004</v>
      </c>
      <c r="F54" s="5">
        <v>133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182.34583000000001</v>
      </c>
      <c r="E55" s="5">
        <v>4.5965199999999999</v>
      </c>
      <c r="F55" s="5">
        <v>133</v>
      </c>
    </row>
    <row r="56" spans="1:6" x14ac:dyDescent="0.25">
      <c r="A56" s="5" t="s">
        <v>27</v>
      </c>
      <c r="B56" s="5">
        <v>50</v>
      </c>
      <c r="C56" s="5">
        <v>1</v>
      </c>
      <c r="D56" s="5">
        <v>181.5967</v>
      </c>
      <c r="E56" s="5">
        <v>4.6016700000000004</v>
      </c>
      <c r="F56" s="5">
        <v>133</v>
      </c>
    </row>
    <row r="57" spans="1:6" x14ac:dyDescent="0.25">
      <c r="A57" s="5" t="s">
        <v>27</v>
      </c>
      <c r="B57" s="5">
        <v>50</v>
      </c>
      <c r="C57" s="5">
        <v>1</v>
      </c>
      <c r="D57" s="5">
        <v>180.38311999999999</v>
      </c>
      <c r="E57" s="5">
        <v>4.6051500000000001</v>
      </c>
      <c r="F57" s="5">
        <v>134</v>
      </c>
    </row>
    <row r="58" spans="1:6" x14ac:dyDescent="0.25">
      <c r="A58" s="5" t="s">
        <v>27</v>
      </c>
      <c r="B58" s="5">
        <v>50</v>
      </c>
      <c r="C58" s="5">
        <v>1</v>
      </c>
      <c r="D58" s="5">
        <v>182.34583000000001</v>
      </c>
      <c r="E58" s="5">
        <v>4.5950600000000001</v>
      </c>
      <c r="F58" s="5">
        <v>132</v>
      </c>
    </row>
    <row r="59" spans="1:6" x14ac:dyDescent="0.25">
      <c r="A59" s="5" t="s">
        <v>27</v>
      </c>
      <c r="B59" s="5">
        <v>50</v>
      </c>
      <c r="C59" s="5">
        <v>1</v>
      </c>
      <c r="D59" s="5">
        <v>181.40834000000001</v>
      </c>
      <c r="E59" s="5">
        <v>4.6079999999999997</v>
      </c>
      <c r="F59" s="5">
        <v>134</v>
      </c>
    </row>
    <row r="60" spans="1:6" x14ac:dyDescent="0.25">
      <c r="A60" s="5" t="s">
        <v>27</v>
      </c>
      <c r="B60" s="5">
        <v>50</v>
      </c>
      <c r="C60" s="5">
        <v>1</v>
      </c>
      <c r="D60" s="5">
        <v>181.96333000000001</v>
      </c>
      <c r="E60" s="5">
        <v>4.593</v>
      </c>
      <c r="F60" s="5">
        <v>131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5.68825</v>
      </c>
      <c r="F61" s="5">
        <v>44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5.6418999999999997</v>
      </c>
      <c r="F62" s="5">
        <v>44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5.63985</v>
      </c>
      <c r="F63" s="5">
        <v>44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5.6428599999999998</v>
      </c>
      <c r="F64" s="5">
        <v>44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5.6078999999999999</v>
      </c>
      <c r="F65" s="5">
        <v>43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5.63558</v>
      </c>
      <c r="F66" s="5">
        <v>44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5.6913400000000003</v>
      </c>
      <c r="F67" s="5">
        <v>44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5.6653099999999998</v>
      </c>
      <c r="F68" s="5">
        <v>44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5.7072599999999998</v>
      </c>
      <c r="F69" s="5">
        <v>44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5.6580599999999999</v>
      </c>
      <c r="F70" s="5">
        <v>44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256.70184999999998</v>
      </c>
      <c r="E71" s="5">
        <v>11.670349999999999</v>
      </c>
      <c r="F71" s="5">
        <v>88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258.20163000000002</v>
      </c>
      <c r="E72" s="5">
        <v>11.709250000000001</v>
      </c>
      <c r="F72" s="5">
        <v>87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258.61185</v>
      </c>
      <c r="E73" s="5">
        <v>11.75367</v>
      </c>
      <c r="F73" s="5">
        <v>88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259.14519000000001</v>
      </c>
      <c r="E74" s="5">
        <v>11.744120000000001</v>
      </c>
      <c r="F74" s="5">
        <v>89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259.25519000000003</v>
      </c>
      <c r="E75" s="5">
        <v>11.7507</v>
      </c>
      <c r="F75" s="5">
        <v>89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259.92351000000002</v>
      </c>
      <c r="E76" s="5">
        <v>11.72186</v>
      </c>
      <c r="F76" s="5">
        <v>89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258.17065000000002</v>
      </c>
      <c r="E77" s="5">
        <v>11.655010000000001</v>
      </c>
      <c r="F77" s="5">
        <v>88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258.92851999999999</v>
      </c>
      <c r="E78" s="5">
        <v>11.718220000000001</v>
      </c>
      <c r="F78" s="5">
        <v>88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260.30185</v>
      </c>
      <c r="E79" s="5">
        <v>11.71692</v>
      </c>
      <c r="F79" s="5">
        <v>88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258.70292000000001</v>
      </c>
      <c r="E80" s="5">
        <v>11.6739</v>
      </c>
      <c r="F80" s="5">
        <v>88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239.05475000000001</v>
      </c>
      <c r="E81" s="5">
        <v>30.202449999999999</v>
      </c>
      <c r="F81" s="5">
        <v>226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239.86332999999999</v>
      </c>
      <c r="E82" s="5">
        <v>30.18393</v>
      </c>
      <c r="F82" s="5">
        <v>226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239.52959000000001</v>
      </c>
      <c r="E83" s="5">
        <v>30.149709999999999</v>
      </c>
      <c r="F83" s="5">
        <v>224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239.15223</v>
      </c>
      <c r="E84" s="5">
        <v>30.17061</v>
      </c>
      <c r="F84" s="5">
        <v>225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239.34</v>
      </c>
      <c r="E85" s="5">
        <v>30.15099</v>
      </c>
      <c r="F85" s="5">
        <v>224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239.29</v>
      </c>
      <c r="E86" s="5">
        <v>30.15183</v>
      </c>
      <c r="F86" s="5">
        <v>226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239.44667000000001</v>
      </c>
      <c r="E87" s="5">
        <v>30.208939999999998</v>
      </c>
      <c r="F87" s="5">
        <v>226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239.09333000000001</v>
      </c>
      <c r="E88" s="5">
        <v>30.152979999999999</v>
      </c>
      <c r="F88" s="5">
        <v>225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239.64823000000001</v>
      </c>
      <c r="E89" s="5">
        <v>30.217040000000001</v>
      </c>
      <c r="F89" s="5">
        <v>227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239.00667000000001</v>
      </c>
      <c r="E90" s="5">
        <v>30.230820000000001</v>
      </c>
      <c r="F90" s="5">
        <v>224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0.58135999999999999</v>
      </c>
      <c r="F91" s="5">
        <v>64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0.58562999999999998</v>
      </c>
      <c r="F92" s="5">
        <v>51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0.58825000000000005</v>
      </c>
      <c r="F93" s="5">
        <v>65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0.58706000000000003</v>
      </c>
      <c r="F94" s="5">
        <v>65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0.58753</v>
      </c>
      <c r="F95" s="5">
        <v>65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0.58603000000000005</v>
      </c>
      <c r="F96" s="5">
        <v>65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0.58504999999999996</v>
      </c>
      <c r="F97" s="5">
        <v>65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0.58416000000000001</v>
      </c>
      <c r="F98" s="5">
        <v>65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0.58191000000000004</v>
      </c>
      <c r="F99" s="5">
        <v>57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0.58328000000000002</v>
      </c>
      <c r="F100" s="5">
        <v>63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0.73924000000000001</v>
      </c>
      <c r="F101" s="5">
        <v>71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0.73734</v>
      </c>
      <c r="F102" s="5">
        <v>81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0.73431000000000002</v>
      </c>
      <c r="F103" s="5">
        <v>83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0.73714999999999997</v>
      </c>
      <c r="F104" s="5">
        <v>84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0.73685999999999996</v>
      </c>
      <c r="F105" s="5">
        <v>83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0.73565000000000003</v>
      </c>
      <c r="F106" s="5">
        <v>82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0.73501000000000005</v>
      </c>
      <c r="F107" s="5">
        <v>75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0.73939999999999995</v>
      </c>
      <c r="F108" s="5">
        <v>81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0.74053000000000002</v>
      </c>
      <c r="F109" s="5">
        <v>82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0.73890999999999996</v>
      </c>
      <c r="F110" s="5">
        <v>82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1.28071</v>
      </c>
      <c r="F111" s="5">
        <v>131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1.27963</v>
      </c>
      <c r="F112" s="5">
        <v>138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1.2789200000000001</v>
      </c>
      <c r="F113" s="5">
        <v>136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1.2789699999999999</v>
      </c>
      <c r="F114" s="5">
        <v>132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1.27793</v>
      </c>
      <c r="F115" s="5">
        <v>140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1.2797499999999999</v>
      </c>
      <c r="F116" s="5">
        <v>139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1.2744899999999999</v>
      </c>
      <c r="F117" s="5">
        <v>128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1.27478</v>
      </c>
      <c r="F118" s="5">
        <v>140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1.2760499999999999</v>
      </c>
      <c r="F119" s="5">
        <v>140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1.2806900000000001</v>
      </c>
      <c r="F120" s="5">
        <v>136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4348.0289499999999</v>
      </c>
      <c r="E121" s="5">
        <v>1.99238</v>
      </c>
      <c r="F121" s="5">
        <v>64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4348.0289499999999</v>
      </c>
      <c r="E122" s="5">
        <v>2.0011199999999998</v>
      </c>
      <c r="F122" s="5">
        <v>71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4348.0289499999999</v>
      </c>
      <c r="E123" s="5">
        <v>2.0006200000000001</v>
      </c>
      <c r="F123" s="5">
        <v>70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4348.0289499999999</v>
      </c>
      <c r="E124" s="5">
        <v>1.99542</v>
      </c>
      <c r="F124" s="5">
        <v>70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4348.0289499999999</v>
      </c>
      <c r="E125" s="5">
        <v>2.0103300000000002</v>
      </c>
      <c r="F125" s="5">
        <v>71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4348.0289499999999</v>
      </c>
      <c r="E126" s="5">
        <v>2.00467</v>
      </c>
      <c r="F126" s="5">
        <v>69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2.0001199999999999</v>
      </c>
      <c r="F127" s="5">
        <v>71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1.9915700000000001</v>
      </c>
      <c r="F128" s="5">
        <v>68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1.9970300000000001</v>
      </c>
      <c r="F129" s="5">
        <v>70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4348.0289499999999</v>
      </c>
      <c r="E130" s="5">
        <v>1.9963900000000001</v>
      </c>
      <c r="F130" s="5">
        <v>68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2.8626399999999999</v>
      </c>
      <c r="F131" s="5">
        <v>97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2.8793600000000001</v>
      </c>
      <c r="F132" s="5">
        <v>98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2.8614000000000002</v>
      </c>
      <c r="F133" s="5">
        <v>101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2.8784399999999999</v>
      </c>
      <c r="F134" s="5">
        <v>98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2.8653</v>
      </c>
      <c r="F135" s="5">
        <v>98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2.8749500000000001</v>
      </c>
      <c r="F136" s="5">
        <v>100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2.8767800000000001</v>
      </c>
      <c r="F137" s="5">
        <v>96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2.8832499999999999</v>
      </c>
      <c r="F138" s="5">
        <v>99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2.8611399999999998</v>
      </c>
      <c r="F139" s="5">
        <v>98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2.8660399999999999</v>
      </c>
      <c r="F140" s="5">
        <v>99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3.5145900000000001</v>
      </c>
      <c r="F141" s="5">
        <v>121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3.5305399999999998</v>
      </c>
      <c r="F142" s="5">
        <v>126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3.5268299999999999</v>
      </c>
      <c r="F143" s="5">
        <v>121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3.5332599999999998</v>
      </c>
      <c r="F144" s="5">
        <v>122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3.5272000000000001</v>
      </c>
      <c r="F145" s="5">
        <v>123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3.5177800000000001</v>
      </c>
      <c r="F146" s="5">
        <v>123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3.5334099999999999</v>
      </c>
      <c r="F147" s="5">
        <v>123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3.5355699999999999</v>
      </c>
      <c r="F148" s="5">
        <v>126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3.53166</v>
      </c>
      <c r="F149" s="5">
        <v>127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3.5110700000000001</v>
      </c>
      <c r="F150" s="5">
        <v>122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42986.45392</v>
      </c>
      <c r="E151" s="5">
        <v>4.9584900000000003</v>
      </c>
      <c r="F151" s="5">
        <v>40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42986.836920000002</v>
      </c>
      <c r="E152" s="5">
        <v>4.9081000000000001</v>
      </c>
      <c r="F152" s="5">
        <v>40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42986.802479999998</v>
      </c>
      <c r="E153" s="5">
        <v>4.9192</v>
      </c>
      <c r="F153" s="5">
        <v>40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42986.673049999998</v>
      </c>
      <c r="E154" s="5">
        <v>4.9065500000000002</v>
      </c>
      <c r="F154" s="5">
        <v>40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42986.403050000001</v>
      </c>
      <c r="E155" s="5">
        <v>4.9639300000000004</v>
      </c>
      <c r="F155" s="5">
        <v>40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42987.904589999998</v>
      </c>
      <c r="E156" s="5">
        <v>4.9153799999999999</v>
      </c>
      <c r="F156" s="5">
        <v>40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42986.802479999998</v>
      </c>
      <c r="E157" s="5">
        <v>4.9272999999999998</v>
      </c>
      <c r="F157" s="5">
        <v>40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42986.403050000001</v>
      </c>
      <c r="E158" s="5">
        <v>4.9910600000000001</v>
      </c>
      <c r="F158" s="5">
        <v>41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42988.818220000001</v>
      </c>
      <c r="E159" s="5">
        <v>4.94848</v>
      </c>
      <c r="F159" s="5">
        <v>41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42986.802479999998</v>
      </c>
      <c r="E160" s="5">
        <v>4.9206399999999997</v>
      </c>
      <c r="F160" s="5">
        <v>40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35750.577870000001</v>
      </c>
      <c r="E161" s="5">
        <v>12.73132</v>
      </c>
      <c r="F161" s="5">
        <v>99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35776.495929999997</v>
      </c>
      <c r="E162" s="5">
        <v>12.72869</v>
      </c>
      <c r="F162" s="5">
        <v>99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35805.77044</v>
      </c>
      <c r="E163" s="5">
        <v>12.75595</v>
      </c>
      <c r="F163" s="5">
        <v>100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35857.378239999998</v>
      </c>
      <c r="E164" s="5">
        <v>12.73954</v>
      </c>
      <c r="F164" s="5">
        <v>100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35901.448989999997</v>
      </c>
      <c r="E165" s="5">
        <v>12.77468</v>
      </c>
      <c r="F165" s="5">
        <v>100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35820.320619999999</v>
      </c>
      <c r="E166" s="5">
        <v>12.719379999999999</v>
      </c>
      <c r="F166" s="5">
        <v>99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35858.966639999999</v>
      </c>
      <c r="E167" s="5">
        <v>12.728619999999999</v>
      </c>
      <c r="F167" s="5">
        <v>99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35798.843430000001</v>
      </c>
      <c r="E168" s="5">
        <v>12.753679999999999</v>
      </c>
      <c r="F168" s="5">
        <v>99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35412.865919999997</v>
      </c>
      <c r="E169" s="5">
        <v>12.706329999999999</v>
      </c>
      <c r="F169" s="5">
        <v>99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35790.090600000003</v>
      </c>
      <c r="E170" s="5">
        <v>12.791119999999999</v>
      </c>
      <c r="F170" s="5">
        <v>100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35273.949999999997</v>
      </c>
      <c r="E171" s="5">
        <v>28.538879999999999</v>
      </c>
      <c r="F171" s="5">
        <v>226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35226.300000000003</v>
      </c>
      <c r="E172" s="5">
        <v>28.522939999999998</v>
      </c>
      <c r="F172" s="5">
        <v>232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35246.221239999999</v>
      </c>
      <c r="E173" s="5">
        <v>28.573920000000001</v>
      </c>
      <c r="F173" s="5">
        <v>231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35259.546670000003</v>
      </c>
      <c r="E174" s="5">
        <v>28.48386</v>
      </c>
      <c r="F174" s="5">
        <v>233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35236.2281</v>
      </c>
      <c r="E175" s="5">
        <v>28.50891</v>
      </c>
      <c r="F175" s="5">
        <v>231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35253.455269999999</v>
      </c>
      <c r="E176" s="5">
        <v>28.502490000000002</v>
      </c>
      <c r="F176" s="5">
        <v>234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35272.534059999998</v>
      </c>
      <c r="E177" s="5">
        <v>28.536149999999999</v>
      </c>
      <c r="F177" s="5">
        <v>233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35241.77218</v>
      </c>
      <c r="E178" s="5">
        <v>28.533850000000001</v>
      </c>
      <c r="F178" s="5">
        <v>233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35254.326670000002</v>
      </c>
      <c r="E179" s="5">
        <v>28.560500000000001</v>
      </c>
      <c r="F179" s="5">
        <v>237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35313.476669999996</v>
      </c>
      <c r="E180" s="5">
        <v>28.578779999999998</v>
      </c>
      <c r="F180" s="5">
        <v>231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0.73119999999999996</v>
      </c>
      <c r="F181" s="5">
        <v>53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0.73748999999999998</v>
      </c>
      <c r="F182" s="5">
        <v>59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0.73651999999999995</v>
      </c>
      <c r="F183" s="5">
        <v>58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0.73451</v>
      </c>
      <c r="F184" s="5">
        <v>59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0.73197999999999996</v>
      </c>
      <c r="F185" s="5">
        <v>58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0.73931999999999998</v>
      </c>
      <c r="F186" s="5">
        <v>53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0.73151999999999995</v>
      </c>
      <c r="F187" s="5">
        <v>58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0.73489000000000004</v>
      </c>
      <c r="F188" s="5">
        <v>57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0.73260000000000003</v>
      </c>
      <c r="F189" s="5">
        <v>56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0.73817999999999995</v>
      </c>
      <c r="F190" s="5">
        <v>56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675.36989000000005</v>
      </c>
      <c r="E191" s="5">
        <v>1.1410199999999999</v>
      </c>
      <c r="F191" s="5">
        <v>89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675.36581000000001</v>
      </c>
      <c r="E192" s="5">
        <v>1.1357999999999999</v>
      </c>
      <c r="F192" s="5">
        <v>84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675.47581000000002</v>
      </c>
      <c r="E193" s="5">
        <v>1.1353</v>
      </c>
      <c r="F193" s="5">
        <v>91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677.41029000000003</v>
      </c>
      <c r="E194" s="5">
        <v>1.1387100000000001</v>
      </c>
      <c r="F194" s="5">
        <v>92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675.36989000000005</v>
      </c>
      <c r="E195" s="5">
        <v>1.1402300000000001</v>
      </c>
      <c r="F195" s="5">
        <v>92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675.78093999999999</v>
      </c>
      <c r="E196" s="5">
        <v>1.14215</v>
      </c>
      <c r="F196" s="5">
        <v>85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675.36581000000001</v>
      </c>
      <c r="E197" s="5">
        <v>1.1439999999999999</v>
      </c>
      <c r="F197" s="5">
        <v>92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675.36989000000005</v>
      </c>
      <c r="E198" s="5">
        <v>1.1433199999999999</v>
      </c>
      <c r="F198" s="5">
        <v>92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675.36581000000001</v>
      </c>
      <c r="E199" s="5">
        <v>1.1426099999999999</v>
      </c>
      <c r="F199" s="5">
        <v>89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675.36581000000001</v>
      </c>
      <c r="E200" s="5">
        <v>1.1414599999999999</v>
      </c>
      <c r="F200" s="5">
        <v>92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657.32992999999999</v>
      </c>
      <c r="E201" s="5">
        <v>2.0663900000000002</v>
      </c>
      <c r="F201" s="5">
        <v>160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657.32380999999998</v>
      </c>
      <c r="E202" s="5">
        <v>2.0726</v>
      </c>
      <c r="F202" s="5">
        <v>161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657.45713999999998</v>
      </c>
      <c r="E203" s="5">
        <v>2.06609</v>
      </c>
      <c r="F203" s="5">
        <v>159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657.45713999999998</v>
      </c>
      <c r="E204" s="5">
        <v>2.0699299999999998</v>
      </c>
      <c r="F204" s="5">
        <v>158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656.34204</v>
      </c>
      <c r="E205" s="5">
        <v>2.0673499999999998</v>
      </c>
      <c r="F205" s="5">
        <v>164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657.95457999999996</v>
      </c>
      <c r="E206" s="5">
        <v>2.0663399999999998</v>
      </c>
      <c r="F206" s="5">
        <v>154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657.32380999999998</v>
      </c>
      <c r="E207" s="5">
        <v>2.0703299999999998</v>
      </c>
      <c r="F207" s="5">
        <v>163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655.43295999999998</v>
      </c>
      <c r="E208" s="5">
        <v>2.0707800000000001</v>
      </c>
      <c r="F208" s="5">
        <v>159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655.46475999999996</v>
      </c>
      <c r="E209" s="5">
        <v>2.0721599999999998</v>
      </c>
      <c r="F209" s="5">
        <v>164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655.46475999999996</v>
      </c>
      <c r="E210" s="5">
        <v>2.0755499999999998</v>
      </c>
      <c r="F210" s="5">
        <v>160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1467.0878600000001</v>
      </c>
      <c r="E211" s="5">
        <v>1.59483</v>
      </c>
      <c r="F211" s="5">
        <v>50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1483.36385</v>
      </c>
      <c r="E212" s="5">
        <v>1.5890500000000001</v>
      </c>
      <c r="F212" s="5">
        <v>53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1467.0878600000001</v>
      </c>
      <c r="E213" s="5">
        <v>1.59484</v>
      </c>
      <c r="F213" s="5">
        <v>53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1460.0209400000001</v>
      </c>
      <c r="E214" s="5">
        <v>1.59013</v>
      </c>
      <c r="F214" s="5">
        <v>53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1459.9687899999999</v>
      </c>
      <c r="E215" s="5">
        <v>1.60059</v>
      </c>
      <c r="F215" s="5">
        <v>54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1483.36385</v>
      </c>
      <c r="E216" s="5">
        <v>1.5957699999999999</v>
      </c>
      <c r="F216" s="5">
        <v>51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1459.9687899999999</v>
      </c>
      <c r="E217" s="5">
        <v>1.60043</v>
      </c>
      <c r="F217" s="5">
        <v>54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1459.9687899999999</v>
      </c>
      <c r="E218" s="5">
        <v>1.6083000000000001</v>
      </c>
      <c r="F218" s="5">
        <v>54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1483.55051</v>
      </c>
      <c r="E219" s="5">
        <v>1.6037999999999999</v>
      </c>
      <c r="F219" s="5">
        <v>51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1483.4559999999999</v>
      </c>
      <c r="E220" s="5">
        <v>1.6078699999999999</v>
      </c>
      <c r="F220" s="5">
        <v>54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1014.16401</v>
      </c>
      <c r="E221" s="5">
        <v>4.5433199999999996</v>
      </c>
      <c r="F221" s="5">
        <v>144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1016.38542</v>
      </c>
      <c r="E222" s="5">
        <v>4.5439600000000002</v>
      </c>
      <c r="F222" s="5">
        <v>150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1007.52946</v>
      </c>
      <c r="E223" s="5">
        <v>4.5602499999999999</v>
      </c>
      <c r="F223" s="5">
        <v>150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1024.2514000000001</v>
      </c>
      <c r="E224" s="5">
        <v>4.5492100000000004</v>
      </c>
      <c r="F224" s="5">
        <v>151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1007.91182</v>
      </c>
      <c r="E225" s="5">
        <v>4.5631700000000004</v>
      </c>
      <c r="F225" s="5">
        <v>150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1021.78467</v>
      </c>
      <c r="E226" s="5">
        <v>4.5514000000000001</v>
      </c>
      <c r="F226" s="5">
        <v>151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1010.97712</v>
      </c>
      <c r="E227" s="5">
        <v>4.5656800000000004</v>
      </c>
      <c r="F227" s="5">
        <v>149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1018.838</v>
      </c>
      <c r="E228" s="5">
        <v>4.5529900000000003</v>
      </c>
      <c r="F228" s="5">
        <v>146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1026.66452</v>
      </c>
      <c r="E229" s="5">
        <v>4.5487200000000003</v>
      </c>
      <c r="F229" s="5">
        <v>149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1009.14121</v>
      </c>
      <c r="E230" s="5">
        <v>4.5456700000000003</v>
      </c>
      <c r="F230" s="5">
        <v>150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999.24170000000004</v>
      </c>
      <c r="E231" s="5">
        <v>8.4108400000000003</v>
      </c>
      <c r="F231" s="5">
        <v>272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994.47051999999996</v>
      </c>
      <c r="E232" s="5">
        <v>8.4101099999999995</v>
      </c>
      <c r="F232" s="5">
        <v>275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995.95667000000003</v>
      </c>
      <c r="E233" s="5">
        <v>8.4103300000000001</v>
      </c>
      <c r="F233" s="5">
        <v>273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996.04778999999996</v>
      </c>
      <c r="E234" s="5">
        <v>8.3956300000000006</v>
      </c>
      <c r="F234" s="5">
        <v>275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994.64130999999998</v>
      </c>
      <c r="E235" s="5">
        <v>8.3855199999999996</v>
      </c>
      <c r="F235" s="5">
        <v>273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996.53232000000003</v>
      </c>
      <c r="E236" s="5">
        <v>8.4138500000000001</v>
      </c>
      <c r="F236" s="5">
        <v>277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993.00819999999999</v>
      </c>
      <c r="E237" s="5">
        <v>8.4138000000000002</v>
      </c>
      <c r="F237" s="5">
        <v>274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994.67875000000004</v>
      </c>
      <c r="E238" s="5">
        <v>8.3895900000000001</v>
      </c>
      <c r="F238" s="5">
        <v>274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993.83617000000004</v>
      </c>
      <c r="E239" s="5">
        <v>8.4058100000000007</v>
      </c>
      <c r="F239" s="5">
        <v>272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992.59464000000003</v>
      </c>
      <c r="E240" s="5">
        <v>8.3991000000000007</v>
      </c>
      <c r="F240" s="5">
        <v>275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1811.4907700000001</v>
      </c>
      <c r="E241" s="5">
        <v>5.0680199999999997</v>
      </c>
      <c r="F241" s="5">
        <v>45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1815.6094000000001</v>
      </c>
      <c r="E242" s="5">
        <v>5.0713299999999997</v>
      </c>
      <c r="F242" s="5">
        <v>45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1824.11</v>
      </c>
      <c r="E243" s="5">
        <v>5.0846200000000001</v>
      </c>
      <c r="F243" s="5">
        <v>45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1831.8445999999999</v>
      </c>
      <c r="E244" s="5">
        <v>5.0453000000000001</v>
      </c>
      <c r="F244" s="5">
        <v>45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1852.1056599999999</v>
      </c>
      <c r="E245" s="5">
        <v>5.0465200000000001</v>
      </c>
      <c r="F245" s="5">
        <v>45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1838.35571</v>
      </c>
      <c r="E246" s="5">
        <v>5.10006</v>
      </c>
      <c r="F246" s="5">
        <v>45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1878.3117500000001</v>
      </c>
      <c r="E247" s="5">
        <v>5.0522600000000004</v>
      </c>
      <c r="F247" s="5">
        <v>45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1838.5491099999999</v>
      </c>
      <c r="E248" s="5">
        <v>5.0806199999999997</v>
      </c>
      <c r="F248" s="5">
        <v>45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1876.9190900000001</v>
      </c>
      <c r="E249" s="5">
        <v>5.1224699999999999</v>
      </c>
      <c r="F249" s="5">
        <v>46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1859.61176</v>
      </c>
      <c r="E250" s="5">
        <v>5.0550199999999998</v>
      </c>
      <c r="F250" s="5">
        <v>45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1791.78</v>
      </c>
      <c r="E251" s="5">
        <v>9.41038</v>
      </c>
      <c r="F251" s="5">
        <v>81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1791.4996900000001</v>
      </c>
      <c r="E252" s="5">
        <v>9.3783999999999992</v>
      </c>
      <c r="F252" s="5">
        <v>81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1781.66643</v>
      </c>
      <c r="E253" s="5">
        <v>9.44468</v>
      </c>
      <c r="F253" s="5">
        <v>82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1781.2716</v>
      </c>
      <c r="E254" s="5">
        <v>9.4538899999999995</v>
      </c>
      <c r="F254" s="5">
        <v>81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1777.2949000000001</v>
      </c>
      <c r="E255" s="5">
        <v>9.4464000000000006</v>
      </c>
      <c r="F255" s="5">
        <v>83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1779.0733</v>
      </c>
      <c r="E256" s="5">
        <v>9.37927</v>
      </c>
      <c r="F256" s="5">
        <v>81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1785.43</v>
      </c>
      <c r="E257" s="5">
        <v>9.4440399999999993</v>
      </c>
      <c r="F257" s="5">
        <v>81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1781.20985</v>
      </c>
      <c r="E258" s="5">
        <v>9.3825699999999994</v>
      </c>
      <c r="F258" s="5">
        <v>81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1777.94795</v>
      </c>
      <c r="E259" s="5">
        <v>9.4260400000000004</v>
      </c>
      <c r="F259" s="5">
        <v>82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1778.4569200000001</v>
      </c>
      <c r="E260" s="5">
        <v>9.4104700000000001</v>
      </c>
      <c r="F260" s="5">
        <v>82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1761.6044300000001</v>
      </c>
      <c r="E261" s="5">
        <v>15.41253</v>
      </c>
      <c r="F261" s="5">
        <v>132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1759.6911700000001</v>
      </c>
      <c r="E262" s="5">
        <v>15.40926</v>
      </c>
      <c r="F262" s="5">
        <v>133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1757.2801999999999</v>
      </c>
      <c r="E263" s="5">
        <v>15.347759999999999</v>
      </c>
      <c r="F263" s="5">
        <v>133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1757.55</v>
      </c>
      <c r="E264" s="5">
        <v>15.386329999999999</v>
      </c>
      <c r="F264" s="5">
        <v>134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1758.21333</v>
      </c>
      <c r="E265" s="5">
        <v>15.368130000000001</v>
      </c>
      <c r="F265" s="5">
        <v>132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1758.25818</v>
      </c>
      <c r="E266" s="5">
        <v>15.359970000000001</v>
      </c>
      <c r="F266" s="5">
        <v>133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1756.8338900000001</v>
      </c>
      <c r="E267" s="5">
        <v>15.35079</v>
      </c>
      <c r="F267" s="5">
        <v>133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1758.48</v>
      </c>
      <c r="E268" s="5">
        <v>15.381399999999999</v>
      </c>
      <c r="F268" s="5">
        <v>133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1758.50667</v>
      </c>
      <c r="E269" s="5">
        <v>15.432980000000001</v>
      </c>
      <c r="F269" s="5">
        <v>132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1758.11</v>
      </c>
      <c r="E270" s="5">
        <v>15.37726</v>
      </c>
      <c r="F270" s="5">
        <v>134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41.318849999999998</v>
      </c>
      <c r="E271" s="5">
        <v>0.59250999999999998</v>
      </c>
      <c r="F271" s="5">
        <v>57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42.424349999999997</v>
      </c>
      <c r="E272" s="5">
        <v>0.59289000000000003</v>
      </c>
      <c r="F272" s="5">
        <v>53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41.318849999999998</v>
      </c>
      <c r="E273" s="5">
        <v>0.58843999999999996</v>
      </c>
      <c r="F273" s="5">
        <v>57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41.318849999999998</v>
      </c>
      <c r="E274" s="5">
        <v>0.58813000000000004</v>
      </c>
      <c r="F274" s="5">
        <v>56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41.318849999999998</v>
      </c>
      <c r="E275" s="5">
        <v>0.59067999999999998</v>
      </c>
      <c r="F275" s="5">
        <v>49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42.424349999999997</v>
      </c>
      <c r="E276" s="5">
        <v>0.59202999999999995</v>
      </c>
      <c r="F276" s="5">
        <v>57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41.318849999999998</v>
      </c>
      <c r="E277" s="5">
        <v>0.58704000000000001</v>
      </c>
      <c r="F277" s="5">
        <v>57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42.424349999999997</v>
      </c>
      <c r="E278" s="5">
        <v>0.58914</v>
      </c>
      <c r="F278" s="5">
        <v>55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42.424349999999997</v>
      </c>
      <c r="E279" s="5">
        <v>0.58538000000000001</v>
      </c>
      <c r="F279" s="5">
        <v>56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42.424349999999997</v>
      </c>
      <c r="E280" s="5">
        <v>0.58803000000000005</v>
      </c>
      <c r="F280" s="5">
        <v>55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0.87431000000000003</v>
      </c>
      <c r="F281" s="5">
        <v>82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0.87502999999999997</v>
      </c>
      <c r="F282" s="5">
        <v>89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28.65624</v>
      </c>
      <c r="E283" s="5">
        <v>0.88019000000000003</v>
      </c>
      <c r="F283" s="5">
        <v>89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0.87670999999999999</v>
      </c>
      <c r="F284" s="5">
        <v>83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0.87804000000000004</v>
      </c>
      <c r="F285" s="5">
        <v>89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28.65436</v>
      </c>
      <c r="E286" s="5">
        <v>0.87922999999999996</v>
      </c>
      <c r="F286" s="5">
        <v>89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28.65436</v>
      </c>
      <c r="E287" s="5">
        <v>0.87665000000000004</v>
      </c>
      <c r="F287" s="5">
        <v>89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0.88031999999999999</v>
      </c>
      <c r="F288" s="5">
        <v>83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28.65436</v>
      </c>
      <c r="E289" s="5">
        <v>0.87587999999999999</v>
      </c>
      <c r="F289" s="5">
        <v>87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0.87590999999999997</v>
      </c>
      <c r="F290" s="5">
        <v>89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28.587009999999999</v>
      </c>
      <c r="E291" s="5">
        <v>1.1313</v>
      </c>
      <c r="F291" s="5">
        <v>109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28.592030000000001</v>
      </c>
      <c r="E292" s="5">
        <v>1.1335500000000001</v>
      </c>
      <c r="F292" s="5">
        <v>112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28.546240000000001</v>
      </c>
      <c r="E293" s="5">
        <v>1.13724</v>
      </c>
      <c r="F293" s="5">
        <v>105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28.594360000000002</v>
      </c>
      <c r="E294" s="5">
        <v>1.13914</v>
      </c>
      <c r="F294" s="5">
        <v>108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28.546240000000001</v>
      </c>
      <c r="E295" s="5">
        <v>1.13795</v>
      </c>
      <c r="F295" s="5">
        <v>106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28.546240000000001</v>
      </c>
      <c r="E296" s="5">
        <v>1.1377999999999999</v>
      </c>
      <c r="F296" s="5">
        <v>113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28.60624</v>
      </c>
      <c r="E297" s="5">
        <v>1.1384399999999999</v>
      </c>
      <c r="F297" s="5">
        <v>106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28.58203</v>
      </c>
      <c r="E298" s="5">
        <v>1.1323700000000001</v>
      </c>
      <c r="F298" s="5">
        <v>113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28.546240000000001</v>
      </c>
      <c r="E299" s="5">
        <v>1.1350899999999999</v>
      </c>
      <c r="F299" s="5">
        <v>112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28.587009999999999</v>
      </c>
      <c r="E300" s="5">
        <v>1.13673</v>
      </c>
      <c r="F300" s="5">
        <v>105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56.511339999999997</v>
      </c>
      <c r="E301" s="5">
        <v>1.93177</v>
      </c>
      <c r="F301" s="5">
        <v>61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56.901339999999998</v>
      </c>
      <c r="E302" s="5">
        <v>1.9376199999999999</v>
      </c>
      <c r="F302" s="5">
        <v>63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58.976860000000002</v>
      </c>
      <c r="E303" s="5">
        <v>1.9265000000000001</v>
      </c>
      <c r="F303" s="5">
        <v>61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59.044339999999998</v>
      </c>
      <c r="E304" s="5">
        <v>1.9287399999999999</v>
      </c>
      <c r="F304" s="5">
        <v>60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56.901339999999998</v>
      </c>
      <c r="E305" s="5">
        <v>1.9441600000000001</v>
      </c>
      <c r="F305" s="5">
        <v>63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59.637619999999998</v>
      </c>
      <c r="E306" s="5">
        <v>1.92849</v>
      </c>
      <c r="F306" s="5">
        <v>61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60.024349999999998</v>
      </c>
      <c r="E307" s="5">
        <v>1.92086</v>
      </c>
      <c r="F307" s="5">
        <v>62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56.911659999999998</v>
      </c>
      <c r="E308" s="5">
        <v>1.9458299999999999</v>
      </c>
      <c r="F308" s="5">
        <v>61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59.011339999999997</v>
      </c>
      <c r="E309" s="5">
        <v>1.93283</v>
      </c>
      <c r="F309" s="5">
        <v>62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58.962850000000003</v>
      </c>
      <c r="E310" s="5">
        <v>1.9335599999999999</v>
      </c>
      <c r="F310" s="5">
        <v>60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53.688400000000001</v>
      </c>
      <c r="E311" s="5">
        <v>3.7621199999999999</v>
      </c>
      <c r="F311" s="5">
        <v>118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53.91507</v>
      </c>
      <c r="E312" s="5">
        <v>3.7650100000000002</v>
      </c>
      <c r="F312" s="5">
        <v>118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53.444980000000001</v>
      </c>
      <c r="E313" s="5">
        <v>3.77502</v>
      </c>
      <c r="F313" s="5">
        <v>120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53.262749999999997</v>
      </c>
      <c r="E314" s="5">
        <v>3.77271</v>
      </c>
      <c r="F314" s="5">
        <v>118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53.755600000000001</v>
      </c>
      <c r="E315" s="5">
        <v>3.77529</v>
      </c>
      <c r="F315" s="5">
        <v>119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53.636920000000003</v>
      </c>
      <c r="E316" s="5">
        <v>3.7607200000000001</v>
      </c>
      <c r="F316" s="5">
        <v>118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53.338639999999998</v>
      </c>
      <c r="E317" s="5">
        <v>3.7912400000000002</v>
      </c>
      <c r="F317" s="5">
        <v>119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53.531370000000003</v>
      </c>
      <c r="E318" s="5">
        <v>3.7620499999999999</v>
      </c>
      <c r="F318" s="5">
        <v>120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53.547629999999998</v>
      </c>
      <c r="E319" s="5">
        <v>3.7570800000000002</v>
      </c>
      <c r="F319" s="5">
        <v>118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54.02402</v>
      </c>
      <c r="E320" s="5">
        <v>3.7536800000000001</v>
      </c>
      <c r="F320" s="5">
        <v>119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53.167569999999998</v>
      </c>
      <c r="E321" s="5">
        <v>6.0953200000000001</v>
      </c>
      <c r="F321" s="5">
        <v>187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53.247489999999999</v>
      </c>
      <c r="E322" s="5">
        <v>6.0842099999999997</v>
      </c>
      <c r="F322" s="5">
        <v>185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53.147570000000002</v>
      </c>
      <c r="E323" s="5">
        <v>6.0770499999999998</v>
      </c>
      <c r="F323" s="5">
        <v>186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53.045859999999998</v>
      </c>
      <c r="E324" s="5">
        <v>6.0895000000000001</v>
      </c>
      <c r="F324" s="5">
        <v>186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53.557490000000001</v>
      </c>
      <c r="E325" s="5">
        <v>6.09924</v>
      </c>
      <c r="F325" s="5">
        <v>189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53.247489999999999</v>
      </c>
      <c r="E326" s="5">
        <v>6.0987099999999996</v>
      </c>
      <c r="F326" s="5">
        <v>188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53.272190000000002</v>
      </c>
      <c r="E327" s="5">
        <v>6.0763400000000001</v>
      </c>
      <c r="F327" s="5">
        <v>184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53.495600000000003</v>
      </c>
      <c r="E328" s="5">
        <v>6.0974700000000004</v>
      </c>
      <c r="F328" s="5">
        <v>187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53.212179999999996</v>
      </c>
      <c r="E329" s="5">
        <v>6.0775100000000002</v>
      </c>
      <c r="F329" s="5">
        <v>179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53.480029999999999</v>
      </c>
      <c r="E330" s="5">
        <v>6.0782699999999998</v>
      </c>
      <c r="F330" s="5">
        <v>186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148.22783000000001</v>
      </c>
      <c r="E331" s="5">
        <v>7.0991900000000001</v>
      </c>
      <c r="F331" s="5">
        <v>60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148.2432</v>
      </c>
      <c r="E332" s="5">
        <v>7.0293400000000004</v>
      </c>
      <c r="F332" s="5">
        <v>60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148.27562</v>
      </c>
      <c r="E333" s="5">
        <v>7.0974599999999999</v>
      </c>
      <c r="F333" s="5">
        <v>61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148.26902000000001</v>
      </c>
      <c r="E334" s="5">
        <v>7.1065500000000004</v>
      </c>
      <c r="F334" s="5">
        <v>61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148.27403000000001</v>
      </c>
      <c r="E335" s="5">
        <v>7.0365700000000002</v>
      </c>
      <c r="F335" s="5">
        <v>60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148.28783000000001</v>
      </c>
      <c r="E336" s="5">
        <v>7.1030100000000003</v>
      </c>
      <c r="F336" s="5">
        <v>60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148.23033000000001</v>
      </c>
      <c r="E337" s="5">
        <v>7.0389799999999996</v>
      </c>
      <c r="F337" s="5">
        <v>60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148.23298</v>
      </c>
      <c r="E338" s="5">
        <v>7.0844500000000004</v>
      </c>
      <c r="F338" s="5">
        <v>60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148.25153</v>
      </c>
      <c r="E339" s="5">
        <v>7.0430299999999999</v>
      </c>
      <c r="F339" s="5">
        <v>60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148.26949999999999</v>
      </c>
      <c r="E340" s="5">
        <v>7.0269899999999996</v>
      </c>
      <c r="F340" s="5">
        <v>60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108.0596</v>
      </c>
      <c r="E341" s="5">
        <v>16.858809999999998</v>
      </c>
      <c r="F341" s="5">
        <v>141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108.34344</v>
      </c>
      <c r="E342" s="5">
        <v>16.796009999999999</v>
      </c>
      <c r="F342" s="5">
        <v>140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108.29949999999999</v>
      </c>
      <c r="E343" s="5">
        <v>16.848839999999999</v>
      </c>
      <c r="F343" s="5">
        <v>140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108.26533000000001</v>
      </c>
      <c r="E344" s="5">
        <v>16.821960000000001</v>
      </c>
      <c r="F344" s="5">
        <v>140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108.4504</v>
      </c>
      <c r="E345" s="5">
        <v>16.81465</v>
      </c>
      <c r="F345" s="5">
        <v>140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108.23147</v>
      </c>
      <c r="E346" s="5">
        <v>16.84385</v>
      </c>
      <c r="F346" s="5">
        <v>140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108.14337</v>
      </c>
      <c r="E347" s="5">
        <v>16.789480000000001</v>
      </c>
      <c r="F347" s="5">
        <v>139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108.41177999999999</v>
      </c>
      <c r="E348" s="5">
        <v>16.841139999999999</v>
      </c>
      <c r="F348" s="5">
        <v>140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108.17543999999999</v>
      </c>
      <c r="E349" s="5">
        <v>16.846080000000001</v>
      </c>
      <c r="F349" s="5">
        <v>140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108.15926</v>
      </c>
      <c r="E350" s="5">
        <v>16.888760000000001</v>
      </c>
      <c r="F350" s="5">
        <v>141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103.60996</v>
      </c>
      <c r="E351" s="5">
        <v>29.404920000000001</v>
      </c>
      <c r="F351" s="5">
        <v>240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104.01033</v>
      </c>
      <c r="E352" s="5">
        <v>29.377839999999999</v>
      </c>
      <c r="F352" s="5">
        <v>240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104.002</v>
      </c>
      <c r="E353" s="5">
        <v>29.425509999999999</v>
      </c>
      <c r="F353" s="5">
        <v>240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103.69919</v>
      </c>
      <c r="E354" s="5">
        <v>29.349409999999999</v>
      </c>
      <c r="F354" s="5">
        <v>238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103.98163</v>
      </c>
      <c r="E355" s="5">
        <v>29.384810000000002</v>
      </c>
      <c r="F355" s="5">
        <v>239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103.95419</v>
      </c>
      <c r="E356" s="5">
        <v>29.384640000000001</v>
      </c>
      <c r="F356" s="5">
        <v>238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103.58663</v>
      </c>
      <c r="E357" s="5">
        <v>29.363189999999999</v>
      </c>
      <c r="F357" s="5">
        <v>241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103.26828999999999</v>
      </c>
      <c r="E358" s="5">
        <v>29.386089999999999</v>
      </c>
      <c r="F358" s="5">
        <v>237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103.94747</v>
      </c>
      <c r="E359" s="5">
        <v>29.3415</v>
      </c>
      <c r="F359" s="5">
        <v>239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103.94329</v>
      </c>
      <c r="E360" s="5">
        <v>29.340730000000001</v>
      </c>
      <c r="F360" s="5">
        <v>238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0.54357999999999995</v>
      </c>
      <c r="F361" s="5">
        <v>42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0.54932999999999998</v>
      </c>
      <c r="F362" s="5">
        <v>40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0.54937999999999998</v>
      </c>
      <c r="F363" s="5">
        <v>45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0.54856000000000005</v>
      </c>
      <c r="F364" s="5">
        <v>44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0.54349000000000003</v>
      </c>
      <c r="F365" s="5">
        <v>33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0.54132000000000002</v>
      </c>
      <c r="F366" s="5">
        <v>43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0.55013000000000001</v>
      </c>
      <c r="F367" s="5">
        <v>44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0.54457999999999995</v>
      </c>
      <c r="F368" s="5">
        <v>43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0.54781999999999997</v>
      </c>
      <c r="F369" s="5">
        <v>44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0.54508000000000001</v>
      </c>
      <c r="F370" s="5">
        <v>43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0.87531000000000003</v>
      </c>
      <c r="F371" s="5">
        <v>65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0.87971999999999995</v>
      </c>
      <c r="F372" s="5">
        <v>70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0.875</v>
      </c>
      <c r="F373" s="5">
        <v>70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0.88004000000000004</v>
      </c>
      <c r="F374" s="5">
        <v>71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0.87826000000000004</v>
      </c>
      <c r="F375" s="5">
        <v>64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0.87504000000000004</v>
      </c>
      <c r="F376" s="5">
        <v>71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0.87446000000000002</v>
      </c>
      <c r="F377" s="5">
        <v>70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0.87663000000000002</v>
      </c>
      <c r="F378" s="5">
        <v>71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0.87924000000000002</v>
      </c>
      <c r="F379" s="5">
        <v>71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0.877</v>
      </c>
      <c r="F380" s="5">
        <v>65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1.15107</v>
      </c>
      <c r="F381" s="5">
        <v>92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1.1569799999999999</v>
      </c>
      <c r="F382" s="5">
        <v>94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1.15385</v>
      </c>
      <c r="F383" s="5">
        <v>91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1.1563000000000001</v>
      </c>
      <c r="F384" s="5">
        <v>94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1.1504700000000001</v>
      </c>
      <c r="F385" s="5">
        <v>92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1.15391</v>
      </c>
      <c r="F386" s="5">
        <v>86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1.1558299999999999</v>
      </c>
      <c r="F387" s="5">
        <v>94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1.15568</v>
      </c>
      <c r="F388" s="5">
        <v>92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1.14886</v>
      </c>
      <c r="F389" s="5">
        <v>93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1.1540699999999999</v>
      </c>
      <c r="F390" s="5">
        <v>87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1.1250500000000001</v>
      </c>
      <c r="F391" s="5">
        <v>25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1.10897</v>
      </c>
      <c r="F392" s="5">
        <v>27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1.1205099999999999</v>
      </c>
      <c r="F393" s="5">
        <v>28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1.1101099999999999</v>
      </c>
      <c r="F394" s="5">
        <v>25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1.12693</v>
      </c>
      <c r="F395" s="5">
        <v>28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1.13544</v>
      </c>
      <c r="F396" s="5">
        <v>27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1.1320399999999999</v>
      </c>
      <c r="F397" s="5">
        <v>26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1.12724</v>
      </c>
      <c r="F398" s="5">
        <v>28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1.11368</v>
      </c>
      <c r="F399" s="5">
        <v>27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1.12252</v>
      </c>
      <c r="F400" s="5">
        <v>27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2.4919799999999999</v>
      </c>
      <c r="F401" s="5">
        <v>61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2.5084499999999998</v>
      </c>
      <c r="F402" s="5">
        <v>60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2.5023300000000002</v>
      </c>
      <c r="F403" s="5">
        <v>63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2.4938099999999999</v>
      </c>
      <c r="F404" s="5">
        <v>61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2.49796</v>
      </c>
      <c r="F405" s="5">
        <v>61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2.4975800000000001</v>
      </c>
      <c r="F406" s="5">
        <v>62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2.4960599999999999</v>
      </c>
      <c r="F407" s="5">
        <v>61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2.4917899999999999</v>
      </c>
      <c r="F408" s="5">
        <v>62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2.49864</v>
      </c>
      <c r="F409" s="5">
        <v>61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2.4921799999999998</v>
      </c>
      <c r="F410" s="5">
        <v>61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2.7230699999999999</v>
      </c>
      <c r="F411" s="5">
        <v>66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2.7437200000000002</v>
      </c>
      <c r="F412" s="5">
        <v>65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2.7421799999999998</v>
      </c>
      <c r="F413" s="5">
        <v>67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2.7236899999999999</v>
      </c>
      <c r="F414" s="5">
        <v>66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2.73448</v>
      </c>
      <c r="F415" s="5">
        <v>65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2.7251300000000001</v>
      </c>
      <c r="F416" s="5">
        <v>67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2.7389999999999999</v>
      </c>
      <c r="F417" s="5">
        <v>66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2.7266699999999999</v>
      </c>
      <c r="F418" s="5">
        <v>65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2.7425299999999999</v>
      </c>
      <c r="F419" s="5">
        <v>67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2.7519399999999998</v>
      </c>
      <c r="F420" s="5">
        <v>66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2.9747400000000002</v>
      </c>
      <c r="F421" s="5">
        <v>27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3.0053299999999998</v>
      </c>
      <c r="F422" s="5">
        <v>27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3.05802</v>
      </c>
      <c r="F423" s="5">
        <v>28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2.9886599999999999</v>
      </c>
      <c r="F424" s="5">
        <v>27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3.0586600000000002</v>
      </c>
      <c r="F425" s="5">
        <v>28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2.9722499999999998</v>
      </c>
      <c r="F426" s="5">
        <v>27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3.00285</v>
      </c>
      <c r="F427" s="5">
        <v>27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3.0146500000000001</v>
      </c>
      <c r="F428" s="5">
        <v>27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3.05355</v>
      </c>
      <c r="F429" s="5">
        <v>28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3.0090300000000001</v>
      </c>
      <c r="F430" s="5">
        <v>27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3.8025899999999999</v>
      </c>
      <c r="F431" s="5">
        <v>34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3.8235999999999999</v>
      </c>
      <c r="F432" s="5">
        <v>34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3.8134399999999999</v>
      </c>
      <c r="F433" s="5">
        <v>34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3.81629</v>
      </c>
      <c r="F434" s="5">
        <v>34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3.8194400000000002</v>
      </c>
      <c r="F435" s="5">
        <v>34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3.7961</v>
      </c>
      <c r="F436" s="5">
        <v>34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3.8193299999999999</v>
      </c>
      <c r="F437" s="5">
        <v>34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3.8390200000000001</v>
      </c>
      <c r="F438" s="5">
        <v>35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3.7923399999999998</v>
      </c>
      <c r="F439" s="5">
        <v>34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3.7918599999999998</v>
      </c>
      <c r="F440" s="5">
        <v>34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5.45939</v>
      </c>
      <c r="F441" s="5">
        <v>47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5.4931799999999997</v>
      </c>
      <c r="F442" s="5">
        <v>48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5.4883600000000001</v>
      </c>
      <c r="F443" s="5">
        <v>47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5.5215300000000003</v>
      </c>
      <c r="F444" s="5">
        <v>48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5.5438000000000001</v>
      </c>
      <c r="F445" s="5">
        <v>48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5.47173</v>
      </c>
      <c r="F446" s="5">
        <v>46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5.46523</v>
      </c>
      <c r="F447" s="5">
        <v>47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5.5130999999999997</v>
      </c>
      <c r="F448" s="5">
        <v>48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5.4658100000000003</v>
      </c>
      <c r="F449" s="5">
        <v>47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5.4804300000000001</v>
      </c>
      <c r="F450" s="5">
        <v>47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S1"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0.55132000000000003</v>
      </c>
      <c r="F1" s="5">
        <v>31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0.57794999999999996</v>
      </c>
      <c r="F2" s="5">
        <v>36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0.54925999999999997</v>
      </c>
      <c r="F3" s="5">
        <v>35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170.35004000000001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0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0.54420999999999997</v>
      </c>
      <c r="F4" s="5">
        <v>32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0.55240999999999996</v>
      </c>
      <c r="F5" s="5">
        <v>39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0.55561000000000005</v>
      </c>
      <c r="F6" s="5">
        <v>37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0.54596999999999996</v>
      </c>
      <c r="F7" s="5">
        <v>33</v>
      </c>
      <c r="H7" s="5" t="s">
        <v>27</v>
      </c>
      <c r="I7" s="5">
        <v>50</v>
      </c>
      <c r="J7" s="5">
        <v>1</v>
      </c>
      <c r="L7" s="5">
        <f t="shared" ca="1" si="11"/>
        <v>182.34583000000001</v>
      </c>
      <c r="M7" s="5">
        <f t="shared" ca="1" si="0"/>
        <v>180.05332999999999</v>
      </c>
      <c r="N7" s="5">
        <f t="shared" ca="1" si="0"/>
        <v>180.38311999999999</v>
      </c>
      <c r="O7" s="5">
        <f t="shared" ca="1" si="0"/>
        <v>180.34135000000001</v>
      </c>
      <c r="P7" s="5">
        <f t="shared" ca="1" si="0"/>
        <v>182.34583000000001</v>
      </c>
      <c r="Q7" s="5">
        <f t="shared" ca="1" si="0"/>
        <v>181.5967</v>
      </c>
      <c r="R7" s="5">
        <f t="shared" ca="1" si="0"/>
        <v>180.87124</v>
      </c>
      <c r="S7" s="5">
        <f t="shared" ca="1" si="0"/>
        <v>182.34583000000001</v>
      </c>
      <c r="T7" s="5">
        <f t="shared" ca="1" si="0"/>
        <v>182.34583000000001</v>
      </c>
      <c r="U7" s="5">
        <f t="shared" ca="1" si="0"/>
        <v>180.25479999999999</v>
      </c>
      <c r="W7" s="5">
        <f t="shared" ca="1" si="12"/>
        <v>181.288386</v>
      </c>
      <c r="Y7" s="5">
        <f ca="1">Total!E7</f>
        <v>179.67332999999999</v>
      </c>
      <c r="AB7" s="5">
        <f t="shared" ca="1" si="1"/>
        <v>1.4874216446035779E-2</v>
      </c>
      <c r="AC7" s="5">
        <f t="shared" ca="1" si="2"/>
        <v>2.1149493917655754E-3</v>
      </c>
      <c r="AD7" s="5">
        <f t="shared" ca="1" si="3"/>
        <v>3.9504471810034251E-3</v>
      </c>
      <c r="AE7" s="5">
        <f t="shared" ca="1" si="4"/>
        <v>3.717969717598114E-3</v>
      </c>
      <c r="AF7" s="5">
        <f t="shared" ca="1" si="5"/>
        <v>1.4874216446035779E-2</v>
      </c>
      <c r="AG7" s="5">
        <f t="shared" ca="1" si="6"/>
        <v>1.0704816346421618E-2</v>
      </c>
      <c r="AH7" s="5">
        <f t="shared" ca="1" si="7"/>
        <v>6.667155331289332E-3</v>
      </c>
      <c r="AI7" s="5">
        <f t="shared" ca="1" si="8"/>
        <v>1.4874216446035779E-2</v>
      </c>
      <c r="AJ7" s="5">
        <f t="shared" ca="1" si="9"/>
        <v>1.4874216446035779E-2</v>
      </c>
      <c r="AK7" s="5">
        <f t="shared" ca="1" si="10"/>
        <v>3.2362621653419343E-3</v>
      </c>
      <c r="AM7" s="5">
        <f t="shared" ca="1" si="13"/>
        <v>8.988846591756311E-2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0.54693000000000003</v>
      </c>
      <c r="F8" s="5">
        <v>26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0.54440999999999995</v>
      </c>
      <c r="F9" s="5">
        <v>35</v>
      </c>
      <c r="H9" s="5" t="s">
        <v>27</v>
      </c>
      <c r="I9" s="5">
        <v>100</v>
      </c>
      <c r="J9" s="5">
        <v>0.7</v>
      </c>
      <c r="L9" s="5">
        <f t="shared" ca="1" si="11"/>
        <v>259.09994</v>
      </c>
      <c r="M9" s="5">
        <f t="shared" ca="1" si="0"/>
        <v>255.90065000000001</v>
      </c>
      <c r="N9" s="5">
        <f t="shared" ca="1" si="0"/>
        <v>257.59397999999999</v>
      </c>
      <c r="O9" s="5">
        <f t="shared" ca="1" si="0"/>
        <v>257.08053000000001</v>
      </c>
      <c r="P9" s="5">
        <f t="shared" ca="1" si="0"/>
        <v>256.72122999999999</v>
      </c>
      <c r="Q9" s="5">
        <f t="shared" ca="1" si="0"/>
        <v>258.33197000000001</v>
      </c>
      <c r="R9" s="5">
        <f t="shared" ca="1" si="0"/>
        <v>255.49064999999999</v>
      </c>
      <c r="S9" s="5">
        <f t="shared" ca="1" si="0"/>
        <v>257.41257000000002</v>
      </c>
      <c r="T9" s="5">
        <f t="shared" ca="1" si="0"/>
        <v>256.27350999999999</v>
      </c>
      <c r="U9" s="5">
        <f t="shared" ca="1" si="0"/>
        <v>256.00184999999999</v>
      </c>
      <c r="W9" s="5">
        <f t="shared" ca="1" si="12"/>
        <v>256.99068799999998</v>
      </c>
      <c r="Y9" s="5">
        <f ca="1">Total!E9</f>
        <v>255.18879999999999</v>
      </c>
      <c r="AB9" s="5">
        <f t="shared" ca="1" si="1"/>
        <v>1.5326456333506868E-2</v>
      </c>
      <c r="AC9" s="5">
        <f t="shared" ca="1" si="2"/>
        <v>2.7895033010854192E-3</v>
      </c>
      <c r="AD9" s="5">
        <f t="shared" ca="1" si="3"/>
        <v>9.4251001611356054E-3</v>
      </c>
      <c r="AE9" s="5">
        <f t="shared" ca="1" si="4"/>
        <v>7.4130604477940414E-3</v>
      </c>
      <c r="AF9" s="5">
        <f t="shared" ca="1" si="5"/>
        <v>6.0050832951916589E-3</v>
      </c>
      <c r="AG9" s="5">
        <f t="shared" ca="1" si="6"/>
        <v>1.2317037424840065E-2</v>
      </c>
      <c r="AH9" s="5">
        <f t="shared" ca="1" si="7"/>
        <v>1.1828497175424696E-3</v>
      </c>
      <c r="AI9" s="5">
        <f t="shared" ca="1" si="8"/>
        <v>8.7142147304271594E-3</v>
      </c>
      <c r="AJ9" s="5">
        <f t="shared" ca="1" si="9"/>
        <v>4.2506175819628494E-3</v>
      </c>
      <c r="AK9" s="5">
        <f t="shared" ca="1" si="10"/>
        <v>3.186072429511029E-3</v>
      </c>
      <c r="AM9" s="5">
        <f t="shared" ca="1" si="13"/>
        <v>7.0609995422997174E-2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0.54679</v>
      </c>
      <c r="F10" s="5">
        <v>32</v>
      </c>
      <c r="H10" s="5" t="s">
        <v>27</v>
      </c>
      <c r="I10" s="5">
        <v>100</v>
      </c>
      <c r="J10" s="5">
        <v>1</v>
      </c>
      <c r="L10" s="5">
        <f t="shared" ca="1" si="11"/>
        <v>240.39196999999999</v>
      </c>
      <c r="M10" s="5">
        <f t="shared" ca="1" si="0"/>
        <v>239.11667</v>
      </c>
      <c r="N10" s="5">
        <f t="shared" ca="1" si="0"/>
        <v>238.95052999999999</v>
      </c>
      <c r="O10" s="5">
        <f t="shared" ca="1" si="0"/>
        <v>239.68872999999999</v>
      </c>
      <c r="P10" s="5">
        <f t="shared" ca="1" si="0"/>
        <v>239.02968999999999</v>
      </c>
      <c r="Q10" s="5">
        <f t="shared" ca="1" si="0"/>
        <v>239.33332999999999</v>
      </c>
      <c r="R10" s="5">
        <f t="shared" ca="1" si="0"/>
        <v>240.3734</v>
      </c>
      <c r="S10" s="5">
        <f t="shared" ca="1" si="0"/>
        <v>239.76333</v>
      </c>
      <c r="T10" s="5">
        <f t="shared" ca="1" si="0"/>
        <v>239.47333</v>
      </c>
      <c r="U10" s="5">
        <f t="shared" ca="1" si="0"/>
        <v>239.81333000000001</v>
      </c>
      <c r="W10" s="5">
        <f t="shared" ca="1" si="12"/>
        <v>239.59343099999995</v>
      </c>
      <c r="Y10" s="5">
        <f ca="1">Total!E10</f>
        <v>238.77667</v>
      </c>
      <c r="AB10" s="5">
        <f t="shared" ca="1" si="1"/>
        <v>6.7648987650258743E-3</v>
      </c>
      <c r="AC10" s="5">
        <f t="shared" ca="1" si="2"/>
        <v>1.4239247075520545E-3</v>
      </c>
      <c r="AD10" s="5">
        <f t="shared" ca="1" si="3"/>
        <v>7.2812808722054207E-4</v>
      </c>
      <c r="AE10" s="5">
        <f t="shared" ca="1" si="4"/>
        <v>3.8197199081467918E-3</v>
      </c>
      <c r="AF10" s="5">
        <f t="shared" ca="1" si="5"/>
        <v>1.0596512632494298E-3</v>
      </c>
      <c r="AG10" s="5">
        <f t="shared" ca="1" si="6"/>
        <v>2.3312997873703228E-3</v>
      </c>
      <c r="AH10" s="5">
        <f t="shared" ca="1" si="7"/>
        <v>6.6871273479105304E-3</v>
      </c>
      <c r="AI10" s="5">
        <f t="shared" ca="1" si="8"/>
        <v>4.1321457410391079E-3</v>
      </c>
      <c r="AJ10" s="5">
        <f t="shared" ca="1" si="9"/>
        <v>2.917621725774166E-3</v>
      </c>
      <c r="AK10" s="5">
        <f t="shared" ca="1" si="10"/>
        <v>4.3415464333262203E-3</v>
      </c>
      <c r="AM10" s="5">
        <f t="shared" ca="1" si="13"/>
        <v>3.4206063766615044E-2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1.42872</v>
      </c>
      <c r="F11" s="5">
        <v>127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1.4244600000000001</v>
      </c>
      <c r="F12" s="5">
        <v>127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1.4286799999999999</v>
      </c>
      <c r="F13" s="5">
        <v>124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1.4272199999999999</v>
      </c>
      <c r="F14" s="5">
        <v>128</v>
      </c>
      <c r="H14" s="5" t="s">
        <v>2</v>
      </c>
      <c r="I14" s="5">
        <v>47</v>
      </c>
      <c r="J14" s="5">
        <v>0.4</v>
      </c>
      <c r="L14" s="5">
        <f t="shared" ca="1" si="11"/>
        <v>4350.8413700000001</v>
      </c>
      <c r="M14" s="5">
        <f t="shared" ca="1" si="0"/>
        <v>4348.0289499999999</v>
      </c>
      <c r="N14" s="5">
        <f t="shared" ca="1" si="0"/>
        <v>4348.0289499999999</v>
      </c>
      <c r="O14" s="5">
        <f t="shared" ca="1" si="0"/>
        <v>4348.0289499999999</v>
      </c>
      <c r="P14" s="5">
        <f t="shared" ca="1" si="0"/>
        <v>4348.0289499999999</v>
      </c>
      <c r="Q14" s="5">
        <f t="shared" ca="1" si="0"/>
        <v>4348.0289499999999</v>
      </c>
      <c r="R14" s="5">
        <f t="shared" ca="1" si="0"/>
        <v>4350.8413700000001</v>
      </c>
      <c r="S14" s="5">
        <f t="shared" ca="1" si="0"/>
        <v>4348.0289499999999</v>
      </c>
      <c r="T14" s="5">
        <f t="shared" ca="1" si="0"/>
        <v>4348.0289499999999</v>
      </c>
      <c r="U14" s="5">
        <f t="shared" ca="1" si="0"/>
        <v>4348.0289499999999</v>
      </c>
      <c r="W14" s="5">
        <f t="shared" ca="1" si="12"/>
        <v>4348.5914339999999</v>
      </c>
      <c r="Y14" s="5">
        <f ca="1">Total!E14</f>
        <v>4348.0289499999999</v>
      </c>
      <c r="AB14" s="5">
        <f t="shared" ca="1" si="1"/>
        <v>6.4682642004952661E-4</v>
      </c>
      <c r="AC14" s="5">
        <f t="shared" ca="1" si="2"/>
        <v>0</v>
      </c>
      <c r="AD14" s="5">
        <f t="shared" ca="1" si="3"/>
        <v>0</v>
      </c>
      <c r="AE14" s="5">
        <f t="shared" ca="1" si="4"/>
        <v>0</v>
      </c>
      <c r="AF14" s="5">
        <f t="shared" ca="1" si="5"/>
        <v>0</v>
      </c>
      <c r="AG14" s="5">
        <f t="shared" ca="1" si="6"/>
        <v>0</v>
      </c>
      <c r="AH14" s="5">
        <f t="shared" ca="1" si="7"/>
        <v>6.4682642004952661E-4</v>
      </c>
      <c r="AI14" s="5">
        <f t="shared" ca="1" si="8"/>
        <v>0</v>
      </c>
      <c r="AJ14" s="5">
        <f t="shared" ca="1" si="9"/>
        <v>0</v>
      </c>
      <c r="AK14" s="5">
        <f t="shared" ca="1" si="10"/>
        <v>0</v>
      </c>
      <c r="AM14" s="5">
        <f t="shared" ca="1" si="13"/>
        <v>1.2936528400990532E-3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1.42279</v>
      </c>
      <c r="F15" s="5">
        <v>124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1.4243399999999999</v>
      </c>
      <c r="F16" s="5">
        <v>124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1.42743</v>
      </c>
      <c r="F17" s="5">
        <v>125</v>
      </c>
      <c r="H17" s="5" t="s">
        <v>2</v>
      </c>
      <c r="I17" s="5">
        <v>100</v>
      </c>
      <c r="J17" s="5">
        <v>0.4</v>
      </c>
      <c r="L17" s="5">
        <f t="shared" ca="1" si="11"/>
        <v>42986.673049999998</v>
      </c>
      <c r="M17" s="5">
        <f t="shared" ca="1" si="0"/>
        <v>42986.45392</v>
      </c>
      <c r="N17" s="5">
        <f t="shared" ca="1" si="0"/>
        <v>42988.316359999997</v>
      </c>
      <c r="O17" s="5">
        <f t="shared" ca="1" si="0"/>
        <v>42986.836920000002</v>
      </c>
      <c r="P17" s="5">
        <f t="shared" ca="1" si="0"/>
        <v>42986.57692</v>
      </c>
      <c r="Q17" s="5">
        <f t="shared" ca="1" si="0"/>
        <v>42986.836920000002</v>
      </c>
      <c r="R17" s="5">
        <f t="shared" ca="1" si="0"/>
        <v>42986.45392</v>
      </c>
      <c r="S17" s="5">
        <f t="shared" ca="1" si="0"/>
        <v>42986.403050000001</v>
      </c>
      <c r="T17" s="5">
        <f t="shared" ca="1" si="0"/>
        <v>42986.853589999999</v>
      </c>
      <c r="U17" s="5">
        <f t="shared" ca="1" si="0"/>
        <v>42986.673049999998</v>
      </c>
      <c r="W17" s="5">
        <f t="shared" ca="1" si="12"/>
        <v>42986.807769999999</v>
      </c>
      <c r="Y17" s="5">
        <f ca="1">Total!E17</f>
        <v>42986.193919999998</v>
      </c>
      <c r="AB17" s="5">
        <f t="shared" ca="1" si="1"/>
        <v>1.1146136847830832E-5</v>
      </c>
      <c r="AC17" s="5">
        <f t="shared" ca="1" si="2"/>
        <v>6.04845361480278E-6</v>
      </c>
      <c r="AD17" s="5">
        <f t="shared" ca="1" si="3"/>
        <v>4.9374922654217336E-5</v>
      </c>
      <c r="AE17" s="5">
        <f t="shared" ca="1" si="4"/>
        <v>1.4958291055038052E-5</v>
      </c>
      <c r="AF17" s="5">
        <f t="shared" ca="1" si="5"/>
        <v>8.9098374402352728E-6</v>
      </c>
      <c r="AG17" s="5">
        <f t="shared" ca="1" si="6"/>
        <v>1.4958291055038052E-5</v>
      </c>
      <c r="AH17" s="5">
        <f t="shared" ca="1" si="7"/>
        <v>6.04845361480278E-6</v>
      </c>
      <c r="AI17" s="5">
        <f t="shared" ca="1" si="8"/>
        <v>4.8650504018131747E-6</v>
      </c>
      <c r="AJ17" s="5">
        <f t="shared" ca="1" si="9"/>
        <v>1.5346089984812385E-5</v>
      </c>
      <c r="AK17" s="5">
        <f t="shared" ca="1" si="10"/>
        <v>1.1146136847830832E-5</v>
      </c>
      <c r="AM17" s="5">
        <f t="shared" ca="1" si="13"/>
        <v>1.4280166351642148E-4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1.4292</v>
      </c>
      <c r="F18" s="5">
        <v>125</v>
      </c>
      <c r="H18" s="5" t="s">
        <v>2</v>
      </c>
      <c r="I18" s="5">
        <v>100</v>
      </c>
      <c r="J18" s="5">
        <v>0.7</v>
      </c>
      <c r="L18" s="5">
        <f t="shared" ca="1" si="11"/>
        <v>35655.497960000001</v>
      </c>
      <c r="M18" s="5">
        <f t="shared" ca="1" si="11"/>
        <v>35402.063159999998</v>
      </c>
      <c r="N18" s="5">
        <f t="shared" ca="1" si="11"/>
        <v>35429.021249999998</v>
      </c>
      <c r="O18" s="5">
        <f t="shared" ca="1" si="11"/>
        <v>35661.464390000001</v>
      </c>
      <c r="P18" s="5">
        <f t="shared" ca="1" si="11"/>
        <v>35749.236859999997</v>
      </c>
      <c r="Q18" s="5">
        <f t="shared" ca="1" si="11"/>
        <v>35454.67914</v>
      </c>
      <c r="R18" s="5">
        <f t="shared" ca="1" si="11"/>
        <v>35638.335650000001</v>
      </c>
      <c r="S18" s="5">
        <f t="shared" ca="1" si="11"/>
        <v>35648.057439999997</v>
      </c>
      <c r="T18" s="5">
        <f t="shared" ca="1" si="11"/>
        <v>35659.206380000003</v>
      </c>
      <c r="U18" s="5">
        <f t="shared" ca="1" si="11"/>
        <v>35497.097479999997</v>
      </c>
      <c r="W18" s="5">
        <f t="shared" ca="1" si="12"/>
        <v>35579.465970999998</v>
      </c>
      <c r="Y18" s="5">
        <f ca="1">Total!E18</f>
        <v>35336.072039999999</v>
      </c>
      <c r="AB18" s="5">
        <f t="shared" ca="1" si="1"/>
        <v>9.039655557596081E-3</v>
      </c>
      <c r="AC18" s="5">
        <f t="shared" ca="1" si="2"/>
        <v>1.8675284543595461E-3</v>
      </c>
      <c r="AD18" s="5">
        <f t="shared" ca="1" si="3"/>
        <v>2.6304341324293627E-3</v>
      </c>
      <c r="AE18" s="5">
        <f t="shared" ca="1" si="4"/>
        <v>9.2085036964963674E-3</v>
      </c>
      <c r="AF18" s="5">
        <f t="shared" ca="1" si="5"/>
        <v>1.1692437674801564E-2</v>
      </c>
      <c r="AG18" s="5">
        <f t="shared" ca="1" si="6"/>
        <v>3.3565445493132146E-3</v>
      </c>
      <c r="AH18" s="5">
        <f t="shared" ca="1" si="7"/>
        <v>8.5539674488393364E-3</v>
      </c>
      <c r="AI18" s="5">
        <f t="shared" ca="1" si="8"/>
        <v>8.8290911238474417E-3</v>
      </c>
      <c r="AJ18" s="5">
        <f t="shared" ca="1" si="9"/>
        <v>9.1446027061021402E-3</v>
      </c>
      <c r="AK18" s="5">
        <f t="shared" ca="1" si="10"/>
        <v>4.5569705602172984E-3</v>
      </c>
      <c r="AM18" s="5">
        <f t="shared" ca="1" si="13"/>
        <v>6.8879735904002357E-2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1.4257599999999999</v>
      </c>
      <c r="F19" s="5">
        <v>122</v>
      </c>
      <c r="H19" s="5" t="s">
        <v>2</v>
      </c>
      <c r="I19" s="5">
        <v>100</v>
      </c>
      <c r="J19" s="5">
        <v>1</v>
      </c>
      <c r="L19" s="5">
        <f t="shared" ca="1" si="11"/>
        <v>35412.313970000003</v>
      </c>
      <c r="M19" s="5">
        <f t="shared" ca="1" si="11"/>
        <v>35370.39357</v>
      </c>
      <c r="N19" s="5">
        <f t="shared" ca="1" si="11"/>
        <v>35349.095560000002</v>
      </c>
      <c r="O19" s="5">
        <f t="shared" ca="1" si="11"/>
        <v>35301.749309999999</v>
      </c>
      <c r="P19" s="5">
        <f t="shared" ca="1" si="11"/>
        <v>35494.39</v>
      </c>
      <c r="Q19" s="5">
        <f t="shared" ca="1" si="11"/>
        <v>35250.19</v>
      </c>
      <c r="R19" s="5">
        <f t="shared" ca="1" si="11"/>
        <v>35250.823320000003</v>
      </c>
      <c r="S19" s="5">
        <f t="shared" ca="1" si="11"/>
        <v>35332.620000000003</v>
      </c>
      <c r="T19" s="5">
        <f t="shared" ca="1" si="11"/>
        <v>35242.936130000002</v>
      </c>
      <c r="U19" s="5">
        <f t="shared" ca="1" si="11"/>
        <v>35369.30431</v>
      </c>
      <c r="W19" s="5">
        <f t="shared" ca="1" si="12"/>
        <v>35337.381616999999</v>
      </c>
      <c r="Y19" s="5">
        <f ca="1">Total!E19</f>
        <v>35203.853329999998</v>
      </c>
      <c r="AB19" s="5">
        <f t="shared" ca="1" si="1"/>
        <v>5.9215290452979737E-3</v>
      </c>
      <c r="AC19" s="5">
        <f t="shared" ca="1" si="2"/>
        <v>4.7307389460709949E-3</v>
      </c>
      <c r="AD19" s="5">
        <f t="shared" ca="1" si="3"/>
        <v>4.1257480719086807E-3</v>
      </c>
      <c r="AE19" s="5">
        <f t="shared" ca="1" si="4"/>
        <v>2.7808313789495372E-3</v>
      </c>
      <c r="AF19" s="5">
        <f t="shared" ca="1" si="5"/>
        <v>8.2529792201017933E-3</v>
      </c>
      <c r="AG19" s="5">
        <f t="shared" ca="1" si="6"/>
        <v>1.3162385823405609E-3</v>
      </c>
      <c r="AH19" s="5">
        <f t="shared" ca="1" si="7"/>
        <v>1.3342286584286556E-3</v>
      </c>
      <c r="AI19" s="5">
        <f t="shared" ca="1" si="8"/>
        <v>3.6577436223514835E-3</v>
      </c>
      <c r="AJ19" s="5">
        <f t="shared" ca="1" si="9"/>
        <v>1.1101852866401479E-3</v>
      </c>
      <c r="AK19" s="5">
        <f t="shared" ca="1" si="10"/>
        <v>4.6997974468609522E-3</v>
      </c>
      <c r="AM19" s="5">
        <f t="shared" ca="1" si="13"/>
        <v>3.7930020258950779E-2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1.4276599999999999</v>
      </c>
      <c r="F20" s="5">
        <v>126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1.7732300000000001</v>
      </c>
      <c r="F21" s="5">
        <v>145</v>
      </c>
      <c r="H21" s="5" t="s">
        <v>1</v>
      </c>
      <c r="I21" s="5">
        <v>30</v>
      </c>
      <c r="J21" s="5">
        <v>0.7</v>
      </c>
      <c r="L21" s="5">
        <f t="shared" ca="1" si="11"/>
        <v>675.36989000000005</v>
      </c>
      <c r="M21" s="5">
        <f t="shared" ca="1" si="11"/>
        <v>675.36989000000005</v>
      </c>
      <c r="N21" s="5">
        <f t="shared" ca="1" si="11"/>
        <v>675.36581000000001</v>
      </c>
      <c r="O21" s="5">
        <f t="shared" ca="1" si="11"/>
        <v>675.36989000000005</v>
      </c>
      <c r="P21" s="5">
        <f t="shared" ca="1" si="11"/>
        <v>675.36989000000005</v>
      </c>
      <c r="Q21" s="5">
        <f t="shared" ca="1" si="11"/>
        <v>675.36989000000005</v>
      </c>
      <c r="R21" s="5">
        <f t="shared" ca="1" si="11"/>
        <v>675.36989000000005</v>
      </c>
      <c r="S21" s="5">
        <f t="shared" ca="1" si="11"/>
        <v>675.36989000000005</v>
      </c>
      <c r="T21" s="5">
        <f t="shared" ca="1" si="11"/>
        <v>675.36989000000005</v>
      </c>
      <c r="U21" s="5">
        <f t="shared" ca="1" si="11"/>
        <v>675.36581000000001</v>
      </c>
      <c r="W21" s="5">
        <f t="shared" ca="1" si="12"/>
        <v>675.36907399999996</v>
      </c>
      <c r="Y21" s="5">
        <f ca="1">Total!E21</f>
        <v>675.36581000000001</v>
      </c>
      <c r="AB21" s="5">
        <f t="shared" ca="1" si="1"/>
        <v>6.0411704881010963E-6</v>
      </c>
      <c r="AC21" s="5">
        <f t="shared" ca="1" si="2"/>
        <v>6.0411704881010963E-6</v>
      </c>
      <c r="AD21" s="5">
        <f t="shared" ca="1" si="3"/>
        <v>0</v>
      </c>
      <c r="AE21" s="5">
        <f t="shared" ca="1" si="4"/>
        <v>6.0411704881010963E-6</v>
      </c>
      <c r="AF21" s="5">
        <f t="shared" ca="1" si="5"/>
        <v>6.0411704881010963E-6</v>
      </c>
      <c r="AG21" s="5">
        <f t="shared" ca="1" si="6"/>
        <v>6.0411704881010963E-6</v>
      </c>
      <c r="AH21" s="5">
        <f t="shared" ca="1" si="7"/>
        <v>6.0411704881010963E-6</v>
      </c>
      <c r="AI21" s="5">
        <f t="shared" ca="1" si="8"/>
        <v>6.0411704881010963E-6</v>
      </c>
      <c r="AJ21" s="5">
        <f t="shared" ca="1" si="9"/>
        <v>6.0411704881010963E-6</v>
      </c>
      <c r="AK21" s="5">
        <f t="shared" ca="1" si="10"/>
        <v>0</v>
      </c>
      <c r="AM21" s="5">
        <f t="shared" ca="1" si="13"/>
        <v>4.832936390480877E-5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1.77338</v>
      </c>
      <c r="F22" s="5">
        <v>155</v>
      </c>
      <c r="H22" s="5" t="s">
        <v>1</v>
      </c>
      <c r="I22" s="5">
        <v>30</v>
      </c>
      <c r="J22" s="5">
        <v>1</v>
      </c>
      <c r="L22" s="5">
        <f t="shared" ca="1" si="11"/>
        <v>655.43907999999999</v>
      </c>
      <c r="M22" s="5">
        <f t="shared" ca="1" si="11"/>
        <v>655.46475999999996</v>
      </c>
      <c r="N22" s="5">
        <f t="shared" ca="1" si="11"/>
        <v>655.43295999999998</v>
      </c>
      <c r="O22" s="5">
        <f t="shared" ca="1" si="11"/>
        <v>656.98898999999994</v>
      </c>
      <c r="P22" s="5">
        <f t="shared" ca="1" si="11"/>
        <v>657.95457999999996</v>
      </c>
      <c r="Q22" s="5">
        <f t="shared" ca="1" si="11"/>
        <v>658.36622</v>
      </c>
      <c r="R22" s="5">
        <f t="shared" ca="1" si="11"/>
        <v>657.32380999999998</v>
      </c>
      <c r="S22" s="5">
        <f t="shared" ca="1" si="11"/>
        <v>656.34204</v>
      </c>
      <c r="T22" s="5">
        <f t="shared" ca="1" si="11"/>
        <v>655.43295999999998</v>
      </c>
      <c r="U22" s="5">
        <f t="shared" ca="1" si="11"/>
        <v>657.35562000000004</v>
      </c>
      <c r="W22" s="5">
        <f t="shared" ca="1" si="12"/>
        <v>656.61010199999998</v>
      </c>
      <c r="Y22" s="5">
        <f ca="1">Total!E22</f>
        <v>655.43295999999998</v>
      </c>
      <c r="AB22" s="5">
        <f t="shared" ca="1" si="1"/>
        <v>9.337339397777456E-6</v>
      </c>
      <c r="AC22" s="5">
        <f t="shared" ca="1" si="2"/>
        <v>4.8517547851080951E-5</v>
      </c>
      <c r="AD22" s="5">
        <f t="shared" ca="1" si="3"/>
        <v>0</v>
      </c>
      <c r="AE22" s="5">
        <f t="shared" ca="1" si="4"/>
        <v>2.3740490560620634E-3</v>
      </c>
      <c r="AF22" s="5">
        <f t="shared" ca="1" si="5"/>
        <v>3.847258459507414E-3</v>
      </c>
      <c r="AG22" s="5">
        <f t="shared" ca="1" si="6"/>
        <v>4.4753013336406187E-3</v>
      </c>
      <c r="AH22" s="5">
        <f t="shared" ca="1" si="7"/>
        <v>2.8848869608266272E-3</v>
      </c>
      <c r="AI22" s="5">
        <f t="shared" ca="1" si="8"/>
        <v>1.3869915849212362E-3</v>
      </c>
      <c r="AJ22" s="5">
        <f t="shared" ca="1" si="9"/>
        <v>0</v>
      </c>
      <c r="AK22" s="5">
        <f t="shared" ca="1" si="10"/>
        <v>2.9334197657683624E-3</v>
      </c>
      <c r="AM22" s="5">
        <f t="shared" ca="1" si="13"/>
        <v>1.795976204797518E-2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1.7717400000000001</v>
      </c>
      <c r="F23" s="5">
        <v>157</v>
      </c>
      <c r="H23" s="5" t="s">
        <v>1</v>
      </c>
      <c r="I23" s="5">
        <v>50</v>
      </c>
      <c r="J23" s="5">
        <v>0.4</v>
      </c>
      <c r="L23" s="5">
        <f t="shared" ca="1" si="11"/>
        <v>1459.9687899999999</v>
      </c>
      <c r="M23" s="5">
        <f t="shared" ca="1" si="11"/>
        <v>1459.9687899999999</v>
      </c>
      <c r="N23" s="5">
        <f t="shared" ca="1" si="11"/>
        <v>1459.9687899999999</v>
      </c>
      <c r="O23" s="5">
        <f t="shared" ca="1" si="11"/>
        <v>1460.0209400000001</v>
      </c>
      <c r="P23" s="5">
        <f t="shared" ca="1" si="11"/>
        <v>1459.9687899999999</v>
      </c>
      <c r="Q23" s="5">
        <f t="shared" ca="1" si="11"/>
        <v>1459.9687899999999</v>
      </c>
      <c r="R23" s="5">
        <f t="shared" ca="1" si="11"/>
        <v>1459.9687899999999</v>
      </c>
      <c r="S23" s="5">
        <f t="shared" ca="1" si="11"/>
        <v>1460.91824</v>
      </c>
      <c r="T23" s="5">
        <f t="shared" ca="1" si="11"/>
        <v>1459.9687899999999</v>
      </c>
      <c r="U23" s="5">
        <f t="shared" ca="1" si="11"/>
        <v>1459.9687899999999</v>
      </c>
      <c r="W23" s="5">
        <f t="shared" ca="1" si="12"/>
        <v>1460.0689499999996</v>
      </c>
      <c r="Y23" s="5">
        <f ca="1">Total!E23</f>
        <v>1459.9687899999999</v>
      </c>
      <c r="AB23" s="5">
        <f t="shared" ca="1" si="1"/>
        <v>0</v>
      </c>
      <c r="AC23" s="5">
        <f t="shared" ca="1" si="2"/>
        <v>0</v>
      </c>
      <c r="AD23" s="5">
        <f t="shared" ca="1" si="3"/>
        <v>0</v>
      </c>
      <c r="AE23" s="5">
        <f t="shared" ca="1" si="4"/>
        <v>3.5719941657253266E-5</v>
      </c>
      <c r="AF23" s="5">
        <f t="shared" ca="1" si="5"/>
        <v>0</v>
      </c>
      <c r="AG23" s="5">
        <f t="shared" ca="1" si="6"/>
        <v>0</v>
      </c>
      <c r="AH23" s="5">
        <f t="shared" ca="1" si="7"/>
        <v>0</v>
      </c>
      <c r="AI23" s="5">
        <f t="shared" ca="1" si="8"/>
        <v>6.5032212092703016E-4</v>
      </c>
      <c r="AJ23" s="5">
        <f t="shared" ca="1" si="9"/>
        <v>0</v>
      </c>
      <c r="AK23" s="5">
        <f t="shared" ca="1" si="10"/>
        <v>0</v>
      </c>
      <c r="AM23" s="5">
        <f t="shared" ca="1" si="13"/>
        <v>6.8604206258428345E-4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1.7705900000000001</v>
      </c>
      <c r="F24" s="5">
        <v>153</v>
      </c>
      <c r="H24" s="5" t="s">
        <v>1</v>
      </c>
      <c r="I24" s="5">
        <v>50</v>
      </c>
      <c r="J24" s="5">
        <v>0.7</v>
      </c>
      <c r="L24" s="5">
        <f t="shared" ca="1" si="11"/>
        <v>1007.37746</v>
      </c>
      <c r="M24" s="5">
        <f t="shared" ca="1" si="11"/>
        <v>1027.54721</v>
      </c>
      <c r="N24" s="5">
        <f t="shared" ca="1" si="11"/>
        <v>1012.25126</v>
      </c>
      <c r="O24" s="5">
        <f t="shared" ca="1" si="11"/>
        <v>1018.61893</v>
      </c>
      <c r="P24" s="5">
        <f t="shared" ca="1" si="11"/>
        <v>1010.53327</v>
      </c>
      <c r="Q24" s="5">
        <f t="shared" ca="1" si="11"/>
        <v>1012.64239</v>
      </c>
      <c r="R24" s="5">
        <f t="shared" ca="1" si="11"/>
        <v>1010.79041</v>
      </c>
      <c r="S24" s="5">
        <f t="shared" ca="1" si="11"/>
        <v>1030.5448699999999</v>
      </c>
      <c r="T24" s="5">
        <f t="shared" ca="1" si="11"/>
        <v>1008.36589</v>
      </c>
      <c r="U24" s="5">
        <f t="shared" ca="1" si="11"/>
        <v>1009.43476</v>
      </c>
      <c r="W24" s="5">
        <f t="shared" ca="1" si="12"/>
        <v>1014.8106449999999</v>
      </c>
      <c r="Y24" s="5">
        <f ca="1">Total!E24</f>
        <v>1005.95063</v>
      </c>
      <c r="AB24" s="5">
        <f t="shared" ca="1" si="1"/>
        <v>1.4183896877722471E-3</v>
      </c>
      <c r="AC24" s="5">
        <f t="shared" ca="1" si="2"/>
        <v>2.1468826954261069E-2</v>
      </c>
      <c r="AD24" s="5">
        <f t="shared" ca="1" si="3"/>
        <v>6.2633590676313359E-3</v>
      </c>
      <c r="AE24" s="5">
        <f t="shared" ca="1" si="4"/>
        <v>1.2593361564871161E-2</v>
      </c>
      <c r="AF24" s="5">
        <f t="shared" ca="1" si="5"/>
        <v>4.5555317163029855E-3</v>
      </c>
      <c r="AG24" s="5">
        <f t="shared" ca="1" si="6"/>
        <v>6.6521753657035141E-3</v>
      </c>
      <c r="AH24" s="5">
        <f t="shared" ca="1" si="7"/>
        <v>4.811150622769534E-3</v>
      </c>
      <c r="AI24" s="5">
        <f t="shared" ca="1" si="8"/>
        <v>2.4448754507962182E-2</v>
      </c>
      <c r="AJ24" s="5">
        <f t="shared" ca="1" si="9"/>
        <v>2.4009726998232401E-3</v>
      </c>
      <c r="AK24" s="5">
        <f t="shared" ca="1" si="10"/>
        <v>3.463519874727785E-3</v>
      </c>
      <c r="AM24" s="5">
        <f t="shared" ca="1" si="13"/>
        <v>8.8076042061825052E-2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1.77399</v>
      </c>
      <c r="F25" s="5">
        <v>157</v>
      </c>
      <c r="H25" s="5" t="s">
        <v>1</v>
      </c>
      <c r="I25" s="5">
        <v>50</v>
      </c>
      <c r="J25" s="5">
        <v>1</v>
      </c>
      <c r="L25" s="5">
        <f t="shared" ca="1" si="11"/>
        <v>1001.08</v>
      </c>
      <c r="M25" s="5">
        <f t="shared" ca="1" si="11"/>
        <v>997.68631000000005</v>
      </c>
      <c r="N25" s="5">
        <f t="shared" ca="1" si="11"/>
        <v>991.79796999999996</v>
      </c>
      <c r="O25" s="5">
        <f t="shared" ca="1" si="11"/>
        <v>995.57631000000003</v>
      </c>
      <c r="P25" s="5">
        <f t="shared" ca="1" si="11"/>
        <v>996.51544000000001</v>
      </c>
      <c r="Q25" s="5">
        <f t="shared" ca="1" si="11"/>
        <v>994.40544</v>
      </c>
      <c r="R25" s="5">
        <f t="shared" ca="1" si="11"/>
        <v>995.65152999999998</v>
      </c>
      <c r="S25" s="5">
        <f t="shared" ca="1" si="11"/>
        <v>994.64130999999998</v>
      </c>
      <c r="T25" s="5">
        <f t="shared" ca="1" si="11"/>
        <v>1002.90153</v>
      </c>
      <c r="U25" s="5">
        <f t="shared" ca="1" si="11"/>
        <v>997.68631000000005</v>
      </c>
      <c r="W25" s="5">
        <f t="shared" ca="1" si="12"/>
        <v>996.79421499999989</v>
      </c>
      <c r="Y25" s="5">
        <f ca="1">Total!E25</f>
        <v>990.69820000000004</v>
      </c>
      <c r="AB25" s="5">
        <f t="shared" ca="1" si="1"/>
        <v>1.047927613071266E-2</v>
      </c>
      <c r="AC25" s="5">
        <f t="shared" ca="1" si="2"/>
        <v>7.0537223142224399E-3</v>
      </c>
      <c r="AD25" s="5">
        <f t="shared" ca="1" si="3"/>
        <v>1.1100958899490493E-3</v>
      </c>
      <c r="AE25" s="5">
        <f t="shared" ca="1" si="4"/>
        <v>4.9239112375494293E-3</v>
      </c>
      <c r="AF25" s="5">
        <f t="shared" ca="1" si="5"/>
        <v>5.8718588567133459E-3</v>
      </c>
      <c r="AG25" s="5">
        <f t="shared" ca="1" si="6"/>
        <v>3.7420477800403354E-3</v>
      </c>
      <c r="AH25" s="5">
        <f t="shared" ca="1" si="7"/>
        <v>4.9998374883490626E-3</v>
      </c>
      <c r="AI25" s="5">
        <f t="shared" ca="1" si="8"/>
        <v>3.9801323955165491E-3</v>
      </c>
      <c r="AJ25" s="5">
        <f t="shared" ca="1" si="9"/>
        <v>1.2317908723362914E-2</v>
      </c>
      <c r="AK25" s="5">
        <f t="shared" ca="1" si="10"/>
        <v>7.0537223142224399E-3</v>
      </c>
      <c r="AM25" s="5">
        <f t="shared" ca="1" si="13"/>
        <v>6.1532513130638226E-2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1.7761400000000001</v>
      </c>
      <c r="F26" s="5">
        <v>149</v>
      </c>
      <c r="H26" s="5" t="s">
        <v>1</v>
      </c>
      <c r="I26" s="5">
        <v>100</v>
      </c>
      <c r="J26" s="5">
        <v>0.4</v>
      </c>
      <c r="L26" s="5">
        <f t="shared" ca="1" si="11"/>
        <v>1841.0797500000001</v>
      </c>
      <c r="M26" s="5">
        <f t="shared" ca="1" si="11"/>
        <v>1850.3981200000001</v>
      </c>
      <c r="N26" s="5">
        <f t="shared" ca="1" si="11"/>
        <v>1852.9990700000001</v>
      </c>
      <c r="O26" s="5">
        <f t="shared" ca="1" si="11"/>
        <v>1865.1769099999999</v>
      </c>
      <c r="P26" s="5">
        <f t="shared" ca="1" si="11"/>
        <v>1829.0567799999999</v>
      </c>
      <c r="Q26" s="5">
        <f t="shared" ca="1" si="11"/>
        <v>1830.9726599999999</v>
      </c>
      <c r="R26" s="5">
        <f t="shared" ca="1" si="11"/>
        <v>1817.31333</v>
      </c>
      <c r="S26" s="5">
        <f t="shared" ca="1" si="11"/>
        <v>1813.3284699999999</v>
      </c>
      <c r="T26" s="5">
        <f t="shared" ca="1" si="11"/>
        <v>1839.6269299999999</v>
      </c>
      <c r="U26" s="5">
        <f t="shared" ca="1" si="11"/>
        <v>1854.39384</v>
      </c>
      <c r="W26" s="5">
        <f t="shared" ca="1" si="12"/>
        <v>1839.4345860000001</v>
      </c>
      <c r="Y26" s="5">
        <f ca="1">Total!E26</f>
        <v>1786.3248599999999</v>
      </c>
      <c r="AB26" s="5">
        <f t="shared" ca="1" si="1"/>
        <v>3.0652257730993098E-2</v>
      </c>
      <c r="AC26" s="5">
        <f t="shared" ca="1" si="2"/>
        <v>3.5868761295747807E-2</v>
      </c>
      <c r="AD26" s="5">
        <f t="shared" ca="1" si="3"/>
        <v>3.7324795446221429E-2</v>
      </c>
      <c r="AE26" s="5">
        <f t="shared" ca="1" si="4"/>
        <v>4.4142054877968816E-2</v>
      </c>
      <c r="AF26" s="5">
        <f t="shared" ca="1" si="5"/>
        <v>2.3921695855478351E-2</v>
      </c>
      <c r="AG26" s="5">
        <f t="shared" ca="1" si="6"/>
        <v>2.4994221935644989E-2</v>
      </c>
      <c r="AH26" s="5">
        <f t="shared" ca="1" si="7"/>
        <v>1.7347611676859272E-2</v>
      </c>
      <c r="AI26" s="5">
        <f t="shared" ca="1" si="8"/>
        <v>1.51168528214963E-2</v>
      </c>
      <c r="AJ26" s="5">
        <f t="shared" ca="1" si="9"/>
        <v>2.9838956616211432E-2</v>
      </c>
      <c r="AK26" s="5">
        <f t="shared" ca="1" si="10"/>
        <v>3.8105599672391063E-2</v>
      </c>
      <c r="AM26" s="5">
        <f t="shared" ca="1" si="13"/>
        <v>0.29731280792901255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1.7777099999999999</v>
      </c>
      <c r="F27" s="5">
        <v>156</v>
      </c>
      <c r="H27" s="5" t="s">
        <v>1</v>
      </c>
      <c r="I27" s="5">
        <v>100</v>
      </c>
      <c r="J27" s="5">
        <v>0.7</v>
      </c>
      <c r="L27" s="5">
        <f t="shared" ca="1" si="11"/>
        <v>1790.36652</v>
      </c>
      <c r="M27" s="5">
        <f t="shared" ca="1" si="11"/>
        <v>1789.0725299999999</v>
      </c>
      <c r="N27" s="5">
        <f t="shared" ca="1" si="11"/>
        <v>1774.54459</v>
      </c>
      <c r="O27" s="5">
        <f t="shared" ca="1" si="11"/>
        <v>1783.02279</v>
      </c>
      <c r="P27" s="5">
        <f t="shared" ca="1" si="11"/>
        <v>1778.12862</v>
      </c>
      <c r="Q27" s="5">
        <f t="shared" ca="1" si="11"/>
        <v>1785.3150800000001</v>
      </c>
      <c r="R27" s="5">
        <f t="shared" ca="1" si="11"/>
        <v>1778.33</v>
      </c>
      <c r="S27" s="5">
        <f t="shared" ca="1" si="11"/>
        <v>1779.50667</v>
      </c>
      <c r="T27" s="5">
        <f t="shared" ca="1" si="11"/>
        <v>1782.6366599999999</v>
      </c>
      <c r="U27" s="5">
        <f t="shared" ca="1" si="11"/>
        <v>1788.6860300000001</v>
      </c>
      <c r="W27" s="5">
        <f t="shared" ca="1" si="12"/>
        <v>1782.9609490000003</v>
      </c>
      <c r="Y27" s="5">
        <f ca="1">Total!E27</f>
        <v>1761.02206</v>
      </c>
      <c r="AB27" s="5">
        <f t="shared" ca="1" si="1"/>
        <v>1.6663311985995237E-2</v>
      </c>
      <c r="AC27" s="5">
        <f t="shared" ca="1" si="2"/>
        <v>1.5928517102165037E-2</v>
      </c>
      <c r="AD27" s="5">
        <f t="shared" ca="1" si="3"/>
        <v>7.678796482538078E-3</v>
      </c>
      <c r="AE27" s="5">
        <f t="shared" ca="1" si="4"/>
        <v>1.2493159796078861E-2</v>
      </c>
      <c r="AF27" s="5">
        <f t="shared" ca="1" si="5"/>
        <v>9.7139952920294158E-3</v>
      </c>
      <c r="AG27" s="5">
        <f t="shared" ca="1" si="6"/>
        <v>1.3794841388869409E-2</v>
      </c>
      <c r="AH27" s="5">
        <f t="shared" ca="1" si="7"/>
        <v>9.8283493393603004E-3</v>
      </c>
      <c r="AI27" s="5">
        <f t="shared" ca="1" si="8"/>
        <v>1.0496523819809488E-2</v>
      </c>
      <c r="AJ27" s="5">
        <f t="shared" ca="1" si="9"/>
        <v>1.2273895081132535E-2</v>
      </c>
      <c r="AK27" s="5">
        <f t="shared" ca="1" si="10"/>
        <v>1.5709042281957596E-2</v>
      </c>
      <c r="AM27" s="5">
        <f t="shared" ca="1" si="13"/>
        <v>0.12458043256993598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1.7733099999999999</v>
      </c>
      <c r="F28" s="5">
        <v>149</v>
      </c>
      <c r="H28" s="5" t="s">
        <v>1</v>
      </c>
      <c r="I28" s="5">
        <v>100</v>
      </c>
      <c r="J28" s="5">
        <v>1</v>
      </c>
      <c r="L28" s="5">
        <f t="shared" ca="1" si="11"/>
        <v>1759.5652</v>
      </c>
      <c r="M28" s="5">
        <f t="shared" ca="1" si="11"/>
        <v>1756.1358399999999</v>
      </c>
      <c r="N28" s="5">
        <f t="shared" ca="1" si="11"/>
        <v>1757.1433300000001</v>
      </c>
      <c r="O28" s="5">
        <f t="shared" ca="1" si="11"/>
        <v>1757.21667</v>
      </c>
      <c r="P28" s="5">
        <f t="shared" ca="1" si="11"/>
        <v>1755.6048499999999</v>
      </c>
      <c r="Q28" s="5">
        <f t="shared" ca="1" si="11"/>
        <v>1757.1952000000001</v>
      </c>
      <c r="R28" s="5">
        <f t="shared" ca="1" si="11"/>
        <v>1757</v>
      </c>
      <c r="S28" s="5">
        <f t="shared" ca="1" si="11"/>
        <v>1754.4433300000001</v>
      </c>
      <c r="T28" s="5">
        <f t="shared" ca="1" si="11"/>
        <v>1757.76667</v>
      </c>
      <c r="U28" s="5">
        <f t="shared" ca="1" si="11"/>
        <v>1756.19</v>
      </c>
      <c r="W28" s="5">
        <f t="shared" ca="1" si="12"/>
        <v>1756.8261090000001</v>
      </c>
      <c r="Y28" s="5">
        <f ca="1">Total!E28</f>
        <v>1753.1198199999999</v>
      </c>
      <c r="AB28" s="5">
        <f t="shared" ca="1" si="1"/>
        <v>3.6765199540098261E-3</v>
      </c>
      <c r="AC28" s="5">
        <f t="shared" ca="1" si="2"/>
        <v>1.7203729976653997E-3</v>
      </c>
      <c r="AD28" s="5">
        <f t="shared" ca="1" si="3"/>
        <v>2.2950570486392741E-3</v>
      </c>
      <c r="AE28" s="5">
        <f t="shared" ca="1" si="4"/>
        <v>2.3368910403398051E-3</v>
      </c>
      <c r="AF28" s="5">
        <f t="shared" ca="1" si="5"/>
        <v>1.417490106295217E-3</v>
      </c>
      <c r="AG28" s="5">
        <f t="shared" ca="1" si="6"/>
        <v>2.3246443018368379E-3</v>
      </c>
      <c r="AH28" s="5">
        <f t="shared" ca="1" si="7"/>
        <v>2.2132999443244612E-3</v>
      </c>
      <c r="AI28" s="5">
        <f t="shared" ca="1" si="8"/>
        <v>7.549455461636213E-4</v>
      </c>
      <c r="AJ28" s="5">
        <f t="shared" ca="1" si="9"/>
        <v>2.6506174575107399E-3</v>
      </c>
      <c r="AK28" s="5">
        <f t="shared" ca="1" si="10"/>
        <v>1.7512664935818044E-3</v>
      </c>
      <c r="AM28" s="5">
        <f t="shared" ca="1" si="13"/>
        <v>2.1141104890366986E-2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1.7776700000000001</v>
      </c>
      <c r="F29" s="5">
        <v>157</v>
      </c>
      <c r="H29" s="5" t="s">
        <v>0</v>
      </c>
      <c r="I29" s="5">
        <v>25</v>
      </c>
      <c r="J29" s="5">
        <v>0.4</v>
      </c>
      <c r="L29" s="5">
        <f t="shared" ca="1" si="11"/>
        <v>42.424349999999997</v>
      </c>
      <c r="M29" s="5">
        <f t="shared" ca="1" si="11"/>
        <v>42.424349999999997</v>
      </c>
      <c r="N29" s="5">
        <f t="shared" ca="1" si="11"/>
        <v>41.318849999999998</v>
      </c>
      <c r="O29" s="5">
        <f t="shared" ca="1" si="11"/>
        <v>41.318849999999998</v>
      </c>
      <c r="P29" s="5">
        <f t="shared" ca="1" si="11"/>
        <v>41.318849999999998</v>
      </c>
      <c r="Q29" s="5">
        <f t="shared" ca="1" si="11"/>
        <v>42.424349999999997</v>
      </c>
      <c r="R29" s="5">
        <f t="shared" ca="1" si="11"/>
        <v>41.318849999999998</v>
      </c>
      <c r="S29" s="5">
        <f t="shared" ca="1" si="11"/>
        <v>42.424349999999997</v>
      </c>
      <c r="T29" s="5">
        <f t="shared" ca="1" si="11"/>
        <v>41.318849999999998</v>
      </c>
      <c r="U29" s="5">
        <f t="shared" ca="1" si="11"/>
        <v>42.003050000000002</v>
      </c>
      <c r="W29" s="5">
        <f t="shared" ca="1" si="12"/>
        <v>41.829470000000001</v>
      </c>
      <c r="Y29" s="5">
        <f ca="1">Total!E29</f>
        <v>40.897550000000003</v>
      </c>
      <c r="AB29" s="5">
        <f t="shared" ca="1" si="1"/>
        <v>3.7332309637129711E-2</v>
      </c>
      <c r="AC29" s="5">
        <f t="shared" ca="1" si="2"/>
        <v>3.7332309637129711E-2</v>
      </c>
      <c r="AD29" s="5">
        <f t="shared" ca="1" si="3"/>
        <v>1.0301350569899543E-2</v>
      </c>
      <c r="AE29" s="5">
        <f t="shared" ca="1" si="4"/>
        <v>1.0301350569899543E-2</v>
      </c>
      <c r="AF29" s="5">
        <f t="shared" ca="1" si="5"/>
        <v>1.0301350569899543E-2</v>
      </c>
      <c r="AG29" s="5">
        <f t="shared" ca="1" si="6"/>
        <v>3.7332309637129711E-2</v>
      </c>
      <c r="AH29" s="5">
        <f t="shared" ca="1" si="7"/>
        <v>1.0301350569899543E-2</v>
      </c>
      <c r="AI29" s="5">
        <f t="shared" ca="1" si="8"/>
        <v>3.7332309637129711E-2</v>
      </c>
      <c r="AJ29" s="5">
        <f t="shared" ca="1" si="9"/>
        <v>1.0301350569899543E-2</v>
      </c>
      <c r="AK29" s="5">
        <f t="shared" ca="1" si="10"/>
        <v>2.703095906723017E-2</v>
      </c>
      <c r="AM29" s="5">
        <f t="shared" ca="1" si="13"/>
        <v>0.22786695046524671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1.7716700000000001</v>
      </c>
      <c r="F30" s="5">
        <v>157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1"/>
        <v>28.65436</v>
      </c>
      <c r="N30" s="5">
        <f t="shared" ca="1" si="11"/>
        <v>28.65436</v>
      </c>
      <c r="O30" s="5">
        <f t="shared" ca="1" si="11"/>
        <v>28.65436</v>
      </c>
      <c r="P30" s="5">
        <f t="shared" ca="1" si="11"/>
        <v>28.65436</v>
      </c>
      <c r="Q30" s="5">
        <f t="shared" ca="1" si="11"/>
        <v>28.65436</v>
      </c>
      <c r="R30" s="5">
        <f t="shared" ca="1" si="11"/>
        <v>28.65436</v>
      </c>
      <c r="S30" s="5">
        <f t="shared" ca="1" si="11"/>
        <v>28.65436</v>
      </c>
      <c r="T30" s="5">
        <f t="shared" ca="1" si="11"/>
        <v>28.65436</v>
      </c>
      <c r="U30" s="5">
        <f t="shared" ca="1" si="11"/>
        <v>28.65436</v>
      </c>
      <c r="W30" s="5">
        <f t="shared" ca="1" si="12"/>
        <v>28.654360000000004</v>
      </c>
      <c r="Y30" s="5">
        <f ca="1">Total!E30</f>
        <v>28.65436</v>
      </c>
      <c r="AB30" s="5">
        <f t="shared" ca="1" si="1"/>
        <v>0</v>
      </c>
      <c r="AC30" s="5">
        <f t="shared" ca="1" si="2"/>
        <v>0</v>
      </c>
      <c r="AD30" s="5">
        <f t="shared" ca="1" si="3"/>
        <v>0</v>
      </c>
      <c r="AE30" s="5">
        <f t="shared" ca="1" si="4"/>
        <v>0</v>
      </c>
      <c r="AF30" s="5">
        <f t="shared" ca="1" si="5"/>
        <v>0</v>
      </c>
      <c r="AG30" s="5">
        <f t="shared" ca="1" si="6"/>
        <v>0</v>
      </c>
      <c r="AH30" s="5">
        <f t="shared" ca="1" si="7"/>
        <v>0</v>
      </c>
      <c r="AI30" s="5">
        <f t="shared" ca="1" si="8"/>
        <v>0</v>
      </c>
      <c r="AJ30" s="5">
        <f t="shared" ca="1" si="9"/>
        <v>0</v>
      </c>
      <c r="AK30" s="5">
        <f t="shared" ca="1" si="10"/>
        <v>0</v>
      </c>
      <c r="AM30" s="5">
        <f t="shared" ca="1" si="13"/>
        <v>0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1.2186699999999999</v>
      </c>
      <c r="F31" s="5">
        <v>33</v>
      </c>
      <c r="H31" s="5" t="s">
        <v>0</v>
      </c>
      <c r="I31" s="5">
        <v>25</v>
      </c>
      <c r="J31" s="5">
        <v>1</v>
      </c>
      <c r="L31" s="5">
        <f t="shared" ca="1" si="11"/>
        <v>28.546240000000001</v>
      </c>
      <c r="M31" s="5">
        <f t="shared" ca="1" si="11"/>
        <v>28.594360000000002</v>
      </c>
      <c r="N31" s="5">
        <f t="shared" ca="1" si="11"/>
        <v>28.592030000000001</v>
      </c>
      <c r="O31" s="5">
        <f t="shared" ca="1" si="11"/>
        <v>28.592030000000001</v>
      </c>
      <c r="P31" s="5">
        <f t="shared" ca="1" si="11"/>
        <v>28.592030000000001</v>
      </c>
      <c r="Q31" s="5">
        <f t="shared" ca="1" si="11"/>
        <v>28.546240000000001</v>
      </c>
      <c r="R31" s="5">
        <f t="shared" ca="1" si="11"/>
        <v>28.546240000000001</v>
      </c>
      <c r="S31" s="5">
        <f t="shared" ca="1" si="11"/>
        <v>28.602029999999999</v>
      </c>
      <c r="T31" s="5">
        <f t="shared" ca="1" si="11"/>
        <v>28.546240000000001</v>
      </c>
      <c r="U31" s="5">
        <f t="shared" ca="1" si="11"/>
        <v>28.587009999999999</v>
      </c>
      <c r="W31" s="5">
        <f t="shared" ca="1" si="12"/>
        <v>28.574445000000004</v>
      </c>
      <c r="Y31" s="5">
        <f ca="1">Total!E31</f>
        <v>28.504100000000001</v>
      </c>
      <c r="AB31" s="5">
        <f t="shared" ca="1" si="1"/>
        <v>1.4783838114516804E-3</v>
      </c>
      <c r="AC31" s="5">
        <f t="shared" ca="1" si="2"/>
        <v>3.1665620033609434E-3</v>
      </c>
      <c r="AD31" s="5">
        <f t="shared" ca="1" si="3"/>
        <v>3.0848193768615766E-3</v>
      </c>
      <c r="AE31" s="5">
        <f t="shared" ca="1" si="4"/>
        <v>3.0848193768615766E-3</v>
      </c>
      <c r="AF31" s="5">
        <f t="shared" ca="1" si="5"/>
        <v>3.0848193768615766E-3</v>
      </c>
      <c r="AG31" s="5">
        <f t="shared" ca="1" si="6"/>
        <v>1.4783838114516804E-3</v>
      </c>
      <c r="AH31" s="5">
        <f t="shared" ca="1" si="7"/>
        <v>1.4783838114516804E-3</v>
      </c>
      <c r="AI31" s="5">
        <f t="shared" ca="1" si="8"/>
        <v>3.4356461000346642E-3</v>
      </c>
      <c r="AJ31" s="5">
        <f t="shared" ca="1" si="9"/>
        <v>1.4783838114516804E-3</v>
      </c>
      <c r="AK31" s="5">
        <f t="shared" ca="1" si="10"/>
        <v>2.9087043618285882E-3</v>
      </c>
      <c r="AM31" s="5">
        <f t="shared" ca="1" si="13"/>
        <v>2.4678905841615646E-2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1.2149099999999999</v>
      </c>
      <c r="F32" s="5">
        <v>34</v>
      </c>
      <c r="H32" s="5" t="s">
        <v>0</v>
      </c>
      <c r="I32" s="5">
        <v>50</v>
      </c>
      <c r="J32" s="5">
        <v>0.4</v>
      </c>
      <c r="L32" s="5">
        <f t="shared" ca="1" si="11"/>
        <v>56.901339999999998</v>
      </c>
      <c r="M32" s="5">
        <f t="shared" ca="1" si="11"/>
        <v>59.079509999999999</v>
      </c>
      <c r="N32" s="5">
        <f t="shared" ca="1" si="11"/>
        <v>58.107349999999997</v>
      </c>
      <c r="O32" s="5">
        <f t="shared" ca="1" si="11"/>
        <v>59.004350000000002</v>
      </c>
      <c r="P32" s="5">
        <f t="shared" ca="1" si="11"/>
        <v>59.087679999999999</v>
      </c>
      <c r="Q32" s="5">
        <f t="shared" ca="1" si="11"/>
        <v>58.922330000000002</v>
      </c>
      <c r="R32" s="5">
        <f t="shared" ca="1" si="11"/>
        <v>59.049509999999998</v>
      </c>
      <c r="S32" s="5">
        <f t="shared" ca="1" si="11"/>
        <v>58.993220000000001</v>
      </c>
      <c r="T32" s="5">
        <f t="shared" ca="1" si="11"/>
        <v>56.901339999999998</v>
      </c>
      <c r="U32" s="5">
        <f t="shared" ca="1" si="11"/>
        <v>59.089509999999997</v>
      </c>
      <c r="W32" s="5">
        <f t="shared" ca="1" si="12"/>
        <v>58.513613999999997</v>
      </c>
      <c r="Y32" s="5">
        <f ca="1">Total!E32</f>
        <v>56.511339999999997</v>
      </c>
      <c r="AB32" s="5">
        <f t="shared" ca="1" si="1"/>
        <v>6.901269727456482E-3</v>
      </c>
      <c r="AC32" s="5">
        <f t="shared" ca="1" si="2"/>
        <v>4.5445215066568977E-2</v>
      </c>
      <c r="AD32" s="5">
        <f t="shared" ca="1" si="3"/>
        <v>2.8242296147994363E-2</v>
      </c>
      <c r="AE32" s="5">
        <f t="shared" ca="1" si="4"/>
        <v>4.4115216521144349E-2</v>
      </c>
      <c r="AF32" s="5">
        <f t="shared" ca="1" si="5"/>
        <v>4.5589787819577489E-2</v>
      </c>
      <c r="AG32" s="5">
        <f t="shared" ca="1" si="6"/>
        <v>4.2663826410770038E-2</v>
      </c>
      <c r="AH32" s="5">
        <f t="shared" ca="1" si="7"/>
        <v>4.491434816445692E-2</v>
      </c>
      <c r="AI32" s="5">
        <f t="shared" ca="1" si="8"/>
        <v>4.391826490046076E-2</v>
      </c>
      <c r="AJ32" s="5">
        <f t="shared" ca="1" si="9"/>
        <v>6.901269727456482E-3</v>
      </c>
      <c r="AK32" s="5">
        <f t="shared" ca="1" si="10"/>
        <v>4.5622170700606292E-2</v>
      </c>
      <c r="AM32" s="5">
        <f t="shared" ca="1" si="13"/>
        <v>0.35431366518649215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1.2248399999999999</v>
      </c>
      <c r="F33" s="5">
        <v>32</v>
      </c>
      <c r="H33" s="5" t="s">
        <v>0</v>
      </c>
      <c r="I33" s="5">
        <v>50</v>
      </c>
      <c r="J33" s="5">
        <v>0.7</v>
      </c>
      <c r="L33" s="5">
        <f t="shared" ca="1" si="11"/>
        <v>53.552750000000003</v>
      </c>
      <c r="M33" s="5">
        <f t="shared" ca="1" si="11"/>
        <v>53.552059999999997</v>
      </c>
      <c r="N33" s="5">
        <f t="shared" ca="1" si="11"/>
        <v>53.475070000000002</v>
      </c>
      <c r="O33" s="5">
        <f t="shared" ca="1" si="11"/>
        <v>53.695070000000001</v>
      </c>
      <c r="P33" s="5">
        <f t="shared" ca="1" si="11"/>
        <v>54.022880000000001</v>
      </c>
      <c r="Q33" s="5">
        <f t="shared" ca="1" si="11"/>
        <v>53.522660000000002</v>
      </c>
      <c r="R33" s="5">
        <f t="shared" ca="1" si="11"/>
        <v>53.41507</v>
      </c>
      <c r="S33" s="5">
        <f t="shared" ca="1" si="11"/>
        <v>53.59507</v>
      </c>
      <c r="T33" s="5">
        <f t="shared" ca="1" si="11"/>
        <v>53.625070000000001</v>
      </c>
      <c r="U33" s="5">
        <f t="shared" ca="1" si="11"/>
        <v>53.474980000000002</v>
      </c>
      <c r="W33" s="5">
        <f t="shared" ca="1" si="12"/>
        <v>53.593067999999995</v>
      </c>
      <c r="Y33" s="5">
        <f ca="1">Total!E33</f>
        <v>53.115070000000003</v>
      </c>
      <c r="AB33" s="5">
        <f t="shared" ca="1" si="1"/>
        <v>8.2402225959600593E-3</v>
      </c>
      <c r="AC33" s="5">
        <f t="shared" ca="1" si="2"/>
        <v>8.2272319324815796E-3</v>
      </c>
      <c r="AD33" s="5">
        <f t="shared" ca="1" si="3"/>
        <v>6.7777374669749924E-3</v>
      </c>
      <c r="AE33" s="5">
        <f t="shared" ca="1" si="4"/>
        <v>1.0919688141237473E-2</v>
      </c>
      <c r="AF33" s="5">
        <f t="shared" ca="1" si="5"/>
        <v>1.7091382916373785E-2</v>
      </c>
      <c r="AG33" s="5">
        <f t="shared" ca="1" si="6"/>
        <v>7.6737167060120411E-3</v>
      </c>
      <c r="AH33" s="5">
        <f t="shared" ca="1" si="7"/>
        <v>5.6481145558124491E-3</v>
      </c>
      <c r="AI33" s="5">
        <f t="shared" ca="1" si="8"/>
        <v>9.0369832892999453E-3</v>
      </c>
      <c r="AJ33" s="5">
        <f t="shared" ca="1" si="9"/>
        <v>9.6017947448812178E-3</v>
      </c>
      <c r="AK33" s="5">
        <f t="shared" ca="1" si="10"/>
        <v>6.7760430326082458E-3</v>
      </c>
      <c r="AM33" s="5">
        <f t="shared" ca="1" si="13"/>
        <v>8.999291538164178E-2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1.2123600000000001</v>
      </c>
      <c r="F34" s="5">
        <v>33</v>
      </c>
      <c r="H34" s="5" t="s">
        <v>0</v>
      </c>
      <c r="I34" s="5">
        <v>50</v>
      </c>
      <c r="J34" s="5">
        <v>1</v>
      </c>
      <c r="L34" s="5">
        <f t="shared" ca="1" si="11"/>
        <v>53.302410000000002</v>
      </c>
      <c r="M34" s="5">
        <f t="shared" ca="1" si="11"/>
        <v>53.307569999999998</v>
      </c>
      <c r="N34" s="5">
        <f t="shared" ca="1" si="11"/>
        <v>53.265520000000002</v>
      </c>
      <c r="O34" s="5">
        <f t="shared" ca="1" si="11"/>
        <v>53.147489999999998</v>
      </c>
      <c r="P34" s="5">
        <f t="shared" ca="1" si="11"/>
        <v>53.2682</v>
      </c>
      <c r="Q34" s="5">
        <f t="shared" ca="1" si="11"/>
        <v>53.427489999999999</v>
      </c>
      <c r="R34" s="5">
        <f t="shared" ca="1" si="11"/>
        <v>53.228319999999997</v>
      </c>
      <c r="S34" s="5">
        <f t="shared" ca="1" si="11"/>
        <v>53.317489999999999</v>
      </c>
      <c r="T34" s="5">
        <f t="shared" ca="1" si="11"/>
        <v>53.082500000000003</v>
      </c>
      <c r="U34" s="5">
        <f t="shared" ca="1" si="11"/>
        <v>53.512709999999998</v>
      </c>
      <c r="W34" s="5">
        <f t="shared" ca="1" si="12"/>
        <v>53.285969999999999</v>
      </c>
      <c r="Y34" s="5">
        <f ca="1">Total!E34</f>
        <v>53.003740000000001</v>
      </c>
      <c r="AB34" s="5">
        <f t="shared" ca="1" si="1"/>
        <v>5.6348853873330693E-3</v>
      </c>
      <c r="AC34" s="5">
        <f t="shared" ca="1" si="2"/>
        <v>5.7322370081808911E-3</v>
      </c>
      <c r="AD34" s="5">
        <f t="shared" ca="1" si="3"/>
        <v>4.9388967646434318E-3</v>
      </c>
      <c r="AE34" s="5">
        <f t="shared" ca="1" si="4"/>
        <v>2.7120727707138619E-3</v>
      </c>
      <c r="AF34" s="5">
        <f t="shared" ca="1" si="5"/>
        <v>4.9894592343860964E-3</v>
      </c>
      <c r="AG34" s="5">
        <f t="shared" ca="1" si="6"/>
        <v>7.9947188632349016E-3</v>
      </c>
      <c r="AH34" s="5">
        <f t="shared" ca="1" si="7"/>
        <v>4.2370594980655329E-3</v>
      </c>
      <c r="AI34" s="5">
        <f t="shared" ca="1" si="8"/>
        <v>5.9193936126016554E-3</v>
      </c>
      <c r="AJ34" s="5">
        <f t="shared" ca="1" si="9"/>
        <v>1.4859328794534614E-3</v>
      </c>
      <c r="AK34" s="5">
        <f t="shared" ca="1" si="10"/>
        <v>9.602529934680042E-3</v>
      </c>
      <c r="AM34" s="5">
        <f t="shared" ca="1" si="13"/>
        <v>5.3247185953292947E-2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1.2161</v>
      </c>
      <c r="F35" s="5">
        <v>34</v>
      </c>
      <c r="H35" s="5" t="s">
        <v>0</v>
      </c>
      <c r="I35" s="5">
        <v>100</v>
      </c>
      <c r="J35" s="5">
        <v>0.4</v>
      </c>
      <c r="L35" s="5">
        <f t="shared" ca="1" si="11"/>
        <v>148.30533</v>
      </c>
      <c r="M35" s="5">
        <f t="shared" ca="1" si="11"/>
        <v>148.17283</v>
      </c>
      <c r="N35" s="5">
        <f t="shared" ca="1" si="11"/>
        <v>148.18895000000001</v>
      </c>
      <c r="O35" s="5">
        <f t="shared" ca="1" si="11"/>
        <v>148.18630999999999</v>
      </c>
      <c r="P35" s="5">
        <f t="shared" ca="1" si="11"/>
        <v>148.15366</v>
      </c>
      <c r="Q35" s="5">
        <f t="shared" ca="1" si="11"/>
        <v>148.19319999999999</v>
      </c>
      <c r="R35" s="5">
        <f t="shared" ca="1" si="11"/>
        <v>148.20320000000001</v>
      </c>
      <c r="S35" s="5">
        <f t="shared" ca="1" si="11"/>
        <v>148.21986999999999</v>
      </c>
      <c r="T35" s="5">
        <f t="shared" ca="1" si="11"/>
        <v>148.24617000000001</v>
      </c>
      <c r="U35" s="5">
        <f t="shared" ca="1" si="11"/>
        <v>148.2183</v>
      </c>
      <c r="W35" s="5">
        <f t="shared" ca="1" si="12"/>
        <v>148.20878199999999</v>
      </c>
      <c r="Y35" s="5">
        <f ca="1">Total!E35</f>
        <v>147.96312</v>
      </c>
      <c r="AB35" s="5">
        <f t="shared" ca="1" si="1"/>
        <v>2.3128060559955369E-3</v>
      </c>
      <c r="AC35" s="5">
        <f t="shared" ca="1" si="2"/>
        <v>1.4173126384466694E-3</v>
      </c>
      <c r="AD35" s="5">
        <f t="shared" ca="1" si="3"/>
        <v>1.52625870554772E-3</v>
      </c>
      <c r="AE35" s="5">
        <f t="shared" ca="1" si="4"/>
        <v>1.5084164216055205E-3</v>
      </c>
      <c r="AF35" s="5">
        <f t="shared" ca="1" si="5"/>
        <v>1.2877533266397641E-3</v>
      </c>
      <c r="AG35" s="5">
        <f t="shared" ca="1" si="6"/>
        <v>1.554982079318054E-3</v>
      </c>
      <c r="AH35" s="5">
        <f t="shared" ca="1" si="7"/>
        <v>1.6225664881898006E-3</v>
      </c>
      <c r="AI35" s="5">
        <f t="shared" ca="1" si="8"/>
        <v>1.7352296977786255E-3</v>
      </c>
      <c r="AJ35" s="5">
        <f t="shared" ca="1" si="9"/>
        <v>1.9129766931111139E-3</v>
      </c>
      <c r="AK35" s="5">
        <f t="shared" ca="1" si="10"/>
        <v>1.7246189455858714E-3</v>
      </c>
      <c r="AM35" s="5">
        <f t="shared" ca="1" si="13"/>
        <v>1.6602921052218677E-2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1.2060900000000001</v>
      </c>
      <c r="F36" s="5">
        <v>33</v>
      </c>
      <c r="H36" s="5" t="s">
        <v>0</v>
      </c>
      <c r="I36" s="5">
        <v>100</v>
      </c>
      <c r="J36" s="5">
        <v>0.7</v>
      </c>
      <c r="L36" s="5">
        <f t="shared" ca="1" si="11"/>
        <v>107.9958</v>
      </c>
      <c r="M36" s="5">
        <f t="shared" ca="1" si="11"/>
        <v>108.3501</v>
      </c>
      <c r="N36" s="5">
        <f t="shared" ca="1" si="11"/>
        <v>108.15009999999999</v>
      </c>
      <c r="O36" s="5">
        <f t="shared" ca="1" si="11"/>
        <v>108.12237</v>
      </c>
      <c r="P36" s="5">
        <f t="shared" ca="1" si="11"/>
        <v>108.68312</v>
      </c>
      <c r="Q36" s="5">
        <f t="shared" ca="1" si="11"/>
        <v>108.20126999999999</v>
      </c>
      <c r="R36" s="5">
        <f t="shared" ca="1" si="11"/>
        <v>107.99981</v>
      </c>
      <c r="S36" s="5">
        <f t="shared" ca="1" si="11"/>
        <v>108.20344</v>
      </c>
      <c r="T36" s="5">
        <f t="shared" ca="1" si="11"/>
        <v>108.20253</v>
      </c>
      <c r="U36" s="5">
        <f t="shared" ca="1" si="11"/>
        <v>108.10647</v>
      </c>
      <c r="W36" s="5">
        <f t="shared" ca="1" si="12"/>
        <v>108.20150100000001</v>
      </c>
      <c r="Y36" s="5">
        <f ca="1">Total!E36</f>
        <v>107.28163000000001</v>
      </c>
      <c r="AB36" s="5">
        <f t="shared" ca="1" si="1"/>
        <v>6.6569644775158216E-3</v>
      </c>
      <c r="AC36" s="5">
        <f t="shared" ca="1" si="2"/>
        <v>9.9594870063028553E-3</v>
      </c>
      <c r="AD36" s="5">
        <f t="shared" ca="1" si="3"/>
        <v>8.0952349437642575E-3</v>
      </c>
      <c r="AE36" s="5">
        <f t="shared" ca="1" si="4"/>
        <v>7.836756395293366E-3</v>
      </c>
      <c r="AF36" s="5">
        <f t="shared" ca="1" si="5"/>
        <v>1.3063653115635877E-2</v>
      </c>
      <c r="AG36" s="5">
        <f t="shared" ca="1" si="6"/>
        <v>8.5722038339647415E-3</v>
      </c>
      <c r="AH36" s="5">
        <f t="shared" ca="1" si="7"/>
        <v>6.6943427313696626E-3</v>
      </c>
      <c r="AI36" s="5">
        <f t="shared" ca="1" si="8"/>
        <v>8.5924309688433474E-3</v>
      </c>
      <c r="AJ36" s="5">
        <f t="shared" ca="1" si="9"/>
        <v>8.5839486219587546E-3</v>
      </c>
      <c r="AK36" s="5">
        <f t="shared" ca="1" si="10"/>
        <v>7.6885483563215312E-3</v>
      </c>
      <c r="AM36" s="5">
        <f t="shared" ca="1" si="13"/>
        <v>8.5743570450970225E-2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1.21374</v>
      </c>
      <c r="F37" s="5">
        <v>32</v>
      </c>
      <c r="H37" s="5" t="s">
        <v>0</v>
      </c>
      <c r="I37" s="5">
        <v>100</v>
      </c>
      <c r="J37" s="5">
        <v>1</v>
      </c>
      <c r="L37" s="5">
        <f t="shared" ca="1" si="11"/>
        <v>103.79329</v>
      </c>
      <c r="M37" s="5">
        <f t="shared" ca="1" si="11"/>
        <v>104.00247</v>
      </c>
      <c r="N37" s="5">
        <f t="shared" ca="1" si="11"/>
        <v>103.84753000000001</v>
      </c>
      <c r="O37" s="5">
        <f t="shared" ca="1" si="11"/>
        <v>104.01163</v>
      </c>
      <c r="P37" s="5">
        <f t="shared" ca="1" si="11"/>
        <v>103.971</v>
      </c>
      <c r="Q37" s="5">
        <f t="shared" ca="1" si="11"/>
        <v>103.8858</v>
      </c>
      <c r="R37" s="5">
        <f t="shared" ca="1" si="11"/>
        <v>103.94829</v>
      </c>
      <c r="S37" s="5">
        <f t="shared" ca="1" si="11"/>
        <v>103.93503</v>
      </c>
      <c r="T37" s="5">
        <f t="shared" ca="1" si="11"/>
        <v>103.91753</v>
      </c>
      <c r="U37" s="5">
        <f t="shared" ca="1" si="11"/>
        <v>103.99747000000001</v>
      </c>
      <c r="W37" s="5">
        <f t="shared" ca="1" si="12"/>
        <v>103.931004</v>
      </c>
      <c r="Y37" s="5">
        <f ca="1">Total!E37</f>
        <v>103.21266</v>
      </c>
      <c r="AB37" s="5">
        <f t="shared" ca="1" si="1"/>
        <v>5.6255695764453632E-3</v>
      </c>
      <c r="AC37" s="5">
        <f t="shared" ca="1" si="2"/>
        <v>7.6522589380024E-3</v>
      </c>
      <c r="AD37" s="5">
        <f t="shared" ca="1" si="3"/>
        <v>6.1510865043106775E-3</v>
      </c>
      <c r="AE37" s="5">
        <f t="shared" ca="1" si="4"/>
        <v>7.7410077407170505E-3</v>
      </c>
      <c r="AF37" s="5">
        <f t="shared" ca="1" si="5"/>
        <v>7.3473544815142256E-3</v>
      </c>
      <c r="AG37" s="5">
        <f t="shared" ca="1" si="6"/>
        <v>6.5218743514604081E-3</v>
      </c>
      <c r="AH37" s="5">
        <f t="shared" ca="1" si="7"/>
        <v>7.1273233341723821E-3</v>
      </c>
      <c r="AI37" s="5">
        <f t="shared" ca="1" si="8"/>
        <v>6.9988507223822929E-3</v>
      </c>
      <c r="AJ37" s="5">
        <f t="shared" ca="1" si="9"/>
        <v>6.8292978787679696E-3</v>
      </c>
      <c r="AK37" s="5">
        <f t="shared" ca="1" si="10"/>
        <v>7.6038152683983468E-3</v>
      </c>
      <c r="AM37" s="5">
        <f t="shared" ca="1" si="13"/>
        <v>6.9598438796171114E-2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1.22174</v>
      </c>
      <c r="F38" s="5">
        <v>35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1.2041999999999999</v>
      </c>
      <c r="F39" s="5">
        <v>32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1.2142500000000001</v>
      </c>
      <c r="F40" s="5">
        <v>34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2.9027699999999999</v>
      </c>
      <c r="F41" s="5">
        <v>98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2.90957</v>
      </c>
      <c r="F42" s="5">
        <v>102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2.8961800000000002</v>
      </c>
      <c r="F43" s="5">
        <v>100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2.8933800000000001</v>
      </c>
      <c r="F44" s="5">
        <v>100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2.9017400000000002</v>
      </c>
      <c r="F45" s="5">
        <v>102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2.9022899999999998</v>
      </c>
      <c r="F46" s="5">
        <v>100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2.90435</v>
      </c>
      <c r="F47" s="5">
        <v>100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2.8956200000000001</v>
      </c>
      <c r="F48" s="5">
        <v>102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2.90883</v>
      </c>
      <c r="F49" s="5">
        <v>102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2.9084599999999998</v>
      </c>
      <c r="F50" s="5">
        <v>100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182.34583000000001</v>
      </c>
      <c r="E51" s="5">
        <v>4.6039300000000001</v>
      </c>
      <c r="F51" s="5">
        <v>159</v>
      </c>
    </row>
    <row r="52" spans="1:6" x14ac:dyDescent="0.25">
      <c r="A52" s="5" t="s">
        <v>27</v>
      </c>
      <c r="B52" s="5">
        <v>50</v>
      </c>
      <c r="C52" s="5">
        <v>1</v>
      </c>
      <c r="D52" s="5">
        <v>180.05332999999999</v>
      </c>
      <c r="E52" s="5">
        <v>4.6110499999999996</v>
      </c>
      <c r="F52" s="5">
        <v>162</v>
      </c>
    </row>
    <row r="53" spans="1:6" x14ac:dyDescent="0.25">
      <c r="A53" s="5" t="s">
        <v>27</v>
      </c>
      <c r="B53" s="5">
        <v>50</v>
      </c>
      <c r="C53" s="5">
        <v>1</v>
      </c>
      <c r="D53" s="5">
        <v>180.38311999999999</v>
      </c>
      <c r="E53" s="5">
        <v>4.6040599999999996</v>
      </c>
      <c r="F53" s="5">
        <v>162</v>
      </c>
    </row>
    <row r="54" spans="1:6" x14ac:dyDescent="0.25">
      <c r="A54" s="5" t="s">
        <v>27</v>
      </c>
      <c r="B54" s="5">
        <v>50</v>
      </c>
      <c r="C54" s="5">
        <v>1</v>
      </c>
      <c r="D54" s="5">
        <v>180.34135000000001</v>
      </c>
      <c r="E54" s="5">
        <v>4.6016700000000004</v>
      </c>
      <c r="F54" s="5">
        <v>160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182.34583000000001</v>
      </c>
      <c r="E55" s="5">
        <v>4.6055900000000003</v>
      </c>
      <c r="F55" s="5">
        <v>162</v>
      </c>
    </row>
    <row r="56" spans="1:6" x14ac:dyDescent="0.25">
      <c r="A56" s="5" t="s">
        <v>27</v>
      </c>
      <c r="B56" s="5">
        <v>50</v>
      </c>
      <c r="C56" s="5">
        <v>1</v>
      </c>
      <c r="D56" s="5">
        <v>181.5967</v>
      </c>
      <c r="E56" s="5">
        <v>4.5980100000000004</v>
      </c>
      <c r="F56" s="5">
        <v>158</v>
      </c>
    </row>
    <row r="57" spans="1:6" x14ac:dyDescent="0.25">
      <c r="A57" s="5" t="s">
        <v>27</v>
      </c>
      <c r="B57" s="5">
        <v>50</v>
      </c>
      <c r="C57" s="5">
        <v>1</v>
      </c>
      <c r="D57" s="5">
        <v>180.87124</v>
      </c>
      <c r="E57" s="5">
        <v>4.5938100000000004</v>
      </c>
      <c r="F57" s="5">
        <v>159</v>
      </c>
    </row>
    <row r="58" spans="1:6" x14ac:dyDescent="0.25">
      <c r="A58" s="5" t="s">
        <v>27</v>
      </c>
      <c r="B58" s="5">
        <v>50</v>
      </c>
      <c r="C58" s="5">
        <v>1</v>
      </c>
      <c r="D58" s="5">
        <v>182.34583000000001</v>
      </c>
      <c r="E58" s="5">
        <v>4.6073899999999997</v>
      </c>
      <c r="F58" s="5">
        <v>159</v>
      </c>
    </row>
    <row r="59" spans="1:6" x14ac:dyDescent="0.25">
      <c r="A59" s="5" t="s">
        <v>27</v>
      </c>
      <c r="B59" s="5">
        <v>50</v>
      </c>
      <c r="C59" s="5">
        <v>1</v>
      </c>
      <c r="D59" s="5">
        <v>182.34583000000001</v>
      </c>
      <c r="E59" s="5">
        <v>4.60832</v>
      </c>
      <c r="F59" s="5">
        <v>160</v>
      </c>
    </row>
    <row r="60" spans="1:6" x14ac:dyDescent="0.25">
      <c r="A60" s="5" t="s">
        <v>27</v>
      </c>
      <c r="B60" s="5">
        <v>50</v>
      </c>
      <c r="C60" s="5">
        <v>1</v>
      </c>
      <c r="D60" s="5">
        <v>180.25479999999999</v>
      </c>
      <c r="E60" s="5">
        <v>4.6103100000000001</v>
      </c>
      <c r="F60" s="5">
        <v>161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5.6376499999999998</v>
      </c>
      <c r="F61" s="5">
        <v>54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5.6535599999999997</v>
      </c>
      <c r="F62" s="5">
        <v>54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5.6310799999999999</v>
      </c>
      <c r="F63" s="5">
        <v>54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5.6654400000000003</v>
      </c>
      <c r="F64" s="5">
        <v>54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5.6694100000000001</v>
      </c>
      <c r="F65" s="5">
        <v>54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5.6415699999999998</v>
      </c>
      <c r="F66" s="5">
        <v>54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5.65517</v>
      </c>
      <c r="F67" s="5">
        <v>54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5.6352099999999998</v>
      </c>
      <c r="F68" s="5">
        <v>54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5.6096599999999999</v>
      </c>
      <c r="F69" s="5">
        <v>54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5.64628</v>
      </c>
      <c r="F70" s="5">
        <v>54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259.09994</v>
      </c>
      <c r="E71" s="5">
        <v>11.72185</v>
      </c>
      <c r="F71" s="5">
        <v>107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255.90065000000001</v>
      </c>
      <c r="E72" s="5">
        <v>11.69903</v>
      </c>
      <c r="F72" s="5">
        <v>106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257.59397999999999</v>
      </c>
      <c r="E73" s="5">
        <v>11.702299999999999</v>
      </c>
      <c r="F73" s="5">
        <v>105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257.08053000000001</v>
      </c>
      <c r="E74" s="5">
        <v>11.653499999999999</v>
      </c>
      <c r="F74" s="5">
        <v>105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256.72122999999999</v>
      </c>
      <c r="E75" s="5">
        <v>11.714320000000001</v>
      </c>
      <c r="F75" s="5">
        <v>105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258.33197000000001</v>
      </c>
      <c r="E76" s="5">
        <v>11.67549</v>
      </c>
      <c r="F76" s="5">
        <v>106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255.49064999999999</v>
      </c>
      <c r="E77" s="5">
        <v>11.67887</v>
      </c>
      <c r="F77" s="5">
        <v>105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257.41257000000002</v>
      </c>
      <c r="E78" s="5">
        <v>11.697150000000001</v>
      </c>
      <c r="F78" s="5">
        <v>106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256.27350999999999</v>
      </c>
      <c r="E79" s="5">
        <v>11.663729999999999</v>
      </c>
      <c r="F79" s="5">
        <v>104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256.00184999999999</v>
      </c>
      <c r="E80" s="5">
        <v>11.67923</v>
      </c>
      <c r="F80" s="5">
        <v>105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240.39196999999999</v>
      </c>
      <c r="E81" s="5">
        <v>30.20872</v>
      </c>
      <c r="F81" s="5">
        <v>265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239.11667</v>
      </c>
      <c r="E82" s="5">
        <v>30.196280000000002</v>
      </c>
      <c r="F82" s="5">
        <v>264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238.95052999999999</v>
      </c>
      <c r="E83" s="5">
        <v>30.17624</v>
      </c>
      <c r="F83" s="5">
        <v>265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239.68872999999999</v>
      </c>
      <c r="E84" s="5">
        <v>30.148479999999999</v>
      </c>
      <c r="F84" s="5">
        <v>263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239.02968999999999</v>
      </c>
      <c r="E85" s="5">
        <v>30.171209999999999</v>
      </c>
      <c r="F85" s="5">
        <v>265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239.33332999999999</v>
      </c>
      <c r="E86" s="5">
        <v>30.132249999999999</v>
      </c>
      <c r="F86" s="5">
        <v>264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240.3734</v>
      </c>
      <c r="E87" s="5">
        <v>30.132429999999999</v>
      </c>
      <c r="F87" s="5">
        <v>263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239.76333</v>
      </c>
      <c r="E88" s="5">
        <v>30.155090000000001</v>
      </c>
      <c r="F88" s="5">
        <v>265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239.47333</v>
      </c>
      <c r="E89" s="5">
        <v>30.126149999999999</v>
      </c>
      <c r="F89" s="5">
        <v>266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239.81333000000001</v>
      </c>
      <c r="E90" s="5">
        <v>30.169119999999999</v>
      </c>
      <c r="F90" s="5">
        <v>262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0.58330000000000004</v>
      </c>
      <c r="F91" s="5">
        <v>75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0.58567999999999998</v>
      </c>
      <c r="F92" s="5">
        <v>69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0.58233999999999997</v>
      </c>
      <c r="F93" s="5">
        <v>76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0.58535000000000004</v>
      </c>
      <c r="F94" s="5">
        <v>77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0.58423999999999998</v>
      </c>
      <c r="F95" s="5">
        <v>77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0.58355999999999997</v>
      </c>
      <c r="F96" s="5">
        <v>69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0.58135999999999999</v>
      </c>
      <c r="F97" s="5">
        <v>75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0.58582999999999996</v>
      </c>
      <c r="F98" s="5">
        <v>77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0.58448</v>
      </c>
      <c r="F99" s="5">
        <v>75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0.58569000000000004</v>
      </c>
      <c r="F100" s="5">
        <v>76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0.73463999999999996</v>
      </c>
      <c r="F101" s="5">
        <v>91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0.73516999999999999</v>
      </c>
      <c r="F102" s="5">
        <v>88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0.73601000000000005</v>
      </c>
      <c r="F103" s="5">
        <v>98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0.73821999999999999</v>
      </c>
      <c r="F104" s="5">
        <v>98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0.73453000000000002</v>
      </c>
      <c r="F105" s="5">
        <v>98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0.73562000000000005</v>
      </c>
      <c r="F106" s="5">
        <v>98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0.73536000000000001</v>
      </c>
      <c r="F107" s="5">
        <v>98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0.73765999999999998</v>
      </c>
      <c r="F108" s="5">
        <v>89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0.73672000000000004</v>
      </c>
      <c r="F109" s="5">
        <v>96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0.73492000000000002</v>
      </c>
      <c r="F110" s="5">
        <v>95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1.2792399999999999</v>
      </c>
      <c r="F111" s="5">
        <v>163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1.2756700000000001</v>
      </c>
      <c r="F112" s="5">
        <v>169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1.28024</v>
      </c>
      <c r="F113" s="5">
        <v>158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1.27969</v>
      </c>
      <c r="F114" s="5">
        <v>165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1.2763800000000001</v>
      </c>
      <c r="F115" s="5">
        <v>165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1.27521</v>
      </c>
      <c r="F116" s="5">
        <v>165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1.2777700000000001</v>
      </c>
      <c r="F117" s="5">
        <v>155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1.27803</v>
      </c>
      <c r="F118" s="5">
        <v>167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1.2801100000000001</v>
      </c>
      <c r="F119" s="5">
        <v>163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1.2795000000000001</v>
      </c>
      <c r="F120" s="5">
        <v>151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4350.8413700000001</v>
      </c>
      <c r="E121" s="5">
        <v>2.0040499999999999</v>
      </c>
      <c r="F121" s="5">
        <v>89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4348.0289499999999</v>
      </c>
      <c r="E122" s="5">
        <v>2.0098600000000002</v>
      </c>
      <c r="F122" s="5">
        <v>87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4348.0289499999999</v>
      </c>
      <c r="E123" s="5">
        <v>1.99579</v>
      </c>
      <c r="F123" s="5">
        <v>87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4348.0289499999999</v>
      </c>
      <c r="E124" s="5">
        <v>1.9967299999999999</v>
      </c>
      <c r="F124" s="5">
        <v>84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4348.0289499999999</v>
      </c>
      <c r="E125" s="5">
        <v>2.0013999999999998</v>
      </c>
      <c r="F125" s="5">
        <v>88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4348.0289499999999</v>
      </c>
      <c r="E126" s="5">
        <v>2.0036200000000002</v>
      </c>
      <c r="F126" s="5">
        <v>85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4350.8413700000001</v>
      </c>
      <c r="E127" s="5">
        <v>2.00061</v>
      </c>
      <c r="F127" s="5">
        <v>89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1.99142</v>
      </c>
      <c r="F128" s="5">
        <v>85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1.9972099999999999</v>
      </c>
      <c r="F129" s="5">
        <v>88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4348.0289499999999</v>
      </c>
      <c r="E130" s="5">
        <v>2.0078200000000002</v>
      </c>
      <c r="F130" s="5">
        <v>85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2.8698000000000001</v>
      </c>
      <c r="F131" s="5">
        <v>118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2.8656999999999999</v>
      </c>
      <c r="F132" s="5">
        <v>124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2.8692700000000002</v>
      </c>
      <c r="F133" s="5">
        <v>119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2.8649800000000001</v>
      </c>
      <c r="F134" s="5">
        <v>118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2.86206</v>
      </c>
      <c r="F135" s="5">
        <v>122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2.8626399999999999</v>
      </c>
      <c r="F136" s="5">
        <v>120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2.8790900000000001</v>
      </c>
      <c r="F137" s="5">
        <v>120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2.8681100000000002</v>
      </c>
      <c r="F138" s="5">
        <v>122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2.8721700000000001</v>
      </c>
      <c r="F139" s="5">
        <v>119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2.8712200000000001</v>
      </c>
      <c r="F140" s="5">
        <v>119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3.5259999999999998</v>
      </c>
      <c r="F141" s="5">
        <v>148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3.5193500000000002</v>
      </c>
      <c r="F142" s="5">
        <v>146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3.5127100000000002</v>
      </c>
      <c r="F143" s="5">
        <v>148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3.5242399999999998</v>
      </c>
      <c r="F144" s="5">
        <v>151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3.5143300000000002</v>
      </c>
      <c r="F145" s="5">
        <v>149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3.5120100000000001</v>
      </c>
      <c r="F146" s="5">
        <v>147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3.5254400000000001</v>
      </c>
      <c r="F147" s="5">
        <v>148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3.5164499999999999</v>
      </c>
      <c r="F148" s="5">
        <v>146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3.51308</v>
      </c>
      <c r="F149" s="5">
        <v>148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3.51966</v>
      </c>
      <c r="F150" s="5">
        <v>151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42986.673049999998</v>
      </c>
      <c r="E151" s="5">
        <v>4.8863899999999996</v>
      </c>
      <c r="F151" s="5">
        <v>50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42986.45392</v>
      </c>
      <c r="E152" s="5">
        <v>4.8919699999999997</v>
      </c>
      <c r="F152" s="5">
        <v>50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42988.316359999997</v>
      </c>
      <c r="E153" s="5">
        <v>4.8874199999999997</v>
      </c>
      <c r="F153" s="5">
        <v>50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42986.836920000002</v>
      </c>
      <c r="E154" s="5">
        <v>4.9546900000000003</v>
      </c>
      <c r="F154" s="5">
        <v>51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42986.57692</v>
      </c>
      <c r="E155" s="5">
        <v>4.9591599999999998</v>
      </c>
      <c r="F155" s="5">
        <v>51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42986.836920000002</v>
      </c>
      <c r="E156" s="5">
        <v>4.8866399999999999</v>
      </c>
      <c r="F156" s="5">
        <v>50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42986.45392</v>
      </c>
      <c r="E157" s="5">
        <v>4.9281800000000002</v>
      </c>
      <c r="F157" s="5">
        <v>50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42986.403050000001</v>
      </c>
      <c r="E158" s="5">
        <v>4.88985</v>
      </c>
      <c r="F158" s="5">
        <v>50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42986.853589999999</v>
      </c>
      <c r="E159" s="5">
        <v>4.9221399999999997</v>
      </c>
      <c r="F159" s="5">
        <v>51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42986.673049999998</v>
      </c>
      <c r="E160" s="5">
        <v>4.9630599999999996</v>
      </c>
      <c r="F160" s="5">
        <v>51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35655.497960000001</v>
      </c>
      <c r="E161" s="5">
        <v>12.70285</v>
      </c>
      <c r="F161" s="5">
        <v>123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35402.063159999998</v>
      </c>
      <c r="E162" s="5">
        <v>12.73274</v>
      </c>
      <c r="F162" s="5">
        <v>123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35429.021249999998</v>
      </c>
      <c r="E163" s="5">
        <v>12.756360000000001</v>
      </c>
      <c r="F163" s="5">
        <v>125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35661.464390000001</v>
      </c>
      <c r="E164" s="5">
        <v>12.70482</v>
      </c>
      <c r="F164" s="5">
        <v>123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35749.236859999997</v>
      </c>
      <c r="E165" s="5">
        <v>12.70689</v>
      </c>
      <c r="F165" s="5">
        <v>123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35454.67914</v>
      </c>
      <c r="E166" s="5">
        <v>12.72104</v>
      </c>
      <c r="F166" s="5">
        <v>123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35638.335650000001</v>
      </c>
      <c r="E167" s="5">
        <v>12.6974</v>
      </c>
      <c r="F167" s="5">
        <v>123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35648.057439999997</v>
      </c>
      <c r="E168" s="5">
        <v>12.71576</v>
      </c>
      <c r="F168" s="5">
        <v>123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35659.206380000003</v>
      </c>
      <c r="E169" s="5">
        <v>12.706329999999999</v>
      </c>
      <c r="F169" s="5">
        <v>123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35497.097479999997</v>
      </c>
      <c r="E170" s="5">
        <v>12.71383</v>
      </c>
      <c r="F170" s="5">
        <v>123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35412.313970000003</v>
      </c>
      <c r="E171" s="5">
        <v>28.559049999999999</v>
      </c>
      <c r="F171" s="5">
        <v>282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35370.39357</v>
      </c>
      <c r="E172" s="5">
        <v>28.536149999999999</v>
      </c>
      <c r="F172" s="5">
        <v>274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35349.095560000002</v>
      </c>
      <c r="E173" s="5">
        <v>28.55565</v>
      </c>
      <c r="F173" s="5">
        <v>281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35301.749309999999</v>
      </c>
      <c r="E174" s="5">
        <v>28.555119999999999</v>
      </c>
      <c r="F174" s="5">
        <v>280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35494.39</v>
      </c>
      <c r="E175" s="5">
        <v>28.529699999999998</v>
      </c>
      <c r="F175" s="5">
        <v>276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35250.19</v>
      </c>
      <c r="E176" s="5">
        <v>28.490169999999999</v>
      </c>
      <c r="F176" s="5">
        <v>281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35250.823320000003</v>
      </c>
      <c r="E177" s="5">
        <v>28.513570000000001</v>
      </c>
      <c r="F177" s="5">
        <v>281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35332.620000000003</v>
      </c>
      <c r="E178" s="5">
        <v>28.51136</v>
      </c>
      <c r="F178" s="5">
        <v>275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35242.936130000002</v>
      </c>
      <c r="E179" s="5">
        <v>28.49991</v>
      </c>
      <c r="F179" s="5">
        <v>277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35369.30431</v>
      </c>
      <c r="E180" s="5">
        <v>28.551870000000001</v>
      </c>
      <c r="F180" s="5">
        <v>278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0.73480999999999996</v>
      </c>
      <c r="F181" s="5">
        <v>57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0.73750000000000004</v>
      </c>
      <c r="F182" s="5">
        <v>69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0.73702999999999996</v>
      </c>
      <c r="F183" s="5">
        <v>69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0.73448000000000002</v>
      </c>
      <c r="F184" s="5">
        <v>68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0.73401000000000005</v>
      </c>
      <c r="F185" s="5">
        <v>69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0.73599999999999999</v>
      </c>
      <c r="F186" s="5">
        <v>70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0.73143999999999998</v>
      </c>
      <c r="F187" s="5">
        <v>60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0.73667000000000005</v>
      </c>
      <c r="F188" s="5">
        <v>70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0.73372000000000004</v>
      </c>
      <c r="F189" s="5">
        <v>69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0.73055000000000003</v>
      </c>
      <c r="F190" s="5">
        <v>68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675.36989000000005</v>
      </c>
      <c r="E191" s="5">
        <v>1.1351500000000001</v>
      </c>
      <c r="F191" s="5">
        <v>103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675.36989000000005</v>
      </c>
      <c r="E192" s="5">
        <v>1.1387400000000001</v>
      </c>
      <c r="F192" s="5">
        <v>107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675.36581000000001</v>
      </c>
      <c r="E193" s="5">
        <v>1.13696</v>
      </c>
      <c r="F193" s="5">
        <v>96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675.36989000000005</v>
      </c>
      <c r="E194" s="5">
        <v>1.13547</v>
      </c>
      <c r="F194" s="5">
        <v>108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675.36989000000005</v>
      </c>
      <c r="E195" s="5">
        <v>1.1362000000000001</v>
      </c>
      <c r="F195" s="5">
        <v>108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675.36989000000005</v>
      </c>
      <c r="E196" s="5">
        <v>1.1367400000000001</v>
      </c>
      <c r="F196" s="5">
        <v>105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675.36989000000005</v>
      </c>
      <c r="E197" s="5">
        <v>1.1410199999999999</v>
      </c>
      <c r="F197" s="5">
        <v>102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675.36989000000005</v>
      </c>
      <c r="E198" s="5">
        <v>1.1354599999999999</v>
      </c>
      <c r="F198" s="5">
        <v>107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675.36989000000005</v>
      </c>
      <c r="E199" s="5">
        <v>1.13567</v>
      </c>
      <c r="F199" s="5">
        <v>106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675.36581000000001</v>
      </c>
      <c r="E200" s="5">
        <v>1.13757</v>
      </c>
      <c r="F200" s="5">
        <v>101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655.43907999999999</v>
      </c>
      <c r="E201" s="5">
        <v>2.07206</v>
      </c>
      <c r="F201" s="5">
        <v>192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655.46475999999996</v>
      </c>
      <c r="E202" s="5">
        <v>2.0717599999999998</v>
      </c>
      <c r="F202" s="5">
        <v>189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655.43295999999998</v>
      </c>
      <c r="E203" s="5">
        <v>2.0672000000000001</v>
      </c>
      <c r="F203" s="5">
        <v>192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656.98898999999994</v>
      </c>
      <c r="E204" s="5">
        <v>2.0700500000000002</v>
      </c>
      <c r="F204" s="5">
        <v>188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657.95457999999996</v>
      </c>
      <c r="E205" s="5">
        <v>2.0701000000000001</v>
      </c>
      <c r="F205" s="5">
        <v>195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658.36622</v>
      </c>
      <c r="E206" s="5">
        <v>2.0738699999999999</v>
      </c>
      <c r="F206" s="5">
        <v>188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657.32380999999998</v>
      </c>
      <c r="E207" s="5">
        <v>2.06948</v>
      </c>
      <c r="F207" s="5">
        <v>195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656.34204</v>
      </c>
      <c r="E208" s="5">
        <v>2.0679699999999999</v>
      </c>
      <c r="F208" s="5">
        <v>183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655.43295999999998</v>
      </c>
      <c r="E209" s="5">
        <v>2.0697999999999999</v>
      </c>
      <c r="F209" s="5">
        <v>191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657.35562000000004</v>
      </c>
      <c r="E210" s="5">
        <v>2.0676600000000001</v>
      </c>
      <c r="F210" s="5">
        <v>184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1459.9687899999999</v>
      </c>
      <c r="E211" s="5">
        <v>1.5994999999999999</v>
      </c>
      <c r="F211" s="5">
        <v>62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1459.9687899999999</v>
      </c>
      <c r="E212" s="5">
        <v>1.6058600000000001</v>
      </c>
      <c r="F212" s="5">
        <v>67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1459.9687899999999</v>
      </c>
      <c r="E213" s="5">
        <v>1.5901099999999999</v>
      </c>
      <c r="F213" s="5">
        <v>67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1460.0209400000001</v>
      </c>
      <c r="E214" s="5">
        <v>1.5948199999999999</v>
      </c>
      <c r="F214" s="5">
        <v>65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1459.9687899999999</v>
      </c>
      <c r="E215" s="5">
        <v>1.5918300000000001</v>
      </c>
      <c r="F215" s="5">
        <v>65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1459.9687899999999</v>
      </c>
      <c r="E216" s="5">
        <v>1.5922000000000001</v>
      </c>
      <c r="F216" s="5">
        <v>67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1459.9687899999999</v>
      </c>
      <c r="E217" s="5">
        <v>1.6057999999999999</v>
      </c>
      <c r="F217" s="5">
        <v>66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1460.91824</v>
      </c>
      <c r="E218" s="5">
        <v>1.5878099999999999</v>
      </c>
      <c r="F218" s="5">
        <v>67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1459.9687899999999</v>
      </c>
      <c r="E219" s="5">
        <v>1.60276</v>
      </c>
      <c r="F219" s="5">
        <v>64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1459.9687899999999</v>
      </c>
      <c r="E220" s="5">
        <v>1.60198</v>
      </c>
      <c r="F220" s="5">
        <v>68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1007.37746</v>
      </c>
      <c r="E221" s="5">
        <v>4.5473299999999997</v>
      </c>
      <c r="F221" s="5">
        <v>186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1027.54721</v>
      </c>
      <c r="E222" s="5">
        <v>4.5424800000000003</v>
      </c>
      <c r="F222" s="5">
        <v>186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1012.25126</v>
      </c>
      <c r="E223" s="5">
        <v>4.5510999999999999</v>
      </c>
      <c r="F223" s="5">
        <v>187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1018.61893</v>
      </c>
      <c r="E224" s="5">
        <v>4.5526799999999996</v>
      </c>
      <c r="F224" s="5">
        <v>188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1010.53327</v>
      </c>
      <c r="E225" s="5">
        <v>4.5462800000000003</v>
      </c>
      <c r="F225" s="5">
        <v>187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1012.64239</v>
      </c>
      <c r="E226" s="5">
        <v>4.5550499999999996</v>
      </c>
      <c r="F226" s="5">
        <v>188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1010.79041</v>
      </c>
      <c r="E227" s="5">
        <v>4.5462800000000003</v>
      </c>
      <c r="F227" s="5">
        <v>186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1030.5448699999999</v>
      </c>
      <c r="E228" s="5">
        <v>4.5552999999999999</v>
      </c>
      <c r="F228" s="5">
        <v>187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1008.36589</v>
      </c>
      <c r="E229" s="5">
        <v>4.5458400000000001</v>
      </c>
      <c r="F229" s="5">
        <v>186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1009.43476</v>
      </c>
      <c r="E230" s="5">
        <v>4.5599299999999996</v>
      </c>
      <c r="F230" s="5">
        <v>187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1001.08</v>
      </c>
      <c r="E231" s="5">
        <v>8.4033899999999999</v>
      </c>
      <c r="F231" s="5">
        <v>342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997.68631000000005</v>
      </c>
      <c r="E232" s="5">
        <v>8.3888099999999994</v>
      </c>
      <c r="F232" s="5">
        <v>337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991.79796999999996</v>
      </c>
      <c r="E233" s="5">
        <v>8.3883200000000002</v>
      </c>
      <c r="F233" s="5">
        <v>333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995.57631000000003</v>
      </c>
      <c r="E234" s="5">
        <v>8.3976299999999995</v>
      </c>
      <c r="F234" s="5">
        <v>337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996.51544000000001</v>
      </c>
      <c r="E235" s="5">
        <v>8.3988399999999999</v>
      </c>
      <c r="F235" s="5">
        <v>334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994.40544</v>
      </c>
      <c r="E236" s="5">
        <v>8.3904599999999991</v>
      </c>
      <c r="F236" s="5">
        <v>334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995.65152999999998</v>
      </c>
      <c r="E237" s="5">
        <v>8.3864999999999998</v>
      </c>
      <c r="F237" s="5">
        <v>337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994.64130999999998</v>
      </c>
      <c r="E238" s="5">
        <v>8.38551</v>
      </c>
      <c r="F238" s="5">
        <v>332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1002.90153</v>
      </c>
      <c r="E239" s="5">
        <v>8.3860299999999999</v>
      </c>
      <c r="F239" s="5">
        <v>334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997.68631000000005</v>
      </c>
      <c r="E240" s="5">
        <v>8.3861399999999993</v>
      </c>
      <c r="F240" s="5">
        <v>334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1841.0797500000001</v>
      </c>
      <c r="E241" s="5">
        <v>5.0965100000000003</v>
      </c>
      <c r="F241" s="5">
        <v>58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1850.3981200000001</v>
      </c>
      <c r="E242" s="5">
        <v>5.0415000000000001</v>
      </c>
      <c r="F242" s="5">
        <v>58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1852.9990700000001</v>
      </c>
      <c r="E243" s="5">
        <v>5.1039199999999996</v>
      </c>
      <c r="F243" s="5">
        <v>59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1865.1769099999999</v>
      </c>
      <c r="E244" s="5">
        <v>5.0515400000000001</v>
      </c>
      <c r="F244" s="5">
        <v>58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1829.0567799999999</v>
      </c>
      <c r="E245" s="5">
        <v>5.0478100000000001</v>
      </c>
      <c r="F245" s="5">
        <v>58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1830.9726599999999</v>
      </c>
      <c r="E246" s="5">
        <v>5.0427099999999996</v>
      </c>
      <c r="F246" s="5">
        <v>58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1817.31333</v>
      </c>
      <c r="E247" s="5">
        <v>5.0994900000000003</v>
      </c>
      <c r="F247" s="5">
        <v>59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1813.3284699999999</v>
      </c>
      <c r="E248" s="5">
        <v>5.0387599999999999</v>
      </c>
      <c r="F248" s="5">
        <v>58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1839.6269299999999</v>
      </c>
      <c r="E249" s="5">
        <v>5.0640599999999996</v>
      </c>
      <c r="F249" s="5">
        <v>58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1854.39384</v>
      </c>
      <c r="E250" s="5">
        <v>5.0866600000000002</v>
      </c>
      <c r="F250" s="5">
        <v>58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1790.36652</v>
      </c>
      <c r="E251" s="5">
        <v>9.4017800000000005</v>
      </c>
      <c r="F251" s="5">
        <v>103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1789.0725299999999</v>
      </c>
      <c r="E252" s="5">
        <v>9.3702699999999997</v>
      </c>
      <c r="F252" s="5">
        <v>103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1774.54459</v>
      </c>
      <c r="E253" s="5">
        <v>9.3936299999999999</v>
      </c>
      <c r="F253" s="5">
        <v>103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1783.02279</v>
      </c>
      <c r="E254" s="5">
        <v>9.4122000000000003</v>
      </c>
      <c r="F254" s="5">
        <v>104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1778.12862</v>
      </c>
      <c r="E255" s="5">
        <v>9.3795500000000001</v>
      </c>
      <c r="F255" s="5">
        <v>103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1785.3150800000001</v>
      </c>
      <c r="E256" s="5">
        <v>9.4003599999999992</v>
      </c>
      <c r="F256" s="5">
        <v>103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1778.33</v>
      </c>
      <c r="E257" s="5">
        <v>9.4181000000000008</v>
      </c>
      <c r="F257" s="5">
        <v>104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1779.50667</v>
      </c>
      <c r="E258" s="5">
        <v>9.4006399999999992</v>
      </c>
      <c r="F258" s="5">
        <v>103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1782.6366599999999</v>
      </c>
      <c r="E259" s="5">
        <v>9.4708000000000006</v>
      </c>
      <c r="F259" s="5">
        <v>104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1788.6860300000001</v>
      </c>
      <c r="E260" s="5">
        <v>9.3898899999999994</v>
      </c>
      <c r="F260" s="5">
        <v>103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1759.5652</v>
      </c>
      <c r="E261" s="5">
        <v>15.35445</v>
      </c>
      <c r="F261" s="5">
        <v>164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1756.1358399999999</v>
      </c>
      <c r="E262" s="5">
        <v>15.42482</v>
      </c>
      <c r="F262" s="5">
        <v>167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1757.1433300000001</v>
      </c>
      <c r="E263" s="5">
        <v>15.37304</v>
      </c>
      <c r="F263" s="5">
        <v>167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1757.21667</v>
      </c>
      <c r="E264" s="5">
        <v>15.34431</v>
      </c>
      <c r="F264" s="5">
        <v>165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1755.6048499999999</v>
      </c>
      <c r="E265" s="5">
        <v>15.405049999999999</v>
      </c>
      <c r="F265" s="5">
        <v>167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1757.1952000000001</v>
      </c>
      <c r="E266" s="5">
        <v>15.36436</v>
      </c>
      <c r="F266" s="5">
        <v>165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1757</v>
      </c>
      <c r="E267" s="5">
        <v>15.387320000000001</v>
      </c>
      <c r="F267" s="5">
        <v>166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1754.4433300000001</v>
      </c>
      <c r="E268" s="5">
        <v>15.36506</v>
      </c>
      <c r="F268" s="5">
        <v>167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1757.76667</v>
      </c>
      <c r="E269" s="5">
        <v>15.34305</v>
      </c>
      <c r="F269" s="5">
        <v>164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1756.19</v>
      </c>
      <c r="E270" s="5">
        <v>15.365119999999999</v>
      </c>
      <c r="F270" s="5">
        <v>166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42.424349999999997</v>
      </c>
      <c r="E271" s="5">
        <v>0.58723999999999998</v>
      </c>
      <c r="F271" s="5">
        <v>62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42.424349999999997</v>
      </c>
      <c r="E272" s="5">
        <v>0.58765999999999996</v>
      </c>
      <c r="F272" s="5">
        <v>49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41.318849999999998</v>
      </c>
      <c r="E273" s="5">
        <v>0.58548</v>
      </c>
      <c r="F273" s="5">
        <v>64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41.318849999999998</v>
      </c>
      <c r="E274" s="5">
        <v>0.58503000000000005</v>
      </c>
      <c r="F274" s="5">
        <v>62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41.318849999999998</v>
      </c>
      <c r="E275" s="5">
        <v>0.58792999999999995</v>
      </c>
      <c r="F275" s="5">
        <v>64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42.424349999999997</v>
      </c>
      <c r="E276" s="5">
        <v>0.58589000000000002</v>
      </c>
      <c r="F276" s="5">
        <v>63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41.318849999999998</v>
      </c>
      <c r="E277" s="5">
        <v>0.58711999999999998</v>
      </c>
      <c r="F277" s="5">
        <v>63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42.424349999999997</v>
      </c>
      <c r="E278" s="5">
        <v>0.59138000000000002</v>
      </c>
      <c r="F278" s="5">
        <v>64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41.318849999999998</v>
      </c>
      <c r="E279" s="5">
        <v>0.59011999999999998</v>
      </c>
      <c r="F279" s="5">
        <v>56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42.003050000000002</v>
      </c>
      <c r="E280" s="5">
        <v>0.58586000000000005</v>
      </c>
      <c r="F280" s="5">
        <v>62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0.87553000000000003</v>
      </c>
      <c r="F281" s="5">
        <v>98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0.87755000000000005</v>
      </c>
      <c r="F282" s="5">
        <v>100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28.65436</v>
      </c>
      <c r="E283" s="5">
        <v>0.87690999999999997</v>
      </c>
      <c r="F283" s="5">
        <v>88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0.87722</v>
      </c>
      <c r="F284" s="5">
        <v>104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0.87673999999999996</v>
      </c>
      <c r="F285" s="5">
        <v>103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28.65436</v>
      </c>
      <c r="E286" s="5">
        <v>0.87612999999999996</v>
      </c>
      <c r="F286" s="5">
        <v>105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28.65436</v>
      </c>
      <c r="E287" s="5">
        <v>0.87953000000000003</v>
      </c>
      <c r="F287" s="5">
        <v>105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0.87417</v>
      </c>
      <c r="F288" s="5">
        <v>95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28.65436</v>
      </c>
      <c r="E289" s="5">
        <v>0.87588999999999995</v>
      </c>
      <c r="F289" s="5">
        <v>104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0.87477000000000005</v>
      </c>
      <c r="F290" s="5">
        <v>104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28.546240000000001</v>
      </c>
      <c r="E291" s="5">
        <v>1.13226</v>
      </c>
      <c r="F291" s="5">
        <v>127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28.594360000000002</v>
      </c>
      <c r="E292" s="5">
        <v>1.13548</v>
      </c>
      <c r="F292" s="5">
        <v>129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28.592030000000001</v>
      </c>
      <c r="E293" s="5">
        <v>1.1369199999999999</v>
      </c>
      <c r="F293" s="5">
        <v>131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28.592030000000001</v>
      </c>
      <c r="E294" s="5">
        <v>1.1337600000000001</v>
      </c>
      <c r="F294" s="5">
        <v>119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28.592030000000001</v>
      </c>
      <c r="E295" s="5">
        <v>1.1334299999999999</v>
      </c>
      <c r="F295" s="5">
        <v>129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28.546240000000001</v>
      </c>
      <c r="E296" s="5">
        <v>1.13141</v>
      </c>
      <c r="F296" s="5">
        <v>128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28.546240000000001</v>
      </c>
      <c r="E297" s="5">
        <v>1.13195</v>
      </c>
      <c r="F297" s="5">
        <v>128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28.602029999999999</v>
      </c>
      <c r="E298" s="5">
        <v>1.1355500000000001</v>
      </c>
      <c r="F298" s="5">
        <v>123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28.546240000000001</v>
      </c>
      <c r="E299" s="5">
        <v>1.1311899999999999</v>
      </c>
      <c r="F299" s="5">
        <v>125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28.587009999999999</v>
      </c>
      <c r="E300" s="5">
        <v>1.1370800000000001</v>
      </c>
      <c r="F300" s="5">
        <v>126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56.901339999999998</v>
      </c>
      <c r="E301" s="5">
        <v>1.9240699999999999</v>
      </c>
      <c r="F301" s="5">
        <v>76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59.079509999999999</v>
      </c>
      <c r="E302" s="5">
        <v>1.93072</v>
      </c>
      <c r="F302" s="5">
        <v>75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58.107349999999997</v>
      </c>
      <c r="E303" s="5">
        <v>1.92597</v>
      </c>
      <c r="F303" s="5">
        <v>77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59.004350000000002</v>
      </c>
      <c r="E304" s="5">
        <v>1.9440599999999999</v>
      </c>
      <c r="F304" s="5">
        <v>76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59.087679999999999</v>
      </c>
      <c r="E305" s="5">
        <v>1.9389400000000001</v>
      </c>
      <c r="F305" s="5">
        <v>78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58.922330000000002</v>
      </c>
      <c r="E306" s="5">
        <v>1.92127</v>
      </c>
      <c r="F306" s="5">
        <v>77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59.049509999999998</v>
      </c>
      <c r="E307" s="5">
        <v>1.93604</v>
      </c>
      <c r="F307" s="5">
        <v>75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58.993220000000001</v>
      </c>
      <c r="E308" s="5">
        <v>1.92913</v>
      </c>
      <c r="F308" s="5">
        <v>77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56.901339999999998</v>
      </c>
      <c r="E309" s="5">
        <v>1.92763</v>
      </c>
      <c r="F309" s="5">
        <v>75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59.089509999999997</v>
      </c>
      <c r="E310" s="5">
        <v>1.9369400000000001</v>
      </c>
      <c r="F310" s="5">
        <v>78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53.552750000000003</v>
      </c>
      <c r="E311" s="5">
        <v>3.7661099999999998</v>
      </c>
      <c r="F311" s="5">
        <v>144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53.552059999999997</v>
      </c>
      <c r="E312" s="5">
        <v>3.7639800000000001</v>
      </c>
      <c r="F312" s="5">
        <v>145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53.475070000000002</v>
      </c>
      <c r="E313" s="5">
        <v>3.7524600000000001</v>
      </c>
      <c r="F313" s="5">
        <v>145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53.695070000000001</v>
      </c>
      <c r="E314" s="5">
        <v>3.7572700000000001</v>
      </c>
      <c r="F314" s="5">
        <v>144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54.022880000000001</v>
      </c>
      <c r="E315" s="5">
        <v>3.7698499999999999</v>
      </c>
      <c r="F315" s="5">
        <v>145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53.522660000000002</v>
      </c>
      <c r="E316" s="5">
        <v>3.76172</v>
      </c>
      <c r="F316" s="5">
        <v>144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53.41507</v>
      </c>
      <c r="E317" s="5">
        <v>3.7665299999999999</v>
      </c>
      <c r="F317" s="5">
        <v>150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53.59507</v>
      </c>
      <c r="E318" s="5">
        <v>3.75725</v>
      </c>
      <c r="F318" s="5">
        <v>146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53.625070000000001</v>
      </c>
      <c r="E319" s="5">
        <v>3.7673999999999999</v>
      </c>
      <c r="F319" s="5">
        <v>147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53.474980000000002</v>
      </c>
      <c r="E320" s="5">
        <v>3.7523</v>
      </c>
      <c r="F320" s="5">
        <v>147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53.302410000000002</v>
      </c>
      <c r="E321" s="5">
        <v>6.0902700000000003</v>
      </c>
      <c r="F321" s="5">
        <v>221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53.307569999999998</v>
      </c>
      <c r="E322" s="5">
        <v>6.09375</v>
      </c>
      <c r="F322" s="5">
        <v>224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53.265520000000002</v>
      </c>
      <c r="E323" s="5">
        <v>6.0876099999999997</v>
      </c>
      <c r="F323" s="5">
        <v>225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53.147489999999998</v>
      </c>
      <c r="E324" s="5">
        <v>6.08805</v>
      </c>
      <c r="F324" s="5">
        <v>226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53.2682</v>
      </c>
      <c r="E325" s="5">
        <v>6.08446</v>
      </c>
      <c r="F325" s="5">
        <v>226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53.427489999999999</v>
      </c>
      <c r="E326" s="5">
        <v>6.0786800000000003</v>
      </c>
      <c r="F326" s="5">
        <v>224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53.228319999999997</v>
      </c>
      <c r="E327" s="5">
        <v>6.08291</v>
      </c>
      <c r="F327" s="5">
        <v>226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53.317489999999999</v>
      </c>
      <c r="E328" s="5">
        <v>6.0909700000000004</v>
      </c>
      <c r="F328" s="5">
        <v>222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53.082500000000003</v>
      </c>
      <c r="E329" s="5">
        <v>6.0833700000000004</v>
      </c>
      <c r="F329" s="5">
        <v>225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53.512709999999998</v>
      </c>
      <c r="E330" s="5">
        <v>6.0830399999999996</v>
      </c>
      <c r="F330" s="5">
        <v>225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148.30533</v>
      </c>
      <c r="E331" s="5">
        <v>7.0865799999999997</v>
      </c>
      <c r="F331" s="5">
        <v>77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148.17283</v>
      </c>
      <c r="E332" s="5">
        <v>7.08141</v>
      </c>
      <c r="F332" s="5">
        <v>78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148.18895000000001</v>
      </c>
      <c r="E333" s="5">
        <v>7.0819900000000002</v>
      </c>
      <c r="F333" s="5">
        <v>77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148.18630999999999</v>
      </c>
      <c r="E334" s="5">
        <v>7.0303599999999999</v>
      </c>
      <c r="F334" s="5">
        <v>77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148.15366</v>
      </c>
      <c r="E335" s="5">
        <v>7.0408400000000002</v>
      </c>
      <c r="F335" s="5">
        <v>76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148.19319999999999</v>
      </c>
      <c r="E336" s="5">
        <v>7.0673199999999996</v>
      </c>
      <c r="F336" s="5">
        <v>78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148.20320000000001</v>
      </c>
      <c r="E337" s="5">
        <v>7.0754299999999999</v>
      </c>
      <c r="F337" s="5">
        <v>77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148.21986999999999</v>
      </c>
      <c r="E338" s="5">
        <v>7.0842000000000001</v>
      </c>
      <c r="F338" s="5">
        <v>77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148.24617000000001</v>
      </c>
      <c r="E339" s="5">
        <v>7.0566899999999997</v>
      </c>
      <c r="F339" s="5">
        <v>78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148.2183</v>
      </c>
      <c r="E340" s="5">
        <v>7.0657800000000002</v>
      </c>
      <c r="F340" s="5">
        <v>77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107.9958</v>
      </c>
      <c r="E341" s="5">
        <v>16.814789999999999</v>
      </c>
      <c r="F341" s="5">
        <v>174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108.3501</v>
      </c>
      <c r="E342" s="5">
        <v>16.8447</v>
      </c>
      <c r="F342" s="5">
        <v>174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108.15009999999999</v>
      </c>
      <c r="E343" s="5">
        <v>16.80979</v>
      </c>
      <c r="F343" s="5">
        <v>173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108.12237</v>
      </c>
      <c r="E344" s="5">
        <v>16.837140000000002</v>
      </c>
      <c r="F344" s="5">
        <v>173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108.68312</v>
      </c>
      <c r="E345" s="5">
        <v>16.847429999999999</v>
      </c>
      <c r="F345" s="5">
        <v>173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108.20126999999999</v>
      </c>
      <c r="E346" s="5">
        <v>16.79365</v>
      </c>
      <c r="F346" s="5">
        <v>171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107.99981</v>
      </c>
      <c r="E347" s="5">
        <v>16.806570000000001</v>
      </c>
      <c r="F347" s="5">
        <v>173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108.20344</v>
      </c>
      <c r="E348" s="5">
        <v>16.845590000000001</v>
      </c>
      <c r="F348" s="5">
        <v>174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108.20253</v>
      </c>
      <c r="E349" s="5">
        <v>16.791589999999999</v>
      </c>
      <c r="F349" s="5">
        <v>175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108.10647</v>
      </c>
      <c r="E350" s="5">
        <v>16.843240000000002</v>
      </c>
      <c r="F350" s="5">
        <v>174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103.79329</v>
      </c>
      <c r="E351" s="5">
        <v>29.34507</v>
      </c>
      <c r="F351" s="5">
        <v>287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104.00247</v>
      </c>
      <c r="E352" s="5">
        <v>29.352080000000001</v>
      </c>
      <c r="F352" s="5">
        <v>286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103.84753000000001</v>
      </c>
      <c r="E353" s="5">
        <v>29.3536</v>
      </c>
      <c r="F353" s="5">
        <v>290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104.01163</v>
      </c>
      <c r="E354" s="5">
        <v>29.39245</v>
      </c>
      <c r="F354" s="5">
        <v>287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103.971</v>
      </c>
      <c r="E355" s="5">
        <v>29.370940000000001</v>
      </c>
      <c r="F355" s="5">
        <v>287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103.8858</v>
      </c>
      <c r="E356" s="5">
        <v>29.34271</v>
      </c>
      <c r="F356" s="5">
        <v>288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103.94829</v>
      </c>
      <c r="E357" s="5">
        <v>29.36544</v>
      </c>
      <c r="F357" s="5">
        <v>289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103.93503</v>
      </c>
      <c r="E358" s="5">
        <v>29.36505</v>
      </c>
      <c r="F358" s="5">
        <v>289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103.91753</v>
      </c>
      <c r="E359" s="5">
        <v>29.377790000000001</v>
      </c>
      <c r="F359" s="5">
        <v>285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103.99747000000001</v>
      </c>
      <c r="E360" s="5">
        <v>29.385370000000002</v>
      </c>
      <c r="F360" s="5">
        <v>288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0.54669999999999996</v>
      </c>
      <c r="F361" s="5">
        <v>51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0.54593000000000003</v>
      </c>
      <c r="F362" s="5">
        <v>41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0.54732000000000003</v>
      </c>
      <c r="F363" s="5">
        <v>48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0.54737000000000002</v>
      </c>
      <c r="F364" s="5">
        <v>50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0.54374999999999996</v>
      </c>
      <c r="F365" s="5">
        <v>50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0.54479999999999995</v>
      </c>
      <c r="F366" s="5">
        <v>50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0.54734000000000005</v>
      </c>
      <c r="F367" s="5">
        <v>50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0.54334000000000005</v>
      </c>
      <c r="F368" s="5">
        <v>49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0.54661000000000004</v>
      </c>
      <c r="F369" s="5">
        <v>50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0.54881000000000002</v>
      </c>
      <c r="F370" s="5">
        <v>47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0.87734000000000001</v>
      </c>
      <c r="F371" s="5">
        <v>82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0.87863999999999998</v>
      </c>
      <c r="F372" s="5">
        <v>83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0.87604000000000004</v>
      </c>
      <c r="F373" s="5">
        <v>84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0.87209999999999999</v>
      </c>
      <c r="F374" s="5">
        <v>82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0.87634999999999996</v>
      </c>
      <c r="F375" s="5">
        <v>83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0.87595000000000001</v>
      </c>
      <c r="F376" s="5">
        <v>85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0.87163000000000002</v>
      </c>
      <c r="F377" s="5">
        <v>83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0.87248999999999999</v>
      </c>
      <c r="F378" s="5">
        <v>84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0.87680999999999998</v>
      </c>
      <c r="F379" s="5">
        <v>75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0.87326999999999999</v>
      </c>
      <c r="F380" s="5">
        <v>84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1.15198</v>
      </c>
      <c r="F381" s="5">
        <v>104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1.15072</v>
      </c>
      <c r="F382" s="5">
        <v>111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1.1552800000000001</v>
      </c>
      <c r="F383" s="5">
        <v>102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1.15316</v>
      </c>
      <c r="F384" s="5">
        <v>111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1.1537299999999999</v>
      </c>
      <c r="F385" s="5">
        <v>111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1.1492899999999999</v>
      </c>
      <c r="F386" s="5">
        <v>110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1.1490400000000001</v>
      </c>
      <c r="F387" s="5">
        <v>104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1.1553899999999999</v>
      </c>
      <c r="F388" s="5">
        <v>112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1.15055</v>
      </c>
      <c r="F389" s="5">
        <v>109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1.1555299999999999</v>
      </c>
      <c r="F390" s="5">
        <v>86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1.1188</v>
      </c>
      <c r="F391" s="5">
        <v>32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1.1207199999999999</v>
      </c>
      <c r="F392" s="5">
        <v>35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1.1226700000000001</v>
      </c>
      <c r="F393" s="5">
        <v>35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1.1212200000000001</v>
      </c>
      <c r="F394" s="5">
        <v>33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1.11364</v>
      </c>
      <c r="F395" s="5">
        <v>35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1.1270100000000001</v>
      </c>
      <c r="F396" s="5">
        <v>35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1.11913</v>
      </c>
      <c r="F397" s="5">
        <v>35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1.1182300000000001</v>
      </c>
      <c r="F398" s="5">
        <v>34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1.1258999999999999</v>
      </c>
      <c r="F399" s="5">
        <v>35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1.1144099999999999</v>
      </c>
      <c r="F400" s="5">
        <v>34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2.5074299999999998</v>
      </c>
      <c r="F401" s="5">
        <v>78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2.5075400000000001</v>
      </c>
      <c r="F402" s="5">
        <v>76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2.5111599999999998</v>
      </c>
      <c r="F403" s="5">
        <v>78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2.4956299999999998</v>
      </c>
      <c r="F404" s="5">
        <v>76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2.49275</v>
      </c>
      <c r="F405" s="5">
        <v>75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2.48794</v>
      </c>
      <c r="F406" s="5">
        <v>77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2.5124200000000001</v>
      </c>
      <c r="F407" s="5">
        <v>77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2.5124499999999999</v>
      </c>
      <c r="F408" s="5">
        <v>79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2.50048</v>
      </c>
      <c r="F409" s="5">
        <v>76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2.4923500000000001</v>
      </c>
      <c r="F410" s="5">
        <v>76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2.7245400000000002</v>
      </c>
      <c r="F411" s="5">
        <v>79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2.72329</v>
      </c>
      <c r="F412" s="5">
        <v>82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2.73821</v>
      </c>
      <c r="F413" s="5">
        <v>81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2.7389800000000002</v>
      </c>
      <c r="F414" s="5">
        <v>81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2.7239800000000001</v>
      </c>
      <c r="F415" s="5">
        <v>82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2.72695</v>
      </c>
      <c r="F416" s="5">
        <v>78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2.7221099999999998</v>
      </c>
      <c r="F417" s="5">
        <v>80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2.7368000000000001</v>
      </c>
      <c r="F418" s="5">
        <v>82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2.7379699999999998</v>
      </c>
      <c r="F419" s="5">
        <v>81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2.7296499999999999</v>
      </c>
      <c r="F420" s="5">
        <v>80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2.9842900000000001</v>
      </c>
      <c r="F421" s="5">
        <v>35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3.0020500000000001</v>
      </c>
      <c r="F422" s="5">
        <v>35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2.9946600000000001</v>
      </c>
      <c r="F423" s="5">
        <v>36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2.98706</v>
      </c>
      <c r="F424" s="5">
        <v>36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3.0061499999999999</v>
      </c>
      <c r="F425" s="5">
        <v>35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2.9688400000000001</v>
      </c>
      <c r="F426" s="5">
        <v>35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3.00421</v>
      </c>
      <c r="F427" s="5">
        <v>36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2.9892500000000002</v>
      </c>
      <c r="F428" s="5">
        <v>36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2.97872</v>
      </c>
      <c r="F429" s="5">
        <v>35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3.0022099999999998</v>
      </c>
      <c r="F430" s="5">
        <v>35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3.7963200000000001</v>
      </c>
      <c r="F431" s="5">
        <v>43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3.7910300000000001</v>
      </c>
      <c r="F432" s="5">
        <v>43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3.8487499999999999</v>
      </c>
      <c r="F433" s="5">
        <v>44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3.7942</v>
      </c>
      <c r="F434" s="5">
        <v>44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3.7958500000000002</v>
      </c>
      <c r="F435" s="5">
        <v>44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3.8326199999999999</v>
      </c>
      <c r="F436" s="5">
        <v>44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3.7725499999999998</v>
      </c>
      <c r="F437" s="5">
        <v>43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3.7705600000000001</v>
      </c>
      <c r="F438" s="5">
        <v>43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3.8277600000000001</v>
      </c>
      <c r="F439" s="5">
        <v>44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3.8347500000000001</v>
      </c>
      <c r="F440" s="5">
        <v>44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5.4850099999999999</v>
      </c>
      <c r="F441" s="5">
        <v>60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5.5202600000000004</v>
      </c>
      <c r="F442" s="5">
        <v>60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5.4823599999999999</v>
      </c>
      <c r="F443" s="5">
        <v>60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5.5078500000000004</v>
      </c>
      <c r="F444" s="5">
        <v>61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5.4793599999999998</v>
      </c>
      <c r="F445" s="5">
        <v>59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5.46638</v>
      </c>
      <c r="F446" s="5">
        <v>60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5.4739899999999997</v>
      </c>
      <c r="F447" s="5">
        <v>60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5.4962999999999997</v>
      </c>
      <c r="F448" s="5">
        <v>60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5.4980399999999996</v>
      </c>
      <c r="F449" s="5">
        <v>60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5.5049200000000003</v>
      </c>
      <c r="F450" s="5">
        <v>60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O1"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0.55103999999999997</v>
      </c>
      <c r="F1" s="5">
        <v>36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0.55232999999999999</v>
      </c>
      <c r="F2" s="5">
        <v>34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0.54928999999999994</v>
      </c>
      <c r="F3" s="5">
        <v>26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170.35004000000001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0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0.55147999999999997</v>
      </c>
      <c r="F4" s="5">
        <v>30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0.54430000000000001</v>
      </c>
      <c r="F5" s="5">
        <v>36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0.54440999999999995</v>
      </c>
      <c r="F6" s="5">
        <v>34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0.54613999999999996</v>
      </c>
      <c r="F7" s="5">
        <v>42</v>
      </c>
      <c r="H7" s="5" t="s">
        <v>27</v>
      </c>
      <c r="I7" s="5">
        <v>50</v>
      </c>
      <c r="J7" s="5">
        <v>1</v>
      </c>
      <c r="L7" s="5">
        <f t="shared" ca="1" si="11"/>
        <v>180.10135</v>
      </c>
      <c r="M7" s="5">
        <f t="shared" ca="1" si="0"/>
        <v>181.9</v>
      </c>
      <c r="N7" s="5">
        <f t="shared" ca="1" si="0"/>
        <v>179.94333</v>
      </c>
      <c r="O7" s="5">
        <f t="shared" ca="1" si="0"/>
        <v>181.92667</v>
      </c>
      <c r="P7" s="5">
        <f t="shared" ca="1" si="0"/>
        <v>182.34583000000001</v>
      </c>
      <c r="Q7" s="5">
        <f t="shared" ca="1" si="0"/>
        <v>181.91333</v>
      </c>
      <c r="R7" s="5">
        <f t="shared" ca="1" si="0"/>
        <v>179.94333</v>
      </c>
      <c r="S7" s="5">
        <f t="shared" ca="1" si="0"/>
        <v>179.67332999999999</v>
      </c>
      <c r="T7" s="5">
        <f t="shared" ca="1" si="0"/>
        <v>181.15</v>
      </c>
      <c r="U7" s="5">
        <f t="shared" ca="1" si="0"/>
        <v>182.34583000000001</v>
      </c>
      <c r="W7" s="5">
        <f t="shared" ca="1" si="12"/>
        <v>181.12430000000003</v>
      </c>
      <c r="Y7" s="5">
        <f ca="1">Total!E7</f>
        <v>179.67332999999999</v>
      </c>
      <c r="AB7" s="5">
        <f t="shared" ca="1" si="1"/>
        <v>2.3822122070092629E-3</v>
      </c>
      <c r="AC7" s="5">
        <f t="shared" ca="1" si="2"/>
        <v>1.2392879900428254E-2</v>
      </c>
      <c r="AD7" s="5">
        <f t="shared" ca="1" si="3"/>
        <v>1.5027271994124572E-3</v>
      </c>
      <c r="AE7" s="5">
        <f t="shared" ca="1" si="4"/>
        <v>1.254131595379241E-2</v>
      </c>
      <c r="AF7" s="5">
        <f t="shared" ca="1" si="5"/>
        <v>1.4874216446035779E-2</v>
      </c>
      <c r="AG7" s="5">
        <f t="shared" ca="1" si="6"/>
        <v>1.2467070098828853E-2</v>
      </c>
      <c r="AH7" s="5">
        <f t="shared" ca="1" si="7"/>
        <v>1.5027271994124572E-3</v>
      </c>
      <c r="AI7" s="5">
        <f t="shared" ca="1" si="8"/>
        <v>0</v>
      </c>
      <c r="AJ7" s="5">
        <f t="shared" ca="1" si="9"/>
        <v>8.2186376798382543E-3</v>
      </c>
      <c r="AK7" s="5">
        <f t="shared" ca="1" si="10"/>
        <v>1.4874216446035779E-2</v>
      </c>
      <c r="AM7" s="5">
        <f t="shared" ca="1" si="13"/>
        <v>8.0756003130793494E-2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0.55028999999999995</v>
      </c>
      <c r="F8" s="5">
        <v>32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0.55513999999999997</v>
      </c>
      <c r="F9" s="5">
        <v>33</v>
      </c>
      <c r="H9" s="5" t="s">
        <v>27</v>
      </c>
      <c r="I9" s="5">
        <v>100</v>
      </c>
      <c r="J9" s="5">
        <v>0.7</v>
      </c>
      <c r="L9" s="5">
        <f t="shared" ca="1" si="11"/>
        <v>258.72039999999998</v>
      </c>
      <c r="M9" s="5">
        <f t="shared" ca="1" si="0"/>
        <v>259.37536</v>
      </c>
      <c r="N9" s="5">
        <f t="shared" ca="1" si="0"/>
        <v>257.09390999999999</v>
      </c>
      <c r="O9" s="5">
        <f t="shared" ca="1" si="0"/>
        <v>256.16519</v>
      </c>
      <c r="P9" s="5">
        <f t="shared" ca="1" si="0"/>
        <v>255.83002999999999</v>
      </c>
      <c r="Q9" s="5">
        <f t="shared" ca="1" si="0"/>
        <v>256.25493999999998</v>
      </c>
      <c r="R9" s="5">
        <f t="shared" ca="1" si="0"/>
        <v>255.18879999999999</v>
      </c>
      <c r="S9" s="5">
        <f t="shared" ca="1" si="0"/>
        <v>259.44132999999999</v>
      </c>
      <c r="T9" s="5">
        <f t="shared" ca="1" si="0"/>
        <v>258.25004000000001</v>
      </c>
      <c r="U9" s="5">
        <f t="shared" ca="1" si="0"/>
        <v>255.95811</v>
      </c>
      <c r="W9" s="5">
        <f t="shared" ca="1" si="12"/>
        <v>257.22781099999997</v>
      </c>
      <c r="Y9" s="5">
        <f ca="1">Total!E9</f>
        <v>255.18879999999999</v>
      </c>
      <c r="AB9" s="5">
        <f t="shared" ca="1" si="1"/>
        <v>1.3839165355219342E-2</v>
      </c>
      <c r="AC9" s="5">
        <f t="shared" ca="1" si="2"/>
        <v>1.6405735674919958E-2</v>
      </c>
      <c r="AD9" s="5">
        <f t="shared" ca="1" si="3"/>
        <v>7.4654922159593518E-3</v>
      </c>
      <c r="AE9" s="5">
        <f t="shared" ca="1" si="4"/>
        <v>3.8261475425254137E-3</v>
      </c>
      <c r="AF9" s="5">
        <f t="shared" ca="1" si="5"/>
        <v>2.5127670179882788E-3</v>
      </c>
      <c r="AG9" s="5">
        <f t="shared" ca="1" si="6"/>
        <v>4.177847930630146E-3</v>
      </c>
      <c r="AH9" s="5">
        <f t="shared" ca="1" si="7"/>
        <v>0</v>
      </c>
      <c r="AI9" s="5">
        <f t="shared" ca="1" si="8"/>
        <v>1.6664250155179253E-2</v>
      </c>
      <c r="AJ9" s="5">
        <f t="shared" ca="1" si="9"/>
        <v>1.1995981014840881E-2</v>
      </c>
      <c r="AK9" s="5">
        <f t="shared" ca="1" si="10"/>
        <v>3.0146699228180023E-3</v>
      </c>
      <c r="AM9" s="5">
        <f t="shared" ca="1" si="13"/>
        <v>7.9902056830080628E-2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0.54544999999999999</v>
      </c>
      <c r="F10" s="5">
        <v>28</v>
      </c>
      <c r="H10" s="5" t="s">
        <v>27</v>
      </c>
      <c r="I10" s="5">
        <v>100</v>
      </c>
      <c r="J10" s="5">
        <v>1</v>
      </c>
      <c r="L10" s="5">
        <f t="shared" ca="1" si="11"/>
        <v>239.39258000000001</v>
      </c>
      <c r="M10" s="5">
        <f t="shared" ca="1" si="0"/>
        <v>240.56</v>
      </c>
      <c r="N10" s="5">
        <f t="shared" ca="1" si="0"/>
        <v>240.11667</v>
      </c>
      <c r="O10" s="5">
        <f t="shared" ca="1" si="0"/>
        <v>239.51</v>
      </c>
      <c r="P10" s="5">
        <f t="shared" ca="1" si="0"/>
        <v>240.39</v>
      </c>
      <c r="Q10" s="5">
        <f t="shared" ca="1" si="0"/>
        <v>239.18333000000001</v>
      </c>
      <c r="R10" s="5">
        <f t="shared" ca="1" si="0"/>
        <v>239.24666999999999</v>
      </c>
      <c r="S10" s="5">
        <f t="shared" ca="1" si="0"/>
        <v>240.16985</v>
      </c>
      <c r="T10" s="5">
        <f t="shared" ca="1" si="0"/>
        <v>240.18027000000001</v>
      </c>
      <c r="U10" s="5">
        <f t="shared" ca="1" si="0"/>
        <v>239.65665000000001</v>
      </c>
      <c r="W10" s="5">
        <f t="shared" ca="1" si="12"/>
        <v>239.84060199999999</v>
      </c>
      <c r="Y10" s="5">
        <f ca="1">Total!E10</f>
        <v>238.77667</v>
      </c>
      <c r="AB10" s="5">
        <f t="shared" ca="1" si="1"/>
        <v>2.5794396077305783E-3</v>
      </c>
      <c r="AC10" s="5">
        <f t="shared" ca="1" si="2"/>
        <v>7.46861073152585E-3</v>
      </c>
      <c r="AD10" s="5">
        <f t="shared" ca="1" si="3"/>
        <v>5.611938553293349E-3</v>
      </c>
      <c r="AE10" s="5">
        <f t="shared" ca="1" si="4"/>
        <v>3.0711961934974433E-3</v>
      </c>
      <c r="AF10" s="5">
        <f t="shared" ca="1" si="5"/>
        <v>6.7566483777497634E-3</v>
      </c>
      <c r="AG10" s="5">
        <f t="shared" ca="1" si="6"/>
        <v>1.7030977105092237E-3</v>
      </c>
      <c r="AH10" s="5">
        <f t="shared" ca="1" si="7"/>
        <v>1.9683665074984036E-3</v>
      </c>
      <c r="AI10" s="5">
        <f t="shared" ca="1" si="8"/>
        <v>5.8346571296098611E-3</v>
      </c>
      <c r="AJ10" s="5">
        <f t="shared" ca="1" si="9"/>
        <v>5.8782962338825295E-3</v>
      </c>
      <c r="AK10" s="5">
        <f t="shared" ca="1" si="10"/>
        <v>3.685368423975498E-3</v>
      </c>
      <c r="AM10" s="5">
        <f t="shared" ca="1" si="13"/>
        <v>4.4557619469272496E-2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1.4353400000000001</v>
      </c>
      <c r="F11" s="5">
        <v>136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1.4222399999999999</v>
      </c>
      <c r="F12" s="5">
        <v>139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1.42852</v>
      </c>
      <c r="F13" s="5">
        <v>140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1.42377</v>
      </c>
      <c r="F14" s="5">
        <v>135</v>
      </c>
      <c r="H14" s="5" t="s">
        <v>2</v>
      </c>
      <c r="I14" s="5">
        <v>47</v>
      </c>
      <c r="J14" s="5">
        <v>0.4</v>
      </c>
      <c r="L14" s="5">
        <f t="shared" ca="1" si="11"/>
        <v>4350.8413700000001</v>
      </c>
      <c r="M14" s="5">
        <f t="shared" ca="1" si="0"/>
        <v>4350.8413700000001</v>
      </c>
      <c r="N14" s="5">
        <f t="shared" ca="1" si="0"/>
        <v>4348.0289499999999</v>
      </c>
      <c r="O14" s="5">
        <f t="shared" ca="1" si="0"/>
        <v>4348.0289499999999</v>
      </c>
      <c r="P14" s="5">
        <f t="shared" ca="1" si="0"/>
        <v>4350.4175100000002</v>
      </c>
      <c r="Q14" s="5">
        <f t="shared" ca="1" si="0"/>
        <v>4348.0289499999999</v>
      </c>
      <c r="R14" s="5">
        <f t="shared" ca="1" si="0"/>
        <v>4348.0289499999999</v>
      </c>
      <c r="S14" s="5">
        <f t="shared" ca="1" si="0"/>
        <v>4348.0289499999999</v>
      </c>
      <c r="T14" s="5">
        <f t="shared" ca="1" si="0"/>
        <v>4348.0289499999999</v>
      </c>
      <c r="U14" s="5">
        <f t="shared" ca="1" si="0"/>
        <v>4348.0289499999999</v>
      </c>
      <c r="W14" s="5">
        <f t="shared" ca="1" si="12"/>
        <v>4348.8302899999999</v>
      </c>
      <c r="Y14" s="5">
        <f ca="1">Total!E14</f>
        <v>4348.0289499999999</v>
      </c>
      <c r="AB14" s="5">
        <f t="shared" ca="1" si="1"/>
        <v>6.4682642004952661E-4</v>
      </c>
      <c r="AC14" s="5">
        <f t="shared" ca="1" si="2"/>
        <v>6.4682642004952661E-4</v>
      </c>
      <c r="AD14" s="5">
        <f t="shared" ca="1" si="3"/>
        <v>0</v>
      </c>
      <c r="AE14" s="5">
        <f t="shared" ca="1" si="4"/>
        <v>0</v>
      </c>
      <c r="AF14" s="5">
        <f t="shared" ca="1" si="5"/>
        <v>5.4934316847184866E-4</v>
      </c>
      <c r="AG14" s="5">
        <f t="shared" ca="1" si="6"/>
        <v>0</v>
      </c>
      <c r="AH14" s="5">
        <f t="shared" ca="1" si="7"/>
        <v>0</v>
      </c>
      <c r="AI14" s="5">
        <f t="shared" ca="1" si="8"/>
        <v>0</v>
      </c>
      <c r="AJ14" s="5">
        <f t="shared" ca="1" si="9"/>
        <v>0</v>
      </c>
      <c r="AK14" s="5">
        <f t="shared" ca="1" si="10"/>
        <v>0</v>
      </c>
      <c r="AM14" s="5">
        <f t="shared" ca="1" si="13"/>
        <v>1.8429960085709018E-3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1.42218</v>
      </c>
      <c r="F15" s="5">
        <v>140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1.42228</v>
      </c>
      <c r="F16" s="5">
        <v>139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1.44119</v>
      </c>
      <c r="F17" s="5">
        <v>131</v>
      </c>
      <c r="H17" s="5" t="s">
        <v>2</v>
      </c>
      <c r="I17" s="5">
        <v>100</v>
      </c>
      <c r="J17" s="5">
        <v>0.4</v>
      </c>
      <c r="L17" s="5">
        <f t="shared" ca="1" si="11"/>
        <v>42986.673049999998</v>
      </c>
      <c r="M17" s="5">
        <f t="shared" ca="1" si="0"/>
        <v>42986.673049999998</v>
      </c>
      <c r="N17" s="5">
        <f t="shared" ca="1" si="0"/>
        <v>42987.096920000004</v>
      </c>
      <c r="O17" s="5">
        <f t="shared" ca="1" si="0"/>
        <v>42986.802479999998</v>
      </c>
      <c r="P17" s="5">
        <f t="shared" ca="1" si="0"/>
        <v>42986.802479999998</v>
      </c>
      <c r="Q17" s="5">
        <f t="shared" ca="1" si="0"/>
        <v>42987.644590000004</v>
      </c>
      <c r="R17" s="5">
        <f t="shared" ca="1" si="0"/>
        <v>42986.673049999998</v>
      </c>
      <c r="S17" s="5">
        <f t="shared" ca="1" si="0"/>
        <v>42986.673049999998</v>
      </c>
      <c r="T17" s="5">
        <f t="shared" ca="1" si="0"/>
        <v>42986.673049999998</v>
      </c>
      <c r="U17" s="5">
        <f t="shared" ca="1" si="0"/>
        <v>42986.663050000003</v>
      </c>
      <c r="W17" s="5">
        <f t="shared" ca="1" si="12"/>
        <v>42986.837477000001</v>
      </c>
      <c r="Y17" s="5">
        <f ca="1">Total!E17</f>
        <v>42986.193919999998</v>
      </c>
      <c r="AB17" s="5">
        <f t="shared" ca="1" si="1"/>
        <v>1.1146136847830832E-5</v>
      </c>
      <c r="AC17" s="5">
        <f t="shared" ca="1" si="2"/>
        <v>1.1146136847830832E-5</v>
      </c>
      <c r="AD17" s="5">
        <f t="shared" ca="1" si="3"/>
        <v>2.1006744669840831E-5</v>
      </c>
      <c r="AE17" s="5">
        <f t="shared" ca="1" si="4"/>
        <v>1.4157103583842479E-5</v>
      </c>
      <c r="AF17" s="5">
        <f t="shared" ca="1" si="5"/>
        <v>1.4157103583842479E-5</v>
      </c>
      <c r="AG17" s="5">
        <f t="shared" ca="1" si="6"/>
        <v>3.3747346943658645E-5</v>
      </c>
      <c r="AH17" s="5">
        <f t="shared" ca="1" si="7"/>
        <v>1.1146136847830832E-5</v>
      </c>
      <c r="AI17" s="5">
        <f t="shared" ca="1" si="8"/>
        <v>1.1146136847830832E-5</v>
      </c>
      <c r="AJ17" s="5">
        <f t="shared" ca="1" si="9"/>
        <v>1.1146136847830832E-5</v>
      </c>
      <c r="AK17" s="5">
        <f t="shared" ca="1" si="10"/>
        <v>1.0913504016615955E-5</v>
      </c>
      <c r="AM17" s="5">
        <f t="shared" ca="1" si="13"/>
        <v>1.4971248703695453E-4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1.4246700000000001</v>
      </c>
      <c r="F18" s="5">
        <v>137</v>
      </c>
      <c r="H18" s="5" t="s">
        <v>2</v>
      </c>
      <c r="I18" s="5">
        <v>100</v>
      </c>
      <c r="J18" s="5">
        <v>0.7</v>
      </c>
      <c r="L18" s="5">
        <f t="shared" ca="1" si="11"/>
        <v>35744.829270000002</v>
      </c>
      <c r="M18" s="5">
        <f t="shared" ca="1" si="11"/>
        <v>35655.497960000001</v>
      </c>
      <c r="N18" s="5">
        <f t="shared" ca="1" si="11"/>
        <v>35666.108749999999</v>
      </c>
      <c r="O18" s="5">
        <f t="shared" ca="1" si="11"/>
        <v>35539.316659999997</v>
      </c>
      <c r="P18" s="5">
        <f t="shared" ca="1" si="11"/>
        <v>35671.474600000001</v>
      </c>
      <c r="Q18" s="5">
        <f t="shared" ca="1" si="11"/>
        <v>35750.100610000001</v>
      </c>
      <c r="R18" s="5">
        <f t="shared" ca="1" si="11"/>
        <v>35508.436970000002</v>
      </c>
      <c r="S18" s="5">
        <f t="shared" ca="1" si="11"/>
        <v>35759.349410000003</v>
      </c>
      <c r="T18" s="5">
        <f t="shared" ca="1" si="11"/>
        <v>35745.350570000002</v>
      </c>
      <c r="U18" s="5">
        <f t="shared" ca="1" si="11"/>
        <v>35654.425499999998</v>
      </c>
      <c r="W18" s="5">
        <f t="shared" ca="1" si="12"/>
        <v>35669.489030000004</v>
      </c>
      <c r="Y18" s="5">
        <f ca="1">Total!E18</f>
        <v>35336.072039999999</v>
      </c>
      <c r="AB18" s="5">
        <f t="shared" ca="1" si="1"/>
        <v>1.156770422975408E-2</v>
      </c>
      <c r="AC18" s="5">
        <f t="shared" ca="1" si="2"/>
        <v>9.039655557596081E-3</v>
      </c>
      <c r="AD18" s="5">
        <f t="shared" ca="1" si="3"/>
        <v>9.3399376599188171E-3</v>
      </c>
      <c r="AE18" s="5">
        <f t="shared" ca="1" si="4"/>
        <v>5.7517604042103846E-3</v>
      </c>
      <c r="AF18" s="5">
        <f t="shared" ca="1" si="5"/>
        <v>9.4917895690367245E-3</v>
      </c>
      <c r="AG18" s="5">
        <f t="shared" ca="1" si="6"/>
        <v>1.171688153486123E-2</v>
      </c>
      <c r="AH18" s="5">
        <f t="shared" ca="1" si="7"/>
        <v>4.8778746490240454E-3</v>
      </c>
      <c r="AI18" s="5">
        <f t="shared" ca="1" si="8"/>
        <v>1.1978619737951028E-2</v>
      </c>
      <c r="AJ18" s="5">
        <f t="shared" ca="1" si="9"/>
        <v>1.1582456859854286E-2</v>
      </c>
      <c r="AK18" s="5">
        <f t="shared" ca="1" si="10"/>
        <v>9.0093052685546442E-3</v>
      </c>
      <c r="AM18" s="5">
        <f t="shared" ca="1" si="13"/>
        <v>9.4355985470761322E-2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1.4228400000000001</v>
      </c>
      <c r="F19" s="5">
        <v>139</v>
      </c>
      <c r="H19" s="5" t="s">
        <v>2</v>
      </c>
      <c r="I19" s="5">
        <v>100</v>
      </c>
      <c r="J19" s="5">
        <v>1</v>
      </c>
      <c r="L19" s="5">
        <f t="shared" ca="1" si="11"/>
        <v>35203.853329999998</v>
      </c>
      <c r="M19" s="5">
        <f t="shared" ca="1" si="11"/>
        <v>35288.29333</v>
      </c>
      <c r="N19" s="5">
        <f t="shared" ca="1" si="11"/>
        <v>35420.79</v>
      </c>
      <c r="O19" s="5">
        <f t="shared" ca="1" si="11"/>
        <v>35290.61333</v>
      </c>
      <c r="P19" s="5">
        <f t="shared" ca="1" si="11"/>
        <v>35392.150110000002</v>
      </c>
      <c r="Q19" s="5">
        <f t="shared" ca="1" si="11"/>
        <v>35231.072160000003</v>
      </c>
      <c r="R19" s="5">
        <f t="shared" ca="1" si="11"/>
        <v>35336.213329999999</v>
      </c>
      <c r="S19" s="5">
        <f t="shared" ca="1" si="11"/>
        <v>35365.606670000001</v>
      </c>
      <c r="T19" s="5">
        <f t="shared" ca="1" si="11"/>
        <v>35343.923329999998</v>
      </c>
      <c r="U19" s="5">
        <f t="shared" ca="1" si="11"/>
        <v>35452.264179999998</v>
      </c>
      <c r="W19" s="5">
        <f t="shared" ca="1" si="12"/>
        <v>35332.477977000002</v>
      </c>
      <c r="Y19" s="5">
        <f ca="1">Total!E19</f>
        <v>35203.853329999998</v>
      </c>
      <c r="AB19" s="5">
        <f t="shared" ca="1" si="1"/>
        <v>0</v>
      </c>
      <c r="AC19" s="5">
        <f t="shared" ca="1" si="2"/>
        <v>2.3986010624593842E-3</v>
      </c>
      <c r="AD19" s="5">
        <f t="shared" ca="1" si="3"/>
        <v>6.1622989951254517E-3</v>
      </c>
      <c r="AE19" s="5">
        <f t="shared" ca="1" si="4"/>
        <v>2.4645029391162404E-3</v>
      </c>
      <c r="AF19" s="5">
        <f t="shared" ca="1" si="5"/>
        <v>5.3487548148469753E-3</v>
      </c>
      <c r="AG19" s="5">
        <f t="shared" ca="1" si="6"/>
        <v>7.7317757646745819E-4</v>
      </c>
      <c r="AH19" s="5">
        <f t="shared" ca="1" si="7"/>
        <v>3.759815687199393E-3</v>
      </c>
      <c r="AI19" s="5">
        <f t="shared" ca="1" si="8"/>
        <v>4.5947623541017337E-3</v>
      </c>
      <c r="AJ19" s="5">
        <f t="shared" ca="1" si="9"/>
        <v>3.9788258031581711E-3</v>
      </c>
      <c r="AK19" s="5">
        <f t="shared" ca="1" si="10"/>
        <v>7.056353964192596E-3</v>
      </c>
      <c r="AM19" s="5">
        <f t="shared" ca="1" si="13"/>
        <v>3.6537093196667404E-2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1.4268400000000001</v>
      </c>
      <c r="F20" s="5">
        <v>131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1.77738</v>
      </c>
      <c r="F21" s="5">
        <v>163</v>
      </c>
      <c r="H21" s="5" t="s">
        <v>1</v>
      </c>
      <c r="I21" s="5">
        <v>30</v>
      </c>
      <c r="J21" s="5">
        <v>0.7</v>
      </c>
      <c r="L21" s="5">
        <f t="shared" ca="1" si="11"/>
        <v>675.36581000000001</v>
      </c>
      <c r="M21" s="5">
        <f t="shared" ca="1" si="11"/>
        <v>675.36989000000005</v>
      </c>
      <c r="N21" s="5">
        <f t="shared" ca="1" si="11"/>
        <v>675.36989000000005</v>
      </c>
      <c r="O21" s="5">
        <f t="shared" ca="1" si="11"/>
        <v>675.36989000000005</v>
      </c>
      <c r="P21" s="5">
        <f t="shared" ca="1" si="11"/>
        <v>675.36989000000005</v>
      </c>
      <c r="Q21" s="5">
        <f t="shared" ca="1" si="11"/>
        <v>675.36989000000005</v>
      </c>
      <c r="R21" s="5">
        <f t="shared" ca="1" si="11"/>
        <v>675.38611000000003</v>
      </c>
      <c r="S21" s="5">
        <f t="shared" ca="1" si="11"/>
        <v>675.36989000000005</v>
      </c>
      <c r="T21" s="5">
        <f t="shared" ca="1" si="11"/>
        <v>675.36989000000005</v>
      </c>
      <c r="U21" s="5">
        <f t="shared" ca="1" si="11"/>
        <v>675.36989000000005</v>
      </c>
      <c r="W21" s="5">
        <f t="shared" ca="1" si="12"/>
        <v>675.37110400000006</v>
      </c>
      <c r="Y21" s="5">
        <f ca="1">Total!E21</f>
        <v>675.36581000000001</v>
      </c>
      <c r="AB21" s="5">
        <f t="shared" ca="1" si="1"/>
        <v>0</v>
      </c>
      <c r="AC21" s="5">
        <f t="shared" ca="1" si="2"/>
        <v>6.0411704881010963E-6</v>
      </c>
      <c r="AD21" s="5">
        <f t="shared" ca="1" si="3"/>
        <v>6.0411704881010963E-6</v>
      </c>
      <c r="AE21" s="5">
        <f t="shared" ca="1" si="4"/>
        <v>6.0411704881010963E-6</v>
      </c>
      <c r="AF21" s="5">
        <f t="shared" ca="1" si="5"/>
        <v>6.0411704881010963E-6</v>
      </c>
      <c r="AG21" s="5">
        <f t="shared" ca="1" si="6"/>
        <v>6.0411704881010963E-6</v>
      </c>
      <c r="AH21" s="5">
        <f t="shared" ca="1" si="7"/>
        <v>3.0057784536087472E-5</v>
      </c>
      <c r="AI21" s="5">
        <f t="shared" ca="1" si="8"/>
        <v>6.0411704881010963E-6</v>
      </c>
      <c r="AJ21" s="5">
        <f t="shared" ca="1" si="9"/>
        <v>6.0411704881010963E-6</v>
      </c>
      <c r="AK21" s="5">
        <f t="shared" ca="1" si="10"/>
        <v>6.0411704881010963E-6</v>
      </c>
      <c r="AM21" s="5">
        <f t="shared" ca="1" si="13"/>
        <v>7.8387148440896246E-5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1.77251</v>
      </c>
      <c r="F22" s="5">
        <v>170</v>
      </c>
      <c r="H22" s="5" t="s">
        <v>1</v>
      </c>
      <c r="I22" s="5">
        <v>30</v>
      </c>
      <c r="J22" s="5">
        <v>1</v>
      </c>
      <c r="L22" s="5">
        <f t="shared" ca="1" si="11"/>
        <v>655.43295999999998</v>
      </c>
      <c r="M22" s="5">
        <f t="shared" ca="1" si="11"/>
        <v>657.35562000000004</v>
      </c>
      <c r="N22" s="5">
        <f t="shared" ca="1" si="11"/>
        <v>655.43295999999998</v>
      </c>
      <c r="O22" s="5">
        <f t="shared" ca="1" si="11"/>
        <v>656.34204</v>
      </c>
      <c r="P22" s="5">
        <f t="shared" ca="1" si="11"/>
        <v>658.23289</v>
      </c>
      <c r="Q22" s="5">
        <f t="shared" ca="1" si="11"/>
        <v>657.95457999999996</v>
      </c>
      <c r="R22" s="5">
        <f t="shared" ca="1" si="11"/>
        <v>655.43907999999999</v>
      </c>
      <c r="S22" s="5">
        <f t="shared" ca="1" si="11"/>
        <v>657.32380999999998</v>
      </c>
      <c r="T22" s="5">
        <f t="shared" ca="1" si="11"/>
        <v>655.46475999999996</v>
      </c>
      <c r="U22" s="5">
        <f t="shared" ca="1" si="11"/>
        <v>655.43295999999998</v>
      </c>
      <c r="W22" s="5">
        <f t="shared" ca="1" si="12"/>
        <v>656.44116599999995</v>
      </c>
      <c r="Y22" s="5">
        <f ca="1">Total!E22</f>
        <v>655.43295999999998</v>
      </c>
      <c r="AB22" s="5">
        <f t="shared" ca="1" si="1"/>
        <v>0</v>
      </c>
      <c r="AC22" s="5">
        <f t="shared" ca="1" si="2"/>
        <v>2.9334197657683624E-3</v>
      </c>
      <c r="AD22" s="5">
        <f t="shared" ca="1" si="3"/>
        <v>0</v>
      </c>
      <c r="AE22" s="5">
        <f t="shared" ca="1" si="4"/>
        <v>1.3869915849212362E-3</v>
      </c>
      <c r="AF22" s="5">
        <f t="shared" ca="1" si="5"/>
        <v>4.2718785457478634E-3</v>
      </c>
      <c r="AG22" s="5">
        <f t="shared" ca="1" si="6"/>
        <v>3.847258459507414E-3</v>
      </c>
      <c r="AH22" s="5">
        <f t="shared" ca="1" si="7"/>
        <v>9.337339397777456E-6</v>
      </c>
      <c r="AI22" s="5">
        <f t="shared" ca="1" si="8"/>
        <v>2.8848869608266272E-3</v>
      </c>
      <c r="AJ22" s="5">
        <f t="shared" ca="1" si="9"/>
        <v>4.8517547851080951E-5</v>
      </c>
      <c r="AK22" s="5">
        <f t="shared" ca="1" si="10"/>
        <v>0</v>
      </c>
      <c r="AM22" s="5">
        <f t="shared" ca="1" si="13"/>
        <v>1.5382290204020361E-2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1.7710600000000001</v>
      </c>
      <c r="F23" s="5">
        <v>163</v>
      </c>
      <c r="H23" s="5" t="s">
        <v>1</v>
      </c>
      <c r="I23" s="5">
        <v>50</v>
      </c>
      <c r="J23" s="5">
        <v>0.4</v>
      </c>
      <c r="L23" s="5">
        <f t="shared" ca="1" si="11"/>
        <v>1459.9687899999999</v>
      </c>
      <c r="M23" s="5">
        <f t="shared" ca="1" si="11"/>
        <v>1459.9687899999999</v>
      </c>
      <c r="N23" s="5">
        <f t="shared" ca="1" si="11"/>
        <v>1459.9687899999999</v>
      </c>
      <c r="O23" s="5">
        <f t="shared" ca="1" si="11"/>
        <v>1459.9687899999999</v>
      </c>
      <c r="P23" s="5">
        <f t="shared" ca="1" si="11"/>
        <v>1459.9687899999999</v>
      </c>
      <c r="Q23" s="5">
        <f t="shared" ca="1" si="11"/>
        <v>1459.9687899999999</v>
      </c>
      <c r="R23" s="5">
        <f t="shared" ca="1" si="11"/>
        <v>1460.81727</v>
      </c>
      <c r="S23" s="5">
        <f t="shared" ca="1" si="11"/>
        <v>1459.9687899999999</v>
      </c>
      <c r="T23" s="5">
        <f t="shared" ca="1" si="11"/>
        <v>1459.9687899999999</v>
      </c>
      <c r="U23" s="5">
        <f t="shared" ca="1" si="11"/>
        <v>1459.9687899999999</v>
      </c>
      <c r="W23" s="5">
        <f t="shared" ca="1" si="12"/>
        <v>1460.0536379999999</v>
      </c>
      <c r="Y23" s="5">
        <f ca="1">Total!E23</f>
        <v>1459.9687899999999</v>
      </c>
      <c r="AB23" s="5">
        <f t="shared" ca="1" si="1"/>
        <v>0</v>
      </c>
      <c r="AC23" s="5">
        <f t="shared" ca="1" si="2"/>
        <v>0</v>
      </c>
      <c r="AD23" s="5">
        <f t="shared" ca="1" si="3"/>
        <v>0</v>
      </c>
      <c r="AE23" s="5">
        <f t="shared" ca="1" si="4"/>
        <v>0</v>
      </c>
      <c r="AF23" s="5">
        <f t="shared" ca="1" si="5"/>
        <v>0</v>
      </c>
      <c r="AG23" s="5">
        <f t="shared" ca="1" si="6"/>
        <v>0</v>
      </c>
      <c r="AH23" s="5">
        <f t="shared" ca="1" si="7"/>
        <v>5.8116310828816326E-4</v>
      </c>
      <c r="AI23" s="5">
        <f t="shared" ca="1" si="8"/>
        <v>0</v>
      </c>
      <c r="AJ23" s="5">
        <f t="shared" ca="1" si="9"/>
        <v>0</v>
      </c>
      <c r="AK23" s="5">
        <f t="shared" ca="1" si="10"/>
        <v>0</v>
      </c>
      <c r="AM23" s="5">
        <f t="shared" ca="1" si="13"/>
        <v>5.8116310828816326E-4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1.7724800000000001</v>
      </c>
      <c r="F24" s="5">
        <v>170</v>
      </c>
      <c r="H24" s="5" t="s">
        <v>1</v>
      </c>
      <c r="I24" s="5">
        <v>50</v>
      </c>
      <c r="J24" s="5">
        <v>0.7</v>
      </c>
      <c r="L24" s="5">
        <f t="shared" ca="1" si="11"/>
        <v>1015.11094</v>
      </c>
      <c r="M24" s="5">
        <f t="shared" ca="1" si="11"/>
        <v>1015.54409</v>
      </c>
      <c r="N24" s="5">
        <f t="shared" ca="1" si="11"/>
        <v>1015.95905</v>
      </c>
      <c r="O24" s="5">
        <f t="shared" ca="1" si="11"/>
        <v>1015.75613</v>
      </c>
      <c r="P24" s="5">
        <f t="shared" ca="1" si="11"/>
        <v>1012.25703</v>
      </c>
      <c r="Q24" s="5">
        <f t="shared" ca="1" si="11"/>
        <v>1010.0087600000001</v>
      </c>
      <c r="R24" s="5">
        <f t="shared" ca="1" si="11"/>
        <v>1007.85742</v>
      </c>
      <c r="S24" s="5">
        <f t="shared" ca="1" si="11"/>
        <v>1017.29</v>
      </c>
      <c r="T24" s="5">
        <f t="shared" ca="1" si="11"/>
        <v>1010.23572</v>
      </c>
      <c r="U24" s="5">
        <f t="shared" ca="1" si="11"/>
        <v>1013.16374</v>
      </c>
      <c r="W24" s="5">
        <f t="shared" ca="1" si="12"/>
        <v>1013.3182880000001</v>
      </c>
      <c r="Y24" s="5">
        <f ca="1">Total!E24</f>
        <v>1005.95063</v>
      </c>
      <c r="AB24" s="5">
        <f t="shared" ca="1" si="1"/>
        <v>9.1061228322904687E-3</v>
      </c>
      <c r="AC24" s="5">
        <f t="shared" ca="1" si="2"/>
        <v>9.5367105640163825E-3</v>
      </c>
      <c r="AD24" s="5">
        <f t="shared" ca="1" si="3"/>
        <v>9.9492158974044294E-3</v>
      </c>
      <c r="AE24" s="5">
        <f t="shared" ca="1" si="4"/>
        <v>9.7474962563520017E-3</v>
      </c>
      <c r="AF24" s="5">
        <f t="shared" ca="1" si="5"/>
        <v>6.2690949356032904E-3</v>
      </c>
      <c r="AG24" s="5">
        <f t="shared" ca="1" si="6"/>
        <v>4.0341244182132531E-3</v>
      </c>
      <c r="AH24" s="5">
        <f t="shared" ca="1" si="7"/>
        <v>1.8955105182448177E-3</v>
      </c>
      <c r="AI24" s="5">
        <f t="shared" ca="1" si="8"/>
        <v>1.1272292756553984E-2</v>
      </c>
      <c r="AJ24" s="5">
        <f t="shared" ca="1" si="9"/>
        <v>4.2597418523411708E-3</v>
      </c>
      <c r="AK24" s="5">
        <f t="shared" ca="1" si="10"/>
        <v>7.1704413565503852E-3</v>
      </c>
      <c r="AM24" s="5">
        <f t="shared" ca="1" si="13"/>
        <v>7.3240751387570191E-2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1.77372</v>
      </c>
      <c r="F25" s="5">
        <v>166</v>
      </c>
      <c r="H25" s="5" t="s">
        <v>1</v>
      </c>
      <c r="I25" s="5">
        <v>50</v>
      </c>
      <c r="J25" s="5">
        <v>1</v>
      </c>
      <c r="L25" s="5">
        <f t="shared" ca="1" si="11"/>
        <v>1003.56074</v>
      </c>
      <c r="M25" s="5">
        <f t="shared" ca="1" si="11"/>
        <v>1003.41141</v>
      </c>
      <c r="N25" s="5">
        <f t="shared" ca="1" si="11"/>
        <v>1004.50823</v>
      </c>
      <c r="O25" s="5">
        <f t="shared" ca="1" si="11"/>
        <v>998.21169999999995</v>
      </c>
      <c r="P25" s="5">
        <f t="shared" ca="1" si="11"/>
        <v>995.84631000000002</v>
      </c>
      <c r="Q25" s="5">
        <f t="shared" ca="1" si="11"/>
        <v>1004.26858</v>
      </c>
      <c r="R25" s="5">
        <f t="shared" ca="1" si="11"/>
        <v>998.57</v>
      </c>
      <c r="S25" s="5">
        <f t="shared" ca="1" si="11"/>
        <v>1006.91992</v>
      </c>
      <c r="T25" s="5">
        <f t="shared" ca="1" si="11"/>
        <v>992.95302000000004</v>
      </c>
      <c r="U25" s="5">
        <f t="shared" ca="1" si="11"/>
        <v>995.69790999999998</v>
      </c>
      <c r="W25" s="5">
        <f t="shared" ca="1" si="12"/>
        <v>1000.3947820000001</v>
      </c>
      <c r="Y25" s="5">
        <f ca="1">Total!E25</f>
        <v>990.69820000000004</v>
      </c>
      <c r="AB25" s="5">
        <f t="shared" ca="1" si="1"/>
        <v>1.2983308135615839E-2</v>
      </c>
      <c r="AC25" s="5">
        <f t="shared" ca="1" si="2"/>
        <v>1.2832576055957307E-2</v>
      </c>
      <c r="AD25" s="5">
        <f t="shared" ca="1" si="3"/>
        <v>1.3939694247955617E-2</v>
      </c>
      <c r="AE25" s="5">
        <f t="shared" ca="1" si="4"/>
        <v>7.5840452723139173E-3</v>
      </c>
      <c r="AF25" s="5">
        <f t="shared" ca="1" si="5"/>
        <v>5.1964463042326854E-3</v>
      </c>
      <c r="AG25" s="5">
        <f t="shared" ca="1" si="6"/>
        <v>1.369779414154583E-2</v>
      </c>
      <c r="AH25" s="5">
        <f t="shared" ca="1" si="7"/>
        <v>7.9457093996940821E-3</v>
      </c>
      <c r="AI25" s="5">
        <f t="shared" ca="1" si="8"/>
        <v>1.6374027933027439E-2</v>
      </c>
      <c r="AJ25" s="5">
        <f t="shared" ca="1" si="9"/>
        <v>2.2759908113288135E-3</v>
      </c>
      <c r="AK25" s="5">
        <f t="shared" ca="1" si="10"/>
        <v>5.0466529564704328E-3</v>
      </c>
      <c r="AM25" s="5">
        <f t="shared" ca="1" si="13"/>
        <v>9.7876245258141967E-2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1.7696799999999999</v>
      </c>
      <c r="F26" s="5">
        <v>165</v>
      </c>
      <c r="H26" s="5" t="s">
        <v>1</v>
      </c>
      <c r="I26" s="5">
        <v>100</v>
      </c>
      <c r="J26" s="5">
        <v>0.4</v>
      </c>
      <c r="L26" s="5">
        <f t="shared" ca="1" si="11"/>
        <v>1821.18262</v>
      </c>
      <c r="M26" s="5">
        <f t="shared" ca="1" si="11"/>
        <v>1851.5687</v>
      </c>
      <c r="N26" s="5">
        <f t="shared" ca="1" si="11"/>
        <v>1851.4363000000001</v>
      </c>
      <c r="O26" s="5">
        <f t="shared" ca="1" si="11"/>
        <v>1843.3467700000001</v>
      </c>
      <c r="P26" s="5">
        <f t="shared" ca="1" si="11"/>
        <v>1878.85231</v>
      </c>
      <c r="Q26" s="5">
        <f t="shared" ca="1" si="11"/>
        <v>1862.3534099999999</v>
      </c>
      <c r="R26" s="5">
        <f t="shared" ca="1" si="11"/>
        <v>1863.7511</v>
      </c>
      <c r="S26" s="5">
        <f t="shared" ca="1" si="11"/>
        <v>1834.6592700000001</v>
      </c>
      <c r="T26" s="5">
        <f t="shared" ca="1" si="11"/>
        <v>1853.29665</v>
      </c>
      <c r="U26" s="5">
        <f t="shared" ca="1" si="11"/>
        <v>1854.1535799999999</v>
      </c>
      <c r="W26" s="5">
        <f t="shared" ca="1" si="12"/>
        <v>1851.460071</v>
      </c>
      <c r="Y26" s="5">
        <f ca="1">Total!E26</f>
        <v>1786.3248599999999</v>
      </c>
      <c r="AB26" s="5">
        <f t="shared" ca="1" si="1"/>
        <v>1.9513673453550939E-2</v>
      </c>
      <c r="AC26" s="5">
        <f t="shared" ca="1" si="2"/>
        <v>3.6524062034270798E-2</v>
      </c>
      <c r="AD26" s="5">
        <f t="shared" ca="1" si="3"/>
        <v>3.6449943377040689E-2</v>
      </c>
      <c r="AE26" s="5">
        <f t="shared" ca="1" si="4"/>
        <v>3.1921354999224591E-2</v>
      </c>
      <c r="AF26" s="5">
        <f t="shared" ca="1" si="5"/>
        <v>5.1797661260785478E-2</v>
      </c>
      <c r="AG26" s="5">
        <f t="shared" ca="1" si="6"/>
        <v>4.2561435325935058E-2</v>
      </c>
      <c r="AH26" s="5">
        <f t="shared" ca="1" si="7"/>
        <v>4.3343874193185673E-2</v>
      </c>
      <c r="AI26" s="5">
        <f t="shared" ca="1" si="8"/>
        <v>2.7058017879233995E-2</v>
      </c>
      <c r="AJ26" s="5">
        <f t="shared" ca="1" si="9"/>
        <v>3.749138328624059E-2</v>
      </c>
      <c r="AK26" s="5">
        <f t="shared" ca="1" si="10"/>
        <v>3.797110006071347E-2</v>
      </c>
      <c r="AM26" s="5">
        <f t="shared" ca="1" si="13"/>
        <v>0.36463250587018131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1.7695000000000001</v>
      </c>
      <c r="F27" s="5">
        <v>168</v>
      </c>
      <c r="H27" s="5" t="s">
        <v>1</v>
      </c>
      <c r="I27" s="5">
        <v>100</v>
      </c>
      <c r="J27" s="5">
        <v>0.7</v>
      </c>
      <c r="L27" s="5">
        <f t="shared" ca="1" si="11"/>
        <v>1779.9333300000001</v>
      </c>
      <c r="M27" s="5">
        <f t="shared" ca="1" si="11"/>
        <v>1806.65662</v>
      </c>
      <c r="N27" s="5">
        <f t="shared" ca="1" si="11"/>
        <v>1806.4640999999999</v>
      </c>
      <c r="O27" s="5">
        <f t="shared" ca="1" si="11"/>
        <v>1790.6399100000001</v>
      </c>
      <c r="P27" s="5">
        <f t="shared" ca="1" si="11"/>
        <v>1796.43667</v>
      </c>
      <c r="Q27" s="5">
        <f t="shared" ca="1" si="11"/>
        <v>1798.9066700000001</v>
      </c>
      <c r="R27" s="5">
        <f t="shared" ca="1" si="11"/>
        <v>1809.4025300000001</v>
      </c>
      <c r="S27" s="5">
        <f t="shared" ca="1" si="11"/>
        <v>1772.4616599999999</v>
      </c>
      <c r="T27" s="5">
        <f t="shared" ca="1" si="11"/>
        <v>1770.69255</v>
      </c>
      <c r="U27" s="5">
        <f t="shared" ca="1" si="11"/>
        <v>1774.9235799999999</v>
      </c>
      <c r="W27" s="5">
        <f t="shared" ca="1" si="12"/>
        <v>1790.651762</v>
      </c>
      <c r="Y27" s="5">
        <f ca="1">Total!E27</f>
        <v>1761.02206</v>
      </c>
      <c r="AB27" s="5">
        <f t="shared" ca="1" si="1"/>
        <v>1.0738803578644585E-2</v>
      </c>
      <c r="AC27" s="5">
        <f t="shared" ca="1" si="2"/>
        <v>2.591367878719246E-2</v>
      </c>
      <c r="AD27" s="5">
        <f t="shared" ca="1" si="3"/>
        <v>2.5804355909090602E-2</v>
      </c>
      <c r="AE27" s="5">
        <f t="shared" ca="1" si="4"/>
        <v>1.6818557059983728E-2</v>
      </c>
      <c r="AF27" s="5">
        <f t="shared" ca="1" si="5"/>
        <v>2.0110259152574181E-2</v>
      </c>
      <c r="AG27" s="5">
        <f t="shared" ca="1" si="6"/>
        <v>2.151285373449556E-2</v>
      </c>
      <c r="AH27" s="5">
        <f t="shared" ca="1" si="7"/>
        <v>2.7472949430287125E-2</v>
      </c>
      <c r="AI27" s="5">
        <f t="shared" ca="1" si="8"/>
        <v>6.4960003964969794E-3</v>
      </c>
      <c r="AJ27" s="5">
        <f t="shared" ca="1" si="9"/>
        <v>5.4914076431274075E-3</v>
      </c>
      <c r="AK27" s="5">
        <f t="shared" ca="1" si="10"/>
        <v>7.8940067337940623E-3</v>
      </c>
      <c r="AM27" s="5">
        <f t="shared" ca="1" si="13"/>
        <v>0.16825287242568671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1.77308</v>
      </c>
      <c r="F28" s="5">
        <v>160</v>
      </c>
      <c r="H28" s="5" t="s">
        <v>1</v>
      </c>
      <c r="I28" s="5">
        <v>100</v>
      </c>
      <c r="J28" s="5">
        <v>1</v>
      </c>
      <c r="L28" s="5">
        <f t="shared" ca="1" si="11"/>
        <v>1754.23333</v>
      </c>
      <c r="M28" s="5">
        <f t="shared" ca="1" si="11"/>
        <v>1755.1763699999999</v>
      </c>
      <c r="N28" s="5">
        <f t="shared" ca="1" si="11"/>
        <v>1756.9066700000001</v>
      </c>
      <c r="O28" s="5">
        <f t="shared" ca="1" si="11"/>
        <v>1754.12554</v>
      </c>
      <c r="P28" s="5">
        <f t="shared" ca="1" si="11"/>
        <v>1757.2501999999999</v>
      </c>
      <c r="Q28" s="5">
        <f t="shared" ca="1" si="11"/>
        <v>1755.58071</v>
      </c>
      <c r="R28" s="5">
        <f t="shared" ca="1" si="11"/>
        <v>1758.1661200000001</v>
      </c>
      <c r="S28" s="5">
        <f t="shared" ca="1" si="11"/>
        <v>1761.3166699999999</v>
      </c>
      <c r="T28" s="5">
        <f t="shared" ca="1" si="11"/>
        <v>1758.1251999999999</v>
      </c>
      <c r="U28" s="5">
        <f t="shared" ca="1" si="11"/>
        <v>1767.0583200000001</v>
      </c>
      <c r="W28" s="5">
        <f t="shared" ca="1" si="12"/>
        <v>1757.793913</v>
      </c>
      <c r="Y28" s="5">
        <f ca="1">Total!E28</f>
        <v>1753.1198199999999</v>
      </c>
      <c r="AB28" s="5">
        <f t="shared" ca="1" si="1"/>
        <v>6.3515909597105179E-4</v>
      </c>
      <c r="AC28" s="5">
        <f t="shared" ca="1" si="2"/>
        <v>1.1730801149689904E-3</v>
      </c>
      <c r="AD28" s="5">
        <f t="shared" ca="1" si="3"/>
        <v>2.1600634233889309E-3</v>
      </c>
      <c r="AE28" s="5">
        <f t="shared" ca="1" si="4"/>
        <v>5.7367442232220632E-4</v>
      </c>
      <c r="AF28" s="5">
        <f t="shared" ca="1" si="5"/>
        <v>2.3560169435538408E-3</v>
      </c>
      <c r="AG28" s="5">
        <f t="shared" ca="1" si="6"/>
        <v>1.4037203686397563E-3</v>
      </c>
      <c r="AH28" s="5">
        <f t="shared" ca="1" si="7"/>
        <v>2.8784683981270612E-3</v>
      </c>
      <c r="AI28" s="5">
        <f t="shared" ca="1" si="8"/>
        <v>4.6755788774323712E-3</v>
      </c>
      <c r="AJ28" s="5">
        <f t="shared" ca="1" si="9"/>
        <v>2.8551271526894603E-3</v>
      </c>
      <c r="AK28" s="5">
        <f t="shared" ca="1" si="10"/>
        <v>7.9506830286136428E-3</v>
      </c>
      <c r="AM28" s="5">
        <f t="shared" ca="1" si="13"/>
        <v>2.666157182570731E-2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1.7727299999999999</v>
      </c>
      <c r="F29" s="5">
        <v>170</v>
      </c>
      <c r="H29" s="5" t="s">
        <v>0</v>
      </c>
      <c r="I29" s="5">
        <v>25</v>
      </c>
      <c r="J29" s="5">
        <v>0.4</v>
      </c>
      <c r="L29" s="5">
        <f t="shared" ca="1" si="11"/>
        <v>42.424349999999997</v>
      </c>
      <c r="M29" s="5">
        <f t="shared" ca="1" si="11"/>
        <v>41.318849999999998</v>
      </c>
      <c r="N29" s="5">
        <f t="shared" ca="1" si="11"/>
        <v>41.449359999999999</v>
      </c>
      <c r="O29" s="5">
        <f t="shared" ca="1" si="11"/>
        <v>41.318849999999998</v>
      </c>
      <c r="P29" s="5">
        <f t="shared" ca="1" si="11"/>
        <v>42.424349999999997</v>
      </c>
      <c r="Q29" s="5">
        <f t="shared" ca="1" si="11"/>
        <v>41.318849999999998</v>
      </c>
      <c r="R29" s="5">
        <f t="shared" ca="1" si="11"/>
        <v>42.003050000000002</v>
      </c>
      <c r="S29" s="5">
        <f t="shared" ca="1" si="11"/>
        <v>41.318849999999998</v>
      </c>
      <c r="T29" s="5">
        <f t="shared" ca="1" si="11"/>
        <v>42.424349999999997</v>
      </c>
      <c r="U29" s="5">
        <f t="shared" ca="1" si="11"/>
        <v>41.318849999999998</v>
      </c>
      <c r="W29" s="5">
        <f t="shared" ca="1" si="12"/>
        <v>41.731971000000001</v>
      </c>
      <c r="Y29" s="5">
        <f ca="1">Total!E29</f>
        <v>40.897550000000003</v>
      </c>
      <c r="AB29" s="5">
        <f t="shared" ca="1" si="1"/>
        <v>3.7332309637129711E-2</v>
      </c>
      <c r="AC29" s="5">
        <f t="shared" ca="1" si="2"/>
        <v>1.0301350569899543E-2</v>
      </c>
      <c r="AD29" s="5">
        <f t="shared" ca="1" si="3"/>
        <v>1.349249527172156E-2</v>
      </c>
      <c r="AE29" s="5">
        <f t="shared" ca="1" si="4"/>
        <v>1.0301350569899543E-2</v>
      </c>
      <c r="AF29" s="5">
        <f t="shared" ca="1" si="5"/>
        <v>3.7332309637129711E-2</v>
      </c>
      <c r="AG29" s="5">
        <f t="shared" ca="1" si="6"/>
        <v>1.0301350569899543E-2</v>
      </c>
      <c r="AH29" s="5">
        <f t="shared" ca="1" si="7"/>
        <v>2.703095906723017E-2</v>
      </c>
      <c r="AI29" s="5">
        <f t="shared" ca="1" si="8"/>
        <v>1.0301350569899543E-2</v>
      </c>
      <c r="AJ29" s="5">
        <f t="shared" ca="1" si="9"/>
        <v>3.7332309637129711E-2</v>
      </c>
      <c r="AK29" s="5">
        <f t="shared" ca="1" si="10"/>
        <v>1.0301350569899543E-2</v>
      </c>
      <c r="AM29" s="5">
        <f t="shared" ca="1" si="13"/>
        <v>0.20402713609983858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1.7696099999999999</v>
      </c>
      <c r="F30" s="5">
        <v>159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1"/>
        <v>28.65436</v>
      </c>
      <c r="N30" s="5">
        <f t="shared" ca="1" si="11"/>
        <v>28.65436</v>
      </c>
      <c r="O30" s="5">
        <f t="shared" ca="1" si="11"/>
        <v>28.65436</v>
      </c>
      <c r="P30" s="5">
        <f t="shared" ca="1" si="11"/>
        <v>28.65436</v>
      </c>
      <c r="Q30" s="5">
        <f t="shared" ca="1" si="11"/>
        <v>28.65436</v>
      </c>
      <c r="R30" s="5">
        <f t="shared" ca="1" si="11"/>
        <v>28.65436</v>
      </c>
      <c r="S30" s="5">
        <f t="shared" ca="1" si="11"/>
        <v>28.65436</v>
      </c>
      <c r="T30" s="5">
        <f t="shared" ca="1" si="11"/>
        <v>28.65436</v>
      </c>
      <c r="U30" s="5">
        <f t="shared" ca="1" si="11"/>
        <v>28.65436</v>
      </c>
      <c r="W30" s="5">
        <f t="shared" ca="1" si="12"/>
        <v>28.654360000000004</v>
      </c>
      <c r="Y30" s="5">
        <f ca="1">Total!E30</f>
        <v>28.65436</v>
      </c>
      <c r="AB30" s="5">
        <f t="shared" ca="1" si="1"/>
        <v>0</v>
      </c>
      <c r="AC30" s="5">
        <f t="shared" ca="1" si="2"/>
        <v>0</v>
      </c>
      <c r="AD30" s="5">
        <f t="shared" ca="1" si="3"/>
        <v>0</v>
      </c>
      <c r="AE30" s="5">
        <f t="shared" ca="1" si="4"/>
        <v>0</v>
      </c>
      <c r="AF30" s="5">
        <f t="shared" ca="1" si="5"/>
        <v>0</v>
      </c>
      <c r="AG30" s="5">
        <f t="shared" ca="1" si="6"/>
        <v>0</v>
      </c>
      <c r="AH30" s="5">
        <f t="shared" ca="1" si="7"/>
        <v>0</v>
      </c>
      <c r="AI30" s="5">
        <f t="shared" ca="1" si="8"/>
        <v>0</v>
      </c>
      <c r="AJ30" s="5">
        <f t="shared" ca="1" si="9"/>
        <v>0</v>
      </c>
      <c r="AK30" s="5">
        <f t="shared" ca="1" si="10"/>
        <v>0</v>
      </c>
      <c r="AM30" s="5">
        <f t="shared" ca="1" si="13"/>
        <v>0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1.2092400000000001</v>
      </c>
      <c r="F31" s="5">
        <v>34</v>
      </c>
      <c r="H31" s="5" t="s">
        <v>0</v>
      </c>
      <c r="I31" s="5">
        <v>25</v>
      </c>
      <c r="J31" s="5">
        <v>1</v>
      </c>
      <c r="L31" s="5">
        <f t="shared" ca="1" si="11"/>
        <v>28.592030000000001</v>
      </c>
      <c r="M31" s="5">
        <f t="shared" ca="1" si="11"/>
        <v>28.592030000000001</v>
      </c>
      <c r="N31" s="5">
        <f t="shared" ca="1" si="11"/>
        <v>28.587009999999999</v>
      </c>
      <c r="O31" s="5">
        <f t="shared" ca="1" si="11"/>
        <v>28.592030000000001</v>
      </c>
      <c r="P31" s="5">
        <f t="shared" ca="1" si="11"/>
        <v>28.504100000000001</v>
      </c>
      <c r="Q31" s="5">
        <f t="shared" ca="1" si="11"/>
        <v>28.546240000000001</v>
      </c>
      <c r="R31" s="5">
        <f t="shared" ca="1" si="11"/>
        <v>28.546240000000001</v>
      </c>
      <c r="S31" s="5">
        <f t="shared" ca="1" si="11"/>
        <v>28.592030000000001</v>
      </c>
      <c r="T31" s="5">
        <f t="shared" ca="1" si="11"/>
        <v>28.504100000000001</v>
      </c>
      <c r="U31" s="5">
        <f t="shared" ca="1" si="11"/>
        <v>28.546240000000001</v>
      </c>
      <c r="W31" s="5">
        <f t="shared" ca="1" si="12"/>
        <v>28.560205000000003</v>
      </c>
      <c r="Y31" s="5">
        <f ca="1">Total!E31</f>
        <v>28.504100000000001</v>
      </c>
      <c r="AB31" s="5">
        <f t="shared" ca="1" si="1"/>
        <v>3.0848193768615766E-3</v>
      </c>
      <c r="AC31" s="5">
        <f t="shared" ca="1" si="2"/>
        <v>3.0848193768615766E-3</v>
      </c>
      <c r="AD31" s="5">
        <f t="shared" ca="1" si="3"/>
        <v>2.9087043618285882E-3</v>
      </c>
      <c r="AE31" s="5">
        <f t="shared" ca="1" si="4"/>
        <v>3.0848193768615766E-3</v>
      </c>
      <c r="AF31" s="5">
        <f t="shared" ca="1" si="5"/>
        <v>0</v>
      </c>
      <c r="AG31" s="5">
        <f t="shared" ca="1" si="6"/>
        <v>1.4783838114516804E-3</v>
      </c>
      <c r="AH31" s="5">
        <f t="shared" ca="1" si="7"/>
        <v>1.4783838114516804E-3</v>
      </c>
      <c r="AI31" s="5">
        <f t="shared" ca="1" si="8"/>
        <v>3.0848193768615766E-3</v>
      </c>
      <c r="AJ31" s="5">
        <f t="shared" ca="1" si="9"/>
        <v>0</v>
      </c>
      <c r="AK31" s="5">
        <f t="shared" ca="1" si="10"/>
        <v>1.4783838114516804E-3</v>
      </c>
      <c r="AM31" s="5">
        <f t="shared" ca="1" si="13"/>
        <v>1.9683133303629932E-2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1.20394</v>
      </c>
      <c r="F32" s="5">
        <v>32</v>
      </c>
      <c r="H32" s="5" t="s">
        <v>0</v>
      </c>
      <c r="I32" s="5">
        <v>50</v>
      </c>
      <c r="J32" s="5">
        <v>0.4</v>
      </c>
      <c r="L32" s="5">
        <f t="shared" ca="1" si="11"/>
        <v>59.034439999999996</v>
      </c>
      <c r="M32" s="5">
        <f t="shared" ca="1" si="11"/>
        <v>56.901339999999998</v>
      </c>
      <c r="N32" s="5">
        <f t="shared" ca="1" si="11"/>
        <v>56.901339999999998</v>
      </c>
      <c r="O32" s="5">
        <f t="shared" ca="1" si="11"/>
        <v>56.881340000000002</v>
      </c>
      <c r="P32" s="5">
        <f t="shared" ca="1" si="11"/>
        <v>56.901339999999998</v>
      </c>
      <c r="Q32" s="5">
        <f t="shared" ca="1" si="11"/>
        <v>57.026339999999998</v>
      </c>
      <c r="R32" s="5">
        <f t="shared" ca="1" si="11"/>
        <v>59.087739999999997</v>
      </c>
      <c r="S32" s="5">
        <f t="shared" ca="1" si="11"/>
        <v>56.591340000000002</v>
      </c>
      <c r="T32" s="5">
        <f t="shared" ca="1" si="11"/>
        <v>56.901339999999998</v>
      </c>
      <c r="U32" s="5">
        <f t="shared" ca="1" si="11"/>
        <v>56.771340000000002</v>
      </c>
      <c r="W32" s="5">
        <f t="shared" ca="1" si="12"/>
        <v>57.299789999999994</v>
      </c>
      <c r="Y32" s="5">
        <f ca="1">Total!E32</f>
        <v>56.511339999999997</v>
      </c>
      <c r="AB32" s="5">
        <f t="shared" ca="1" si="1"/>
        <v>4.4647676023962614E-2</v>
      </c>
      <c r="AC32" s="5">
        <f t="shared" ca="1" si="2"/>
        <v>6.901269727456482E-3</v>
      </c>
      <c r="AD32" s="5">
        <f t="shared" ca="1" si="3"/>
        <v>6.901269727456482E-3</v>
      </c>
      <c r="AE32" s="5">
        <f t="shared" ca="1" si="4"/>
        <v>6.5473584593818612E-3</v>
      </c>
      <c r="AF32" s="5">
        <f t="shared" ca="1" si="5"/>
        <v>6.901269727456482E-3</v>
      </c>
      <c r="AG32" s="5">
        <f t="shared" ca="1" si="6"/>
        <v>9.1132151529232999E-3</v>
      </c>
      <c r="AH32" s="5">
        <f t="shared" ca="1" si="7"/>
        <v>4.559084955338167E-2</v>
      </c>
      <c r="AI32" s="5">
        <f t="shared" ca="1" si="8"/>
        <v>1.4156450722988591E-3</v>
      </c>
      <c r="AJ32" s="5">
        <f t="shared" ca="1" si="9"/>
        <v>6.901269727456482E-3</v>
      </c>
      <c r="AK32" s="5">
        <f t="shared" ca="1" si="10"/>
        <v>4.6008464849710716E-3</v>
      </c>
      <c r="AM32" s="5">
        <f t="shared" ca="1" si="13"/>
        <v>0.13952066965674528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1.21316</v>
      </c>
      <c r="F33" s="5">
        <v>35</v>
      </c>
      <c r="H33" s="5" t="s">
        <v>0</v>
      </c>
      <c r="I33" s="5">
        <v>50</v>
      </c>
      <c r="J33" s="5">
        <v>0.7</v>
      </c>
      <c r="L33" s="5">
        <f t="shared" ca="1" si="11"/>
        <v>53.585599999999999</v>
      </c>
      <c r="M33" s="5">
        <f t="shared" ca="1" si="11"/>
        <v>53.662660000000002</v>
      </c>
      <c r="N33" s="5">
        <f t="shared" ca="1" si="11"/>
        <v>53.496079999999999</v>
      </c>
      <c r="O33" s="5">
        <f t="shared" ca="1" si="11"/>
        <v>53.656669999999998</v>
      </c>
      <c r="P33" s="5">
        <f t="shared" ca="1" si="11"/>
        <v>53.444980000000001</v>
      </c>
      <c r="Q33" s="5">
        <f t="shared" ca="1" si="11"/>
        <v>53.564979999999998</v>
      </c>
      <c r="R33" s="5">
        <f t="shared" ca="1" si="11"/>
        <v>53.675519999999999</v>
      </c>
      <c r="S33" s="5">
        <f t="shared" ca="1" si="11"/>
        <v>53.215069999999997</v>
      </c>
      <c r="T33" s="5">
        <f t="shared" ca="1" si="11"/>
        <v>53.519390000000001</v>
      </c>
      <c r="U33" s="5">
        <f t="shared" ca="1" si="11"/>
        <v>53.665390000000002</v>
      </c>
      <c r="W33" s="5">
        <f t="shared" ca="1" si="12"/>
        <v>53.548633999999993</v>
      </c>
      <c r="Y33" s="5">
        <f ca="1">Total!E33</f>
        <v>53.115070000000003</v>
      </c>
      <c r="AB33" s="5">
        <f t="shared" ca="1" si="1"/>
        <v>8.8586911398214584E-3</v>
      </c>
      <c r="AC33" s="5">
        <f t="shared" ca="1" si="2"/>
        <v>1.0309503498724552E-2</v>
      </c>
      <c r="AD33" s="5">
        <f t="shared" ca="1" si="3"/>
        <v>7.1732937563670027E-3</v>
      </c>
      <c r="AE33" s="5">
        <f t="shared" ca="1" si="4"/>
        <v>1.0196729478093419E-2</v>
      </c>
      <c r="AF33" s="5">
        <f t="shared" ca="1" si="5"/>
        <v>6.2112315770269742E-3</v>
      </c>
      <c r="AG33" s="5">
        <f t="shared" ca="1" si="6"/>
        <v>8.4704773993519271E-3</v>
      </c>
      <c r="AH33" s="5">
        <f t="shared" ca="1" si="7"/>
        <v>1.0551619342683647E-2</v>
      </c>
      <c r="AI33" s="5">
        <f t="shared" ca="1" si="8"/>
        <v>1.8827048519373939E-3</v>
      </c>
      <c r="AJ33" s="5">
        <f t="shared" ca="1" si="9"/>
        <v>7.6121522573536745E-3</v>
      </c>
      <c r="AK33" s="5">
        <f t="shared" ca="1" si="10"/>
        <v>1.036090134118244E-2</v>
      </c>
      <c r="AM33" s="5">
        <f t="shared" ca="1" si="13"/>
        <v>8.1627304642542489E-2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1.2025600000000001</v>
      </c>
      <c r="F34" s="5">
        <v>34</v>
      </c>
      <c r="H34" s="5" t="s">
        <v>0</v>
      </c>
      <c r="I34" s="5">
        <v>50</v>
      </c>
      <c r="J34" s="5">
        <v>1</v>
      </c>
      <c r="L34" s="5">
        <f t="shared" ca="1" si="11"/>
        <v>53.425519999999999</v>
      </c>
      <c r="M34" s="5">
        <f t="shared" ca="1" si="11"/>
        <v>53.412410000000001</v>
      </c>
      <c r="N34" s="5">
        <f t="shared" ca="1" si="11"/>
        <v>53.097490000000001</v>
      </c>
      <c r="O34" s="5">
        <f t="shared" ca="1" si="11"/>
        <v>53.152500000000003</v>
      </c>
      <c r="P34" s="5">
        <f t="shared" ca="1" si="11"/>
        <v>53.187570000000001</v>
      </c>
      <c r="Q34" s="5">
        <f t="shared" ca="1" si="11"/>
        <v>53.347569999999997</v>
      </c>
      <c r="R34" s="5">
        <f t="shared" ca="1" si="11"/>
        <v>53.081949999999999</v>
      </c>
      <c r="S34" s="5">
        <f t="shared" ca="1" si="11"/>
        <v>53.07544</v>
      </c>
      <c r="T34" s="5">
        <f t="shared" ca="1" si="11"/>
        <v>53.257489999999997</v>
      </c>
      <c r="U34" s="5">
        <f t="shared" ca="1" si="11"/>
        <v>53.017099999999999</v>
      </c>
      <c r="W34" s="5">
        <f t="shared" ca="1" si="12"/>
        <v>53.205504000000005</v>
      </c>
      <c r="Y34" s="5">
        <f ca="1">Total!E34</f>
        <v>53.003740000000001</v>
      </c>
      <c r="AB34" s="5">
        <f t="shared" ca="1" si="1"/>
        <v>7.9575516746553786E-3</v>
      </c>
      <c r="AC34" s="5">
        <f t="shared" ca="1" si="2"/>
        <v>7.7102106379663164E-3</v>
      </c>
      <c r="AD34" s="5">
        <f t="shared" ca="1" si="3"/>
        <v>1.7687431113351624E-3</v>
      </c>
      <c r="AE34" s="5">
        <f t="shared" ca="1" si="4"/>
        <v>2.8065944025837211E-3</v>
      </c>
      <c r="AF34" s="5">
        <f t="shared" ca="1" si="5"/>
        <v>3.4682458256719314E-3</v>
      </c>
      <c r="AG34" s="5">
        <f t="shared" ca="1" si="6"/>
        <v>6.4869007356838778E-3</v>
      </c>
      <c r="AH34" s="5">
        <f t="shared" ca="1" si="7"/>
        <v>1.4755562532002187E-3</v>
      </c>
      <c r="AI34" s="5">
        <f t="shared" ca="1" si="8"/>
        <v>1.3527347315491298E-3</v>
      </c>
      <c r="AJ34" s="5">
        <f t="shared" ca="1" si="9"/>
        <v>4.7873980213471081E-3</v>
      </c>
      <c r="AK34" s="5">
        <f t="shared" ca="1" si="10"/>
        <v>2.5205768498597845E-4</v>
      </c>
      <c r="AM34" s="5">
        <f t="shared" ca="1" si="13"/>
        <v>3.8065993078978823E-2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1.21391</v>
      </c>
      <c r="F35" s="5">
        <v>35</v>
      </c>
      <c r="H35" s="5" t="s">
        <v>0</v>
      </c>
      <c r="I35" s="5">
        <v>100</v>
      </c>
      <c r="J35" s="5">
        <v>0.4</v>
      </c>
      <c r="L35" s="5">
        <f t="shared" ca="1" si="11"/>
        <v>148.12812</v>
      </c>
      <c r="M35" s="5">
        <f t="shared" ca="1" si="11"/>
        <v>148.21514999999999</v>
      </c>
      <c r="N35" s="5">
        <f t="shared" ca="1" si="11"/>
        <v>148.25004999999999</v>
      </c>
      <c r="O35" s="5">
        <f t="shared" ca="1" si="11"/>
        <v>148.19699</v>
      </c>
      <c r="P35" s="5">
        <f t="shared" ca="1" si="11"/>
        <v>148.18812</v>
      </c>
      <c r="Q35" s="5">
        <f t="shared" ca="1" si="11"/>
        <v>148.05653000000001</v>
      </c>
      <c r="R35" s="5">
        <f t="shared" ca="1" si="11"/>
        <v>148.23320000000001</v>
      </c>
      <c r="S35" s="5">
        <f t="shared" ca="1" si="11"/>
        <v>148.08672000000001</v>
      </c>
      <c r="T35" s="5">
        <f t="shared" ca="1" si="11"/>
        <v>148.1258</v>
      </c>
      <c r="U35" s="5">
        <f t="shared" ca="1" si="11"/>
        <v>148.2295</v>
      </c>
      <c r="W35" s="5">
        <f t="shared" ca="1" si="12"/>
        <v>148.171018</v>
      </c>
      <c r="Y35" s="5">
        <f ca="1">Total!E35</f>
        <v>147.96312</v>
      </c>
      <c r="AB35" s="5">
        <f t="shared" ca="1" si="1"/>
        <v>1.1151427463816121E-3</v>
      </c>
      <c r="AC35" s="5">
        <f t="shared" ca="1" si="2"/>
        <v>1.7033298567912779E-3</v>
      </c>
      <c r="AD35" s="5">
        <f t="shared" ca="1" si="3"/>
        <v>1.9391994437531724E-3</v>
      </c>
      <c r="AE35" s="5">
        <f t="shared" ca="1" si="4"/>
        <v>1.5805965702804592E-3</v>
      </c>
      <c r="AF35" s="5">
        <f t="shared" ca="1" si="5"/>
        <v>1.5206491996113242E-3</v>
      </c>
      <c r="AG35" s="5">
        <f t="shared" ca="1" si="6"/>
        <v>6.3130596326980515E-4</v>
      </c>
      <c r="AH35" s="5">
        <f t="shared" ca="1" si="7"/>
        <v>1.8253197148046566E-3</v>
      </c>
      <c r="AI35" s="5">
        <f t="shared" ca="1" si="8"/>
        <v>8.3534329365324528E-4</v>
      </c>
      <c r="AJ35" s="5">
        <f t="shared" ca="1" si="9"/>
        <v>1.0994631635234146E-3</v>
      </c>
      <c r="AK35" s="5">
        <f t="shared" ca="1" si="10"/>
        <v>1.8003134835220969E-3</v>
      </c>
      <c r="AM35" s="5">
        <f t="shared" ca="1" si="13"/>
        <v>1.4050663435591063E-2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1.2166600000000001</v>
      </c>
      <c r="F36" s="5">
        <v>34</v>
      </c>
      <c r="H36" s="5" t="s">
        <v>0</v>
      </c>
      <c r="I36" s="5">
        <v>100</v>
      </c>
      <c r="J36" s="5">
        <v>0.7</v>
      </c>
      <c r="L36" s="5">
        <f t="shared" ca="1" si="11"/>
        <v>108.31814</v>
      </c>
      <c r="M36" s="5">
        <f t="shared" ca="1" si="11"/>
        <v>107.877</v>
      </c>
      <c r="N36" s="5">
        <f t="shared" ca="1" si="11"/>
        <v>108.07431</v>
      </c>
      <c r="O36" s="5">
        <f t="shared" ca="1" si="11"/>
        <v>107.82170000000001</v>
      </c>
      <c r="P36" s="5">
        <f t="shared" ca="1" si="11"/>
        <v>108.05737000000001</v>
      </c>
      <c r="Q36" s="5">
        <f t="shared" ca="1" si="11"/>
        <v>107.74253</v>
      </c>
      <c r="R36" s="5">
        <f t="shared" ca="1" si="11"/>
        <v>108.09918999999999</v>
      </c>
      <c r="S36" s="5">
        <f t="shared" ca="1" si="11"/>
        <v>107.82637</v>
      </c>
      <c r="T36" s="5">
        <f t="shared" ca="1" si="11"/>
        <v>107.76137</v>
      </c>
      <c r="U36" s="5">
        <f t="shared" ca="1" si="11"/>
        <v>107.7167</v>
      </c>
      <c r="W36" s="5">
        <f t="shared" ca="1" si="12"/>
        <v>107.929468</v>
      </c>
      <c r="Y36" s="5">
        <f ca="1">Total!E36</f>
        <v>107.28163000000001</v>
      </c>
      <c r="AB36" s="5">
        <f t="shared" ca="1" si="1"/>
        <v>9.661579526709211E-3</v>
      </c>
      <c r="AC36" s="5">
        <f t="shared" ca="1" si="2"/>
        <v>5.549598752367841E-3</v>
      </c>
      <c r="AD36" s="5">
        <f t="shared" ca="1" si="3"/>
        <v>7.3887766246652853E-3</v>
      </c>
      <c r="AE36" s="5">
        <f t="shared" ca="1" si="4"/>
        <v>5.0341330570760345E-3</v>
      </c>
      <c r="AF36" s="5">
        <f t="shared" ca="1" si="5"/>
        <v>7.2308744749683511E-3</v>
      </c>
      <c r="AG36" s="5">
        <f t="shared" ca="1" si="6"/>
        <v>4.2961688781200952E-3</v>
      </c>
      <c r="AH36" s="5">
        <f t="shared" ca="1" si="7"/>
        <v>7.6206895812450468E-3</v>
      </c>
      <c r="AI36" s="5">
        <f t="shared" ca="1" si="8"/>
        <v>5.0776633427362184E-3</v>
      </c>
      <c r="AJ36" s="5">
        <f t="shared" ca="1" si="9"/>
        <v>4.4717814224112034E-3</v>
      </c>
      <c r="AK36" s="5">
        <f t="shared" ca="1" si="10"/>
        <v>4.0554007242432468E-3</v>
      </c>
      <c r="AM36" s="5">
        <f t="shared" ca="1" si="13"/>
        <v>6.0386666384542535E-2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1.20302</v>
      </c>
      <c r="F37" s="5">
        <v>31</v>
      </c>
      <c r="H37" s="5" t="s">
        <v>0</v>
      </c>
      <c r="I37" s="5">
        <v>100</v>
      </c>
      <c r="J37" s="5">
        <v>1</v>
      </c>
      <c r="L37" s="5">
        <f t="shared" ca="1" si="11"/>
        <v>104.05753</v>
      </c>
      <c r="M37" s="5">
        <f t="shared" ca="1" si="11"/>
        <v>103.76163</v>
      </c>
      <c r="N37" s="5">
        <f t="shared" ca="1" si="11"/>
        <v>103.66996</v>
      </c>
      <c r="O37" s="5">
        <f t="shared" ca="1" si="11"/>
        <v>103.86329000000001</v>
      </c>
      <c r="P37" s="5">
        <f t="shared" ca="1" si="11"/>
        <v>104.07559000000001</v>
      </c>
      <c r="Q37" s="5">
        <f t="shared" ca="1" si="11"/>
        <v>103.28579999999999</v>
      </c>
      <c r="R37" s="5">
        <f t="shared" ca="1" si="11"/>
        <v>103.73923000000001</v>
      </c>
      <c r="S37" s="5">
        <f t="shared" ca="1" si="11"/>
        <v>103.96359</v>
      </c>
      <c r="T37" s="5">
        <f t="shared" ca="1" si="11"/>
        <v>103.96413</v>
      </c>
      <c r="U37" s="5">
        <f t="shared" ca="1" si="11"/>
        <v>104.0808</v>
      </c>
      <c r="W37" s="5">
        <f t="shared" ca="1" si="12"/>
        <v>103.846155</v>
      </c>
      <c r="Y37" s="5">
        <f ca="1">Total!E37</f>
        <v>103.21266</v>
      </c>
      <c r="AB37" s="5">
        <f t="shared" ca="1" si="1"/>
        <v>8.185720627682691E-3</v>
      </c>
      <c r="AC37" s="5">
        <f t="shared" ca="1" si="2"/>
        <v>5.3188242605121993E-3</v>
      </c>
      <c r="AD37" s="5">
        <f t="shared" ca="1" si="3"/>
        <v>4.4306580219907483E-3</v>
      </c>
      <c r="AE37" s="5">
        <f t="shared" ca="1" si="4"/>
        <v>6.3037809509027933E-3</v>
      </c>
      <c r="AF37" s="5">
        <f t="shared" ca="1" si="5"/>
        <v>8.3606991622927427E-3</v>
      </c>
      <c r="AG37" s="5">
        <f t="shared" ca="1" si="6"/>
        <v>7.0863399896868367E-4</v>
      </c>
      <c r="AH37" s="5">
        <f t="shared" ca="1" si="7"/>
        <v>5.101796620685938E-3</v>
      </c>
      <c r="AI37" s="5">
        <f t="shared" ca="1" si="8"/>
        <v>7.275560963160883E-3</v>
      </c>
      <c r="AJ37" s="5">
        <f t="shared" ca="1" si="9"/>
        <v>7.2807928794781339E-3</v>
      </c>
      <c r="AK37" s="5">
        <f t="shared" ca="1" si="10"/>
        <v>8.4111774660201259E-3</v>
      </c>
      <c r="AM37" s="5">
        <f t="shared" ca="1" si="13"/>
        <v>6.1377644951694947E-2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1.2017</v>
      </c>
      <c r="F38" s="5">
        <v>34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1.2069399999999999</v>
      </c>
      <c r="F39" s="5">
        <v>34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1.21496</v>
      </c>
      <c r="F40" s="5">
        <v>33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2.8980899999999998</v>
      </c>
      <c r="F41" s="5">
        <v>107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2.9070900000000002</v>
      </c>
      <c r="F42" s="5">
        <v>113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2.90395</v>
      </c>
      <c r="F43" s="5">
        <v>109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2.8990999999999998</v>
      </c>
      <c r="F44" s="5">
        <v>107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2.8964099999999999</v>
      </c>
      <c r="F45" s="5">
        <v>112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2.89398</v>
      </c>
      <c r="F46" s="5">
        <v>109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2.89724</v>
      </c>
      <c r="F47" s="5">
        <v>109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2.9069600000000002</v>
      </c>
      <c r="F48" s="5">
        <v>111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2.88957</v>
      </c>
      <c r="F49" s="5">
        <v>111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2.8949500000000001</v>
      </c>
      <c r="F50" s="5">
        <v>109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180.10135</v>
      </c>
      <c r="E51" s="5">
        <v>4.5934999999999997</v>
      </c>
      <c r="F51" s="5">
        <v>172</v>
      </c>
    </row>
    <row r="52" spans="1:6" x14ac:dyDescent="0.25">
      <c r="A52" s="5" t="s">
        <v>27</v>
      </c>
      <c r="B52" s="5">
        <v>50</v>
      </c>
      <c r="C52" s="5">
        <v>1</v>
      </c>
      <c r="D52" s="5">
        <v>181.9</v>
      </c>
      <c r="E52" s="5">
        <v>4.59612</v>
      </c>
      <c r="F52" s="5">
        <v>173</v>
      </c>
    </row>
    <row r="53" spans="1:6" x14ac:dyDescent="0.25">
      <c r="A53" s="5" t="s">
        <v>27</v>
      </c>
      <c r="B53" s="5">
        <v>50</v>
      </c>
      <c r="C53" s="5">
        <v>1</v>
      </c>
      <c r="D53" s="5">
        <v>179.94333</v>
      </c>
      <c r="E53" s="5">
        <v>4.6093599999999997</v>
      </c>
      <c r="F53" s="5">
        <v>174</v>
      </c>
    </row>
    <row r="54" spans="1:6" x14ac:dyDescent="0.25">
      <c r="A54" s="5" t="s">
        <v>27</v>
      </c>
      <c r="B54" s="5">
        <v>50</v>
      </c>
      <c r="C54" s="5">
        <v>1</v>
      </c>
      <c r="D54" s="5">
        <v>181.92667</v>
      </c>
      <c r="E54" s="5">
        <v>4.6053600000000001</v>
      </c>
      <c r="F54" s="5">
        <v>173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182.34583000000001</v>
      </c>
      <c r="E55" s="5">
        <v>4.5921500000000002</v>
      </c>
      <c r="F55" s="5">
        <v>173</v>
      </c>
    </row>
    <row r="56" spans="1:6" x14ac:dyDescent="0.25">
      <c r="A56" s="5" t="s">
        <v>27</v>
      </c>
      <c r="B56" s="5">
        <v>50</v>
      </c>
      <c r="C56" s="5">
        <v>1</v>
      </c>
      <c r="D56" s="5">
        <v>181.91333</v>
      </c>
      <c r="E56" s="5">
        <v>4.5951899999999997</v>
      </c>
      <c r="F56" s="5">
        <v>173</v>
      </c>
    </row>
    <row r="57" spans="1:6" x14ac:dyDescent="0.25">
      <c r="A57" s="5" t="s">
        <v>27</v>
      </c>
      <c r="B57" s="5">
        <v>50</v>
      </c>
      <c r="C57" s="5">
        <v>1</v>
      </c>
      <c r="D57" s="5">
        <v>179.94333</v>
      </c>
      <c r="E57" s="5">
        <v>4.6024000000000003</v>
      </c>
      <c r="F57" s="5">
        <v>171</v>
      </c>
    </row>
    <row r="58" spans="1:6" x14ac:dyDescent="0.25">
      <c r="A58" s="5" t="s">
        <v>27</v>
      </c>
      <c r="B58" s="5">
        <v>50</v>
      </c>
      <c r="C58" s="5">
        <v>1</v>
      </c>
      <c r="D58" s="5">
        <v>179.67332999999999</v>
      </c>
      <c r="E58" s="5">
        <v>4.6017900000000003</v>
      </c>
      <c r="F58" s="5">
        <v>173</v>
      </c>
    </row>
    <row r="59" spans="1:6" x14ac:dyDescent="0.25">
      <c r="A59" s="5" t="s">
        <v>27</v>
      </c>
      <c r="B59" s="5">
        <v>50</v>
      </c>
      <c r="C59" s="5">
        <v>1</v>
      </c>
      <c r="D59" s="5">
        <v>181.15</v>
      </c>
      <c r="E59" s="5">
        <v>4.5958399999999999</v>
      </c>
      <c r="F59" s="5">
        <v>173</v>
      </c>
    </row>
    <row r="60" spans="1:6" x14ac:dyDescent="0.25">
      <c r="A60" s="5" t="s">
        <v>27</v>
      </c>
      <c r="B60" s="5">
        <v>50</v>
      </c>
      <c r="C60" s="5">
        <v>1</v>
      </c>
      <c r="D60" s="5">
        <v>182.34583000000001</v>
      </c>
      <c r="E60" s="5">
        <v>4.59985</v>
      </c>
      <c r="F60" s="5">
        <v>173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5.6423199999999998</v>
      </c>
      <c r="F61" s="5">
        <v>59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5.6579600000000001</v>
      </c>
      <c r="F62" s="5">
        <v>59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5.6036299999999999</v>
      </c>
      <c r="F63" s="5">
        <v>58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5.6280200000000002</v>
      </c>
      <c r="F64" s="5">
        <v>58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5.6319900000000001</v>
      </c>
      <c r="F65" s="5">
        <v>59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5.6375000000000002</v>
      </c>
      <c r="F66" s="5">
        <v>59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5.6410999999999998</v>
      </c>
      <c r="F67" s="5">
        <v>59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5.5985300000000002</v>
      </c>
      <c r="F68" s="5">
        <v>58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5.6206199999999997</v>
      </c>
      <c r="F69" s="5">
        <v>59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5.6429099999999996</v>
      </c>
      <c r="F70" s="5">
        <v>59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258.72039999999998</v>
      </c>
      <c r="E71" s="5">
        <v>11.71419</v>
      </c>
      <c r="F71" s="5">
        <v>114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259.37536</v>
      </c>
      <c r="E72" s="5">
        <v>11.65701</v>
      </c>
      <c r="F72" s="5">
        <v>112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257.09390999999999</v>
      </c>
      <c r="E73" s="5">
        <v>11.6805</v>
      </c>
      <c r="F73" s="5">
        <v>112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256.16519</v>
      </c>
      <c r="E74" s="5">
        <v>11.650080000000001</v>
      </c>
      <c r="F74" s="5">
        <v>112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255.83002999999999</v>
      </c>
      <c r="E75" s="5">
        <v>11.703519999999999</v>
      </c>
      <c r="F75" s="5">
        <v>113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256.25493999999998</v>
      </c>
      <c r="E76" s="5">
        <v>11.70187</v>
      </c>
      <c r="F76" s="5">
        <v>114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255.18879999999999</v>
      </c>
      <c r="E77" s="5">
        <v>11.706899999999999</v>
      </c>
      <c r="F77" s="5">
        <v>114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259.44132999999999</v>
      </c>
      <c r="E78" s="5">
        <v>11.727180000000001</v>
      </c>
      <c r="F78" s="5">
        <v>114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258.25004000000001</v>
      </c>
      <c r="E79" s="5">
        <v>11.710470000000001</v>
      </c>
      <c r="F79" s="5">
        <v>114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255.95811</v>
      </c>
      <c r="E80" s="5">
        <v>11.72663</v>
      </c>
      <c r="F80" s="5">
        <v>113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239.39258000000001</v>
      </c>
      <c r="E81" s="5">
        <v>30.158180000000002</v>
      </c>
      <c r="F81" s="5">
        <v>283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240.56</v>
      </c>
      <c r="E82" s="5">
        <v>30.165199999999999</v>
      </c>
      <c r="F82" s="5">
        <v>283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240.11667</v>
      </c>
      <c r="E83" s="5">
        <v>30.210740000000001</v>
      </c>
      <c r="F83" s="5">
        <v>283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239.51</v>
      </c>
      <c r="E84" s="5">
        <v>30.139679999999998</v>
      </c>
      <c r="F84" s="5">
        <v>282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240.39</v>
      </c>
      <c r="E85" s="5">
        <v>30.15558</v>
      </c>
      <c r="F85" s="5">
        <v>281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239.18333000000001</v>
      </c>
      <c r="E86" s="5">
        <v>30.165420000000001</v>
      </c>
      <c r="F86" s="5">
        <v>282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239.24666999999999</v>
      </c>
      <c r="E87" s="5">
        <v>30.132400000000001</v>
      </c>
      <c r="F87" s="5">
        <v>282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240.16985</v>
      </c>
      <c r="E88" s="5">
        <v>30.154350000000001</v>
      </c>
      <c r="F88" s="5">
        <v>279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240.18027000000001</v>
      </c>
      <c r="E89" s="5">
        <v>30.135490000000001</v>
      </c>
      <c r="F89" s="5">
        <v>282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239.65665000000001</v>
      </c>
      <c r="E90" s="5">
        <v>30.17765</v>
      </c>
      <c r="F90" s="5">
        <v>283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0.58592</v>
      </c>
      <c r="F91" s="5">
        <v>84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0.59147000000000005</v>
      </c>
      <c r="F92" s="5">
        <v>77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0.58447000000000005</v>
      </c>
      <c r="F93" s="5">
        <v>75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0.58218999999999999</v>
      </c>
      <c r="F94" s="5">
        <v>83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0.58523000000000003</v>
      </c>
      <c r="F95" s="5">
        <v>84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0.58267000000000002</v>
      </c>
      <c r="F96" s="5">
        <v>83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0.58682999999999996</v>
      </c>
      <c r="F97" s="5">
        <v>85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0.58516999999999997</v>
      </c>
      <c r="F98" s="5">
        <v>83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0.58423000000000003</v>
      </c>
      <c r="F99" s="5">
        <v>83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0.58323000000000003</v>
      </c>
      <c r="F100" s="5">
        <v>78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0.73619999999999997</v>
      </c>
      <c r="F101" s="5">
        <v>96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0.73475000000000001</v>
      </c>
      <c r="F102" s="5">
        <v>105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0.73472000000000004</v>
      </c>
      <c r="F103" s="5">
        <v>94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0.73568</v>
      </c>
      <c r="F104" s="5">
        <v>100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0.73646999999999996</v>
      </c>
      <c r="F105" s="5">
        <v>106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0.73906000000000005</v>
      </c>
      <c r="F106" s="5">
        <v>106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0.73465000000000003</v>
      </c>
      <c r="F107" s="5">
        <v>105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0.73497000000000001</v>
      </c>
      <c r="F108" s="5">
        <v>105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0.73951</v>
      </c>
      <c r="F109" s="5">
        <v>94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0.73450000000000004</v>
      </c>
      <c r="F110" s="5">
        <v>108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1.27843</v>
      </c>
      <c r="F111" s="5">
        <v>168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1.2762800000000001</v>
      </c>
      <c r="F112" s="5">
        <v>176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1.2741499999999999</v>
      </c>
      <c r="F113" s="5">
        <v>168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1.2749699999999999</v>
      </c>
      <c r="F114" s="5">
        <v>179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1.27976</v>
      </c>
      <c r="F115" s="5">
        <v>181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1.28809</v>
      </c>
      <c r="F116" s="5">
        <v>175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1.2775300000000001</v>
      </c>
      <c r="F117" s="5">
        <v>174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1.27786</v>
      </c>
      <c r="F118" s="5">
        <v>179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1.2765599999999999</v>
      </c>
      <c r="F119" s="5">
        <v>179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1.27844</v>
      </c>
      <c r="F120" s="5">
        <v>164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4350.8413700000001</v>
      </c>
      <c r="E121" s="5">
        <v>1.9920100000000001</v>
      </c>
      <c r="F121" s="5">
        <v>95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4350.8413700000001</v>
      </c>
      <c r="E122" s="5">
        <v>2.0036200000000002</v>
      </c>
      <c r="F122" s="5">
        <v>95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4348.0289499999999</v>
      </c>
      <c r="E123" s="5">
        <v>2.00177</v>
      </c>
      <c r="F123" s="5">
        <v>98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4348.0289499999999</v>
      </c>
      <c r="E124" s="5">
        <v>1.9911000000000001</v>
      </c>
      <c r="F124" s="5">
        <v>93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4350.4175100000002</v>
      </c>
      <c r="E125" s="5">
        <v>2.0029699999999999</v>
      </c>
      <c r="F125" s="5">
        <v>98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4348.0289499999999</v>
      </c>
      <c r="E126" s="5">
        <v>1.99935</v>
      </c>
      <c r="F126" s="5">
        <v>96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1.9947999999999999</v>
      </c>
      <c r="F127" s="5">
        <v>98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1.99342</v>
      </c>
      <c r="F128" s="5">
        <v>97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1.99817</v>
      </c>
      <c r="F129" s="5">
        <v>95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4348.0289499999999</v>
      </c>
      <c r="E130" s="5">
        <v>1.99542</v>
      </c>
      <c r="F130" s="5">
        <v>96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2.8678699999999999</v>
      </c>
      <c r="F131" s="5">
        <v>133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2.8635799999999998</v>
      </c>
      <c r="F132" s="5">
        <v>131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2.8754900000000001</v>
      </c>
      <c r="F133" s="5">
        <v>131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2.8714499999999998</v>
      </c>
      <c r="F134" s="5">
        <v>131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2.8698999999999999</v>
      </c>
      <c r="F135" s="5">
        <v>133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2.8653</v>
      </c>
      <c r="F136" s="5">
        <v>129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2.8685700000000001</v>
      </c>
      <c r="F137" s="5">
        <v>129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2.86829</v>
      </c>
      <c r="F138" s="5">
        <v>130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2.8654600000000001</v>
      </c>
      <c r="F139" s="5">
        <v>129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2.8657300000000001</v>
      </c>
      <c r="F140" s="5">
        <v>131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3.5156399999999999</v>
      </c>
      <c r="F141" s="5">
        <v>161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3.5153300000000001</v>
      </c>
      <c r="F142" s="5">
        <v>160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3.5180099999999999</v>
      </c>
      <c r="F143" s="5">
        <v>161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3.5286900000000001</v>
      </c>
      <c r="F144" s="5">
        <v>161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3.5173299999999998</v>
      </c>
      <c r="F145" s="5">
        <v>159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3.5224899999999999</v>
      </c>
      <c r="F146" s="5">
        <v>161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3.5247799999999998</v>
      </c>
      <c r="F147" s="5">
        <v>160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3.5178500000000001</v>
      </c>
      <c r="F148" s="5">
        <v>159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3.5260199999999999</v>
      </c>
      <c r="F149" s="5">
        <v>161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3.52318</v>
      </c>
      <c r="F150" s="5">
        <v>161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42986.673049999998</v>
      </c>
      <c r="E151" s="5">
        <v>4.8963900000000002</v>
      </c>
      <c r="F151" s="5">
        <v>54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42986.673049999998</v>
      </c>
      <c r="E152" s="5">
        <v>4.9040900000000001</v>
      </c>
      <c r="F152" s="5">
        <v>54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42987.096920000004</v>
      </c>
      <c r="E153" s="5">
        <v>4.9142599999999996</v>
      </c>
      <c r="F153" s="5">
        <v>54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42986.802479999998</v>
      </c>
      <c r="E154" s="5">
        <v>4.96469</v>
      </c>
      <c r="F154" s="5">
        <v>55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42986.802479999998</v>
      </c>
      <c r="E155" s="5">
        <v>4.9611200000000002</v>
      </c>
      <c r="F155" s="5">
        <v>55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42987.644590000004</v>
      </c>
      <c r="E156" s="5">
        <v>4.8980800000000002</v>
      </c>
      <c r="F156" s="5">
        <v>54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42986.673049999998</v>
      </c>
      <c r="E157" s="5">
        <v>4.9493600000000004</v>
      </c>
      <c r="F157" s="5">
        <v>55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42986.673049999998</v>
      </c>
      <c r="E158" s="5">
        <v>4.8861999999999997</v>
      </c>
      <c r="F158" s="5">
        <v>54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42986.673049999998</v>
      </c>
      <c r="E159" s="5">
        <v>4.8943199999999996</v>
      </c>
      <c r="F159" s="5">
        <v>53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42986.663050000003</v>
      </c>
      <c r="E160" s="5">
        <v>4.9000500000000002</v>
      </c>
      <c r="F160" s="5">
        <v>54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35744.829270000002</v>
      </c>
      <c r="E161" s="5">
        <v>12.771599999999999</v>
      </c>
      <c r="F161" s="5">
        <v>130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35655.497960000001</v>
      </c>
      <c r="E162" s="5">
        <v>12.69974</v>
      </c>
      <c r="F162" s="5">
        <v>129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35666.108749999999</v>
      </c>
      <c r="E163" s="5">
        <v>12.698309999999999</v>
      </c>
      <c r="F163" s="5">
        <v>129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35539.316659999997</v>
      </c>
      <c r="E164" s="5">
        <v>12.69679</v>
      </c>
      <c r="F164" s="5">
        <v>129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35671.474600000001</v>
      </c>
      <c r="E165" s="5">
        <v>12.792619999999999</v>
      </c>
      <c r="F165" s="5">
        <v>129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35750.100610000001</v>
      </c>
      <c r="E166" s="5">
        <v>12.707280000000001</v>
      </c>
      <c r="F166" s="5">
        <v>130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35508.436970000002</v>
      </c>
      <c r="E167" s="5">
        <v>12.765890000000001</v>
      </c>
      <c r="F167" s="5">
        <v>130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35759.349410000003</v>
      </c>
      <c r="E168" s="5">
        <v>12.714130000000001</v>
      </c>
      <c r="F168" s="5">
        <v>129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35745.350570000002</v>
      </c>
      <c r="E169" s="5">
        <v>12.75272</v>
      </c>
      <c r="F169" s="5">
        <v>129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35654.425499999998</v>
      </c>
      <c r="E170" s="5">
        <v>12.7319</v>
      </c>
      <c r="F170" s="5">
        <v>129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35203.853329999998</v>
      </c>
      <c r="E171" s="5">
        <v>28.544899999999998</v>
      </c>
      <c r="F171" s="5">
        <v>293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35288.29333</v>
      </c>
      <c r="E172" s="5">
        <v>28.503699999999998</v>
      </c>
      <c r="F172" s="5">
        <v>289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35420.79</v>
      </c>
      <c r="E173" s="5">
        <v>28.552129999999998</v>
      </c>
      <c r="F173" s="5">
        <v>285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35290.61333</v>
      </c>
      <c r="E174" s="5">
        <v>28.56569</v>
      </c>
      <c r="F174" s="5">
        <v>302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35392.150110000002</v>
      </c>
      <c r="E175" s="5">
        <v>28.558869999999999</v>
      </c>
      <c r="F175" s="5">
        <v>289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35231.072160000003</v>
      </c>
      <c r="E176" s="5">
        <v>28.48245</v>
      </c>
      <c r="F176" s="5">
        <v>299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35336.213329999999</v>
      </c>
      <c r="E177" s="5">
        <v>28.557459999999999</v>
      </c>
      <c r="F177" s="5">
        <v>288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35365.606670000001</v>
      </c>
      <c r="E178" s="5">
        <v>28.550049999999999</v>
      </c>
      <c r="F178" s="5">
        <v>278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35343.923329999998</v>
      </c>
      <c r="E179" s="5">
        <v>28.491070000000001</v>
      </c>
      <c r="F179" s="5">
        <v>286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35452.264179999998</v>
      </c>
      <c r="E180" s="5">
        <v>28.49202</v>
      </c>
      <c r="F180" s="5">
        <v>285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0.73312999999999995</v>
      </c>
      <c r="F181" s="5">
        <v>71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0.74134999999999995</v>
      </c>
      <c r="F182" s="5">
        <v>71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0.73546</v>
      </c>
      <c r="F183" s="5">
        <v>74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0.73319000000000001</v>
      </c>
      <c r="F184" s="5">
        <v>76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0.73445000000000005</v>
      </c>
      <c r="F185" s="5">
        <v>75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0.73734999999999995</v>
      </c>
      <c r="F186" s="5">
        <v>76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0.73763000000000001</v>
      </c>
      <c r="F187" s="5">
        <v>75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0.73187000000000002</v>
      </c>
      <c r="F188" s="5">
        <v>66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0.73124</v>
      </c>
      <c r="F189" s="5">
        <v>75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0.73368</v>
      </c>
      <c r="F190" s="5">
        <v>77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675.36581000000001</v>
      </c>
      <c r="E191" s="5">
        <v>1.1355299999999999</v>
      </c>
      <c r="F191" s="5">
        <v>118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675.36989000000005</v>
      </c>
      <c r="E192" s="5">
        <v>1.14252</v>
      </c>
      <c r="F192" s="5">
        <v>118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675.36989000000005</v>
      </c>
      <c r="E193" s="5">
        <v>1.1429400000000001</v>
      </c>
      <c r="F193" s="5">
        <v>119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675.36989000000005</v>
      </c>
      <c r="E194" s="5">
        <v>1.13626</v>
      </c>
      <c r="F194" s="5">
        <v>111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675.36989000000005</v>
      </c>
      <c r="E195" s="5">
        <v>1.1358200000000001</v>
      </c>
      <c r="F195" s="5">
        <v>119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675.36989000000005</v>
      </c>
      <c r="E196" s="5">
        <v>1.14141</v>
      </c>
      <c r="F196" s="5">
        <v>117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675.38611000000003</v>
      </c>
      <c r="E197" s="5">
        <v>1.13934</v>
      </c>
      <c r="F197" s="5">
        <v>114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675.36989000000005</v>
      </c>
      <c r="E198" s="5">
        <v>1.1356599999999999</v>
      </c>
      <c r="F198" s="5">
        <v>111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675.36989000000005</v>
      </c>
      <c r="E199" s="5">
        <v>1.13527</v>
      </c>
      <c r="F199" s="5">
        <v>112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675.36989000000005</v>
      </c>
      <c r="E200" s="5">
        <v>1.14002</v>
      </c>
      <c r="F200" s="5">
        <v>112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655.43295999999998</v>
      </c>
      <c r="E201" s="5">
        <v>2.0738400000000001</v>
      </c>
      <c r="F201" s="5">
        <v>204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657.35562000000004</v>
      </c>
      <c r="E202" s="5">
        <v>2.0733199999999998</v>
      </c>
      <c r="F202" s="5">
        <v>196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655.43295999999998</v>
      </c>
      <c r="E203" s="5">
        <v>2.0678299999999998</v>
      </c>
      <c r="F203" s="5">
        <v>203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656.34204</v>
      </c>
      <c r="E204" s="5">
        <v>2.07362</v>
      </c>
      <c r="F204" s="5">
        <v>197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658.23289</v>
      </c>
      <c r="E205" s="5">
        <v>2.0661</v>
      </c>
      <c r="F205" s="5">
        <v>204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657.95457999999996</v>
      </c>
      <c r="E206" s="5">
        <v>2.06839</v>
      </c>
      <c r="F206" s="5">
        <v>195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655.43907999999999</v>
      </c>
      <c r="E207" s="5">
        <v>2.06907</v>
      </c>
      <c r="F207" s="5">
        <v>208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657.32380999999998</v>
      </c>
      <c r="E208" s="5">
        <v>2.0689099999999998</v>
      </c>
      <c r="F208" s="5">
        <v>192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655.46475999999996</v>
      </c>
      <c r="E209" s="5">
        <v>2.0740400000000001</v>
      </c>
      <c r="F209" s="5">
        <v>204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655.43295999999998</v>
      </c>
      <c r="E210" s="5">
        <v>2.0718000000000001</v>
      </c>
      <c r="F210" s="5">
        <v>195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1459.9687899999999</v>
      </c>
      <c r="E211" s="5">
        <v>1.5940300000000001</v>
      </c>
      <c r="F211" s="5">
        <v>73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1459.9687899999999</v>
      </c>
      <c r="E212" s="5">
        <v>1.5890599999999999</v>
      </c>
      <c r="F212" s="5">
        <v>69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1459.9687899999999</v>
      </c>
      <c r="E213" s="5">
        <v>1.5878699999999999</v>
      </c>
      <c r="F213" s="5">
        <v>74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1459.9687899999999</v>
      </c>
      <c r="E214" s="5">
        <v>1.5888599999999999</v>
      </c>
      <c r="F214" s="5">
        <v>69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1459.9687899999999</v>
      </c>
      <c r="E215" s="5">
        <v>1.6021300000000001</v>
      </c>
      <c r="F215" s="5">
        <v>75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1459.9687899999999</v>
      </c>
      <c r="E216" s="5">
        <v>1.5914699999999999</v>
      </c>
      <c r="F216" s="5">
        <v>74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1460.81727</v>
      </c>
      <c r="E217" s="5">
        <v>1.60389</v>
      </c>
      <c r="F217" s="5">
        <v>71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1459.9687899999999</v>
      </c>
      <c r="E218" s="5">
        <v>1.5889200000000001</v>
      </c>
      <c r="F218" s="5">
        <v>75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1459.9687899999999</v>
      </c>
      <c r="E219" s="5">
        <v>1.60182</v>
      </c>
      <c r="F219" s="5">
        <v>75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1459.9687899999999</v>
      </c>
      <c r="E220" s="5">
        <v>1.59649</v>
      </c>
      <c r="F220" s="5">
        <v>70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1015.11094</v>
      </c>
      <c r="E221" s="5">
        <v>4.5451699999999997</v>
      </c>
      <c r="F221" s="5">
        <v>200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1015.54409</v>
      </c>
      <c r="E222" s="5">
        <v>4.5424899999999999</v>
      </c>
      <c r="F222" s="5">
        <v>207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1015.95905</v>
      </c>
      <c r="E223" s="5">
        <v>4.5492600000000003</v>
      </c>
      <c r="F223" s="5">
        <v>206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1015.75613</v>
      </c>
      <c r="E224" s="5">
        <v>4.5493600000000001</v>
      </c>
      <c r="F224" s="5">
        <v>205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1012.25703</v>
      </c>
      <c r="E225" s="5">
        <v>4.5441799999999999</v>
      </c>
      <c r="F225" s="5">
        <v>204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1010.0087600000001</v>
      </c>
      <c r="E226" s="5">
        <v>4.5488600000000003</v>
      </c>
      <c r="F226" s="5">
        <v>202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1007.85742</v>
      </c>
      <c r="E227" s="5">
        <v>4.5546300000000004</v>
      </c>
      <c r="F227" s="5">
        <v>207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1017.29</v>
      </c>
      <c r="E228" s="5">
        <v>4.55877</v>
      </c>
      <c r="F228" s="5">
        <v>205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1010.23572</v>
      </c>
      <c r="E229" s="5">
        <v>4.5484799999999996</v>
      </c>
      <c r="F229" s="5">
        <v>205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1013.16374</v>
      </c>
      <c r="E230" s="5">
        <v>4.5422799999999999</v>
      </c>
      <c r="F230" s="5">
        <v>202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1003.56074</v>
      </c>
      <c r="E231" s="5">
        <v>8.4026700000000005</v>
      </c>
      <c r="F231" s="5">
        <v>368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1003.41141</v>
      </c>
      <c r="E232" s="5">
        <v>8.3973999999999993</v>
      </c>
      <c r="F232" s="5">
        <v>356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1004.50823</v>
      </c>
      <c r="E233" s="5">
        <v>8.3874200000000005</v>
      </c>
      <c r="F233" s="5">
        <v>361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998.21169999999995</v>
      </c>
      <c r="E234" s="5">
        <v>8.40001</v>
      </c>
      <c r="F234" s="5">
        <v>364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995.84631000000002</v>
      </c>
      <c r="E235" s="5">
        <v>8.4028799999999997</v>
      </c>
      <c r="F235" s="5">
        <v>362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1004.26858</v>
      </c>
      <c r="E236" s="5">
        <v>8.3880400000000002</v>
      </c>
      <c r="F236" s="5">
        <v>362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998.57</v>
      </c>
      <c r="E237" s="5">
        <v>8.3856199999999994</v>
      </c>
      <c r="F237" s="5">
        <v>363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1006.91992</v>
      </c>
      <c r="E238" s="5">
        <v>8.3886500000000002</v>
      </c>
      <c r="F238" s="5">
        <v>362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992.95302000000004</v>
      </c>
      <c r="E239" s="5">
        <v>8.4010999999999996</v>
      </c>
      <c r="F239" s="5">
        <v>351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995.69790999999998</v>
      </c>
      <c r="E240" s="5">
        <v>8.3988200000000006</v>
      </c>
      <c r="F240" s="5">
        <v>356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1821.18262</v>
      </c>
      <c r="E241" s="5">
        <v>5.0672100000000002</v>
      </c>
      <c r="F241" s="5">
        <v>63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1851.5687</v>
      </c>
      <c r="E242" s="5">
        <v>5.0487799999999998</v>
      </c>
      <c r="F242" s="5">
        <v>63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1851.4363000000001</v>
      </c>
      <c r="E243" s="5">
        <v>5.0586000000000002</v>
      </c>
      <c r="F243" s="5">
        <v>63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1843.3467700000001</v>
      </c>
      <c r="E244" s="5">
        <v>5.0841799999999999</v>
      </c>
      <c r="F244" s="5">
        <v>63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1878.85231</v>
      </c>
      <c r="E245" s="5">
        <v>5.1007699999999998</v>
      </c>
      <c r="F245" s="5">
        <v>64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1862.3534099999999</v>
      </c>
      <c r="E246" s="5">
        <v>5.0543100000000001</v>
      </c>
      <c r="F246" s="5">
        <v>63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1863.7511</v>
      </c>
      <c r="E247" s="5">
        <v>5.0861400000000003</v>
      </c>
      <c r="F247" s="5">
        <v>63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1834.6592700000001</v>
      </c>
      <c r="E248" s="5">
        <v>5.0655099999999997</v>
      </c>
      <c r="F248" s="5">
        <v>63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1853.29665</v>
      </c>
      <c r="E249" s="5">
        <v>5.0825399999999998</v>
      </c>
      <c r="F249" s="5">
        <v>63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1854.1535799999999</v>
      </c>
      <c r="E250" s="5">
        <v>5.0394699999999997</v>
      </c>
      <c r="F250" s="5">
        <v>63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1779.9333300000001</v>
      </c>
      <c r="E251" s="5">
        <v>9.3826800000000006</v>
      </c>
      <c r="F251" s="5">
        <v>110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1806.65662</v>
      </c>
      <c r="E252" s="5">
        <v>9.4029600000000002</v>
      </c>
      <c r="F252" s="5">
        <v>110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1806.4640999999999</v>
      </c>
      <c r="E253" s="5">
        <v>9.4021399999999993</v>
      </c>
      <c r="F253" s="5">
        <v>110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1790.6399100000001</v>
      </c>
      <c r="E254" s="5">
        <v>9.3872900000000001</v>
      </c>
      <c r="F254" s="5">
        <v>111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1796.43667</v>
      </c>
      <c r="E255" s="5">
        <v>9.3712599999999995</v>
      </c>
      <c r="F255" s="5">
        <v>110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1798.9066700000001</v>
      </c>
      <c r="E256" s="5">
        <v>9.3708600000000004</v>
      </c>
      <c r="F256" s="5">
        <v>110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1809.4025300000001</v>
      </c>
      <c r="E257" s="5">
        <v>9.3706700000000005</v>
      </c>
      <c r="F257" s="5">
        <v>109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1772.4616599999999</v>
      </c>
      <c r="E258" s="5">
        <v>9.3723200000000002</v>
      </c>
      <c r="F258" s="5">
        <v>110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1770.69255</v>
      </c>
      <c r="E259" s="5">
        <v>9.4280399999999993</v>
      </c>
      <c r="F259" s="5">
        <v>112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1774.9235799999999</v>
      </c>
      <c r="E260" s="5">
        <v>9.3824100000000001</v>
      </c>
      <c r="F260" s="5">
        <v>110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1754.23333</v>
      </c>
      <c r="E261" s="5">
        <v>15.365880000000001</v>
      </c>
      <c r="F261" s="5">
        <v>179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1755.1763699999999</v>
      </c>
      <c r="E262" s="5">
        <v>15.388450000000001</v>
      </c>
      <c r="F262" s="5">
        <v>176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1756.9066700000001</v>
      </c>
      <c r="E263" s="5">
        <v>15.401949999999999</v>
      </c>
      <c r="F263" s="5">
        <v>176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1754.12554</v>
      </c>
      <c r="E264" s="5">
        <v>15.36543</v>
      </c>
      <c r="F264" s="5">
        <v>175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1757.2501999999999</v>
      </c>
      <c r="E265" s="5">
        <v>15.38531</v>
      </c>
      <c r="F265" s="5">
        <v>176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1755.58071</v>
      </c>
      <c r="E266" s="5">
        <v>15.38251</v>
      </c>
      <c r="F266" s="5">
        <v>177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1758.1661200000001</v>
      </c>
      <c r="E267" s="5">
        <v>15.38261</v>
      </c>
      <c r="F267" s="5">
        <v>175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1761.3166699999999</v>
      </c>
      <c r="E268" s="5">
        <v>15.39785</v>
      </c>
      <c r="F268" s="5">
        <v>176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1758.1251999999999</v>
      </c>
      <c r="E269" s="5">
        <v>15.39465</v>
      </c>
      <c r="F269" s="5">
        <v>176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1767.0583200000001</v>
      </c>
      <c r="E270" s="5">
        <v>15.40503</v>
      </c>
      <c r="F270" s="5">
        <v>174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42.424349999999997</v>
      </c>
      <c r="E271" s="5">
        <v>0.58984000000000003</v>
      </c>
      <c r="F271" s="5">
        <v>64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41.318849999999998</v>
      </c>
      <c r="E272" s="5">
        <v>0.5877</v>
      </c>
      <c r="F272" s="5">
        <v>60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41.449359999999999</v>
      </c>
      <c r="E273" s="5">
        <v>0.58689999999999998</v>
      </c>
      <c r="F273" s="5">
        <v>62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41.318849999999998</v>
      </c>
      <c r="E274" s="5">
        <v>0.58806999999999998</v>
      </c>
      <c r="F274" s="5">
        <v>63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42.424349999999997</v>
      </c>
      <c r="E275" s="5">
        <v>0.58984000000000003</v>
      </c>
      <c r="F275" s="5">
        <v>65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41.318849999999998</v>
      </c>
      <c r="E276" s="5">
        <v>0.59053999999999995</v>
      </c>
      <c r="F276" s="5">
        <v>59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42.003050000000002</v>
      </c>
      <c r="E277" s="5">
        <v>0.58533000000000002</v>
      </c>
      <c r="F277" s="5">
        <v>65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41.318849999999998</v>
      </c>
      <c r="E278" s="5">
        <v>0.59096000000000004</v>
      </c>
      <c r="F278" s="5">
        <v>65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42.424349999999997</v>
      </c>
      <c r="E279" s="5">
        <v>0.58989999999999998</v>
      </c>
      <c r="F279" s="5">
        <v>66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41.318849999999998</v>
      </c>
      <c r="E280" s="5">
        <v>0.58762000000000003</v>
      </c>
      <c r="F280" s="5">
        <v>65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0.87534000000000001</v>
      </c>
      <c r="F281" s="5">
        <v>114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0.88024999999999998</v>
      </c>
      <c r="F282" s="5">
        <v>111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28.65436</v>
      </c>
      <c r="E283" s="5">
        <v>0.87305999999999995</v>
      </c>
      <c r="F283" s="5">
        <v>110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0.87771999999999994</v>
      </c>
      <c r="F284" s="5">
        <v>114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0.87612999999999996</v>
      </c>
      <c r="F285" s="5">
        <v>117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28.65436</v>
      </c>
      <c r="E286" s="5">
        <v>0.87622999999999995</v>
      </c>
      <c r="F286" s="5">
        <v>118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28.65436</v>
      </c>
      <c r="E287" s="5">
        <v>0.87312999999999996</v>
      </c>
      <c r="F287" s="5">
        <v>102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0.87863999999999998</v>
      </c>
      <c r="F288" s="5">
        <v>110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28.65436</v>
      </c>
      <c r="E289" s="5">
        <v>0.87866999999999995</v>
      </c>
      <c r="F289" s="5">
        <v>109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0.87446999999999997</v>
      </c>
      <c r="F290" s="5">
        <v>108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28.592030000000001</v>
      </c>
      <c r="E291" s="5">
        <v>1.1368</v>
      </c>
      <c r="F291" s="5">
        <v>119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28.592030000000001</v>
      </c>
      <c r="E292" s="5">
        <v>1.1334299999999999</v>
      </c>
      <c r="F292" s="5">
        <v>140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28.587009999999999</v>
      </c>
      <c r="E293" s="5">
        <v>1.1358200000000001</v>
      </c>
      <c r="F293" s="5">
        <v>143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28.592030000000001</v>
      </c>
      <c r="E294" s="5">
        <v>1.1334200000000001</v>
      </c>
      <c r="F294" s="5">
        <v>142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28.504100000000001</v>
      </c>
      <c r="E295" s="5">
        <v>1.13354</v>
      </c>
      <c r="F295" s="5">
        <v>132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28.546240000000001</v>
      </c>
      <c r="E296" s="5">
        <v>1.1314200000000001</v>
      </c>
      <c r="F296" s="5">
        <v>137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28.546240000000001</v>
      </c>
      <c r="E297" s="5">
        <v>1.1366099999999999</v>
      </c>
      <c r="F297" s="5">
        <v>140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28.592030000000001</v>
      </c>
      <c r="E298" s="5">
        <v>1.1326000000000001</v>
      </c>
      <c r="F298" s="5">
        <v>140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28.504100000000001</v>
      </c>
      <c r="E299" s="5">
        <v>1.13429</v>
      </c>
      <c r="F299" s="5">
        <v>133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28.546240000000001</v>
      </c>
      <c r="E300" s="5">
        <v>1.1321099999999999</v>
      </c>
      <c r="F300" s="5">
        <v>140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59.034439999999996</v>
      </c>
      <c r="E301" s="5">
        <v>1.9330000000000001</v>
      </c>
      <c r="F301" s="5">
        <v>82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56.901339999999998</v>
      </c>
      <c r="E302" s="5">
        <v>1.93588</v>
      </c>
      <c r="F302" s="5">
        <v>79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56.901339999999998</v>
      </c>
      <c r="E303" s="5">
        <v>1.9326700000000001</v>
      </c>
      <c r="F303" s="5">
        <v>84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56.881340000000002</v>
      </c>
      <c r="E304" s="5">
        <v>1.9321699999999999</v>
      </c>
      <c r="F304" s="5">
        <v>85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56.901339999999998</v>
      </c>
      <c r="E305" s="5">
        <v>1.92692</v>
      </c>
      <c r="F305" s="5">
        <v>83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57.026339999999998</v>
      </c>
      <c r="E306" s="5">
        <v>1.93912</v>
      </c>
      <c r="F306" s="5">
        <v>88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59.087739999999997</v>
      </c>
      <c r="E307" s="5">
        <v>1.9390000000000001</v>
      </c>
      <c r="F307" s="5">
        <v>85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56.591340000000002</v>
      </c>
      <c r="E308" s="5">
        <v>1.9328000000000001</v>
      </c>
      <c r="F308" s="5">
        <v>84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56.901339999999998</v>
      </c>
      <c r="E309" s="5">
        <v>1.92737</v>
      </c>
      <c r="F309" s="5">
        <v>84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56.771340000000002</v>
      </c>
      <c r="E310" s="5">
        <v>1.9334</v>
      </c>
      <c r="F310" s="5">
        <v>84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53.585599999999999</v>
      </c>
      <c r="E311" s="5">
        <v>3.7669000000000001</v>
      </c>
      <c r="F311" s="5">
        <v>157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53.662660000000002</v>
      </c>
      <c r="E312" s="5">
        <v>3.7656399999999999</v>
      </c>
      <c r="F312" s="5">
        <v>161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53.496079999999999</v>
      </c>
      <c r="E313" s="5">
        <v>3.7622800000000001</v>
      </c>
      <c r="F313" s="5">
        <v>160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53.656669999999998</v>
      </c>
      <c r="E314" s="5">
        <v>3.7541500000000001</v>
      </c>
      <c r="F314" s="5">
        <v>159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53.444980000000001</v>
      </c>
      <c r="E315" s="5">
        <v>3.75766</v>
      </c>
      <c r="F315" s="5">
        <v>158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53.564979999999998</v>
      </c>
      <c r="E316" s="5">
        <v>3.7658399999999999</v>
      </c>
      <c r="F316" s="5">
        <v>160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53.675519999999999</v>
      </c>
      <c r="E317" s="5">
        <v>3.7543099999999998</v>
      </c>
      <c r="F317" s="5">
        <v>160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53.215069999999997</v>
      </c>
      <c r="E318" s="5">
        <v>3.75874</v>
      </c>
      <c r="F318" s="5">
        <v>161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53.519390000000001</v>
      </c>
      <c r="E319" s="5">
        <v>3.7601399999999998</v>
      </c>
      <c r="F319" s="5">
        <v>159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53.665390000000002</v>
      </c>
      <c r="E320" s="5">
        <v>3.7576999999999998</v>
      </c>
      <c r="F320" s="5">
        <v>160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53.425519999999999</v>
      </c>
      <c r="E321" s="5">
        <v>6.0915299999999997</v>
      </c>
      <c r="F321" s="5">
        <v>244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53.412410000000001</v>
      </c>
      <c r="E322" s="5">
        <v>6.0749000000000004</v>
      </c>
      <c r="F322" s="5">
        <v>244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53.097490000000001</v>
      </c>
      <c r="E323" s="5">
        <v>6.0769000000000002</v>
      </c>
      <c r="F323" s="5">
        <v>244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53.152500000000003</v>
      </c>
      <c r="E324" s="5">
        <v>6.08432</v>
      </c>
      <c r="F324" s="5">
        <v>244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53.187570000000001</v>
      </c>
      <c r="E325" s="5">
        <v>6.0748600000000001</v>
      </c>
      <c r="F325" s="5">
        <v>239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53.347569999999997</v>
      </c>
      <c r="E326" s="5">
        <v>6.0751900000000001</v>
      </c>
      <c r="F326" s="5">
        <v>246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53.081949999999999</v>
      </c>
      <c r="E327" s="5">
        <v>6.0784500000000001</v>
      </c>
      <c r="F327" s="5">
        <v>240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53.07544</v>
      </c>
      <c r="E328" s="5">
        <v>6.0787899999999997</v>
      </c>
      <c r="F328" s="5">
        <v>244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53.257489999999997</v>
      </c>
      <c r="E329" s="5">
        <v>6.0881999999999996</v>
      </c>
      <c r="F329" s="5">
        <v>245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53.017099999999999</v>
      </c>
      <c r="E330" s="5">
        <v>6.0742900000000004</v>
      </c>
      <c r="F330" s="5">
        <v>242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148.12812</v>
      </c>
      <c r="E331" s="5">
        <v>7.0469200000000001</v>
      </c>
      <c r="F331" s="5">
        <v>84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148.21514999999999</v>
      </c>
      <c r="E332" s="5">
        <v>7.0916899999999998</v>
      </c>
      <c r="F332" s="5">
        <v>84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148.25004999999999</v>
      </c>
      <c r="E333" s="5">
        <v>7.0290900000000001</v>
      </c>
      <c r="F333" s="5">
        <v>82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148.19699</v>
      </c>
      <c r="E334" s="5">
        <v>7.0674000000000001</v>
      </c>
      <c r="F334" s="5">
        <v>84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148.18812</v>
      </c>
      <c r="E335" s="5">
        <v>7.1114800000000002</v>
      </c>
      <c r="F335" s="5">
        <v>84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148.05653000000001</v>
      </c>
      <c r="E336" s="5">
        <v>7.06881</v>
      </c>
      <c r="F336" s="5">
        <v>84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148.23320000000001</v>
      </c>
      <c r="E337" s="5">
        <v>7.0733100000000002</v>
      </c>
      <c r="F337" s="5">
        <v>83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148.08672000000001</v>
      </c>
      <c r="E338" s="5">
        <v>7.0249600000000001</v>
      </c>
      <c r="F338" s="5">
        <v>83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148.1258</v>
      </c>
      <c r="E339" s="5">
        <v>7.0350700000000002</v>
      </c>
      <c r="F339" s="5">
        <v>84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148.2295</v>
      </c>
      <c r="E340" s="5">
        <v>7.0474899999999998</v>
      </c>
      <c r="F340" s="5">
        <v>84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108.31814</v>
      </c>
      <c r="E341" s="5">
        <v>16.796119999999998</v>
      </c>
      <c r="F341" s="5">
        <v>184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107.877</v>
      </c>
      <c r="E342" s="5">
        <v>16.82113</v>
      </c>
      <c r="F342" s="5">
        <v>186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108.07431</v>
      </c>
      <c r="E343" s="5">
        <v>16.825140000000001</v>
      </c>
      <c r="F343" s="5">
        <v>186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107.82170000000001</v>
      </c>
      <c r="E344" s="5">
        <v>16.81775</v>
      </c>
      <c r="F344" s="5">
        <v>187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108.05737000000001</v>
      </c>
      <c r="E345" s="5">
        <v>16.78782</v>
      </c>
      <c r="F345" s="5">
        <v>188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107.74253</v>
      </c>
      <c r="E346" s="5">
        <v>16.8443</v>
      </c>
      <c r="F346" s="5">
        <v>189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108.09918999999999</v>
      </c>
      <c r="E347" s="5">
        <v>16.794119999999999</v>
      </c>
      <c r="F347" s="5">
        <v>185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107.82637</v>
      </c>
      <c r="E348" s="5">
        <v>16.79082</v>
      </c>
      <c r="F348" s="5">
        <v>186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107.76137</v>
      </c>
      <c r="E349" s="5">
        <v>16.788070000000001</v>
      </c>
      <c r="F349" s="5">
        <v>186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107.7167</v>
      </c>
      <c r="E350" s="5">
        <v>16.83023</v>
      </c>
      <c r="F350" s="5">
        <v>186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104.05753</v>
      </c>
      <c r="E351" s="5">
        <v>29.39686</v>
      </c>
      <c r="F351" s="5">
        <v>303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103.76163</v>
      </c>
      <c r="E352" s="5">
        <v>29.340869999999999</v>
      </c>
      <c r="F352" s="5">
        <v>308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103.66996</v>
      </c>
      <c r="E353" s="5">
        <v>29.335840000000001</v>
      </c>
      <c r="F353" s="5">
        <v>306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103.86329000000001</v>
      </c>
      <c r="E354" s="5">
        <v>29.34009</v>
      </c>
      <c r="F354" s="5">
        <v>306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104.07559000000001</v>
      </c>
      <c r="E355" s="5">
        <v>29.355740000000001</v>
      </c>
      <c r="F355" s="5">
        <v>303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103.28579999999999</v>
      </c>
      <c r="E356" s="5">
        <v>29.391449999999999</v>
      </c>
      <c r="F356" s="5">
        <v>309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103.73923000000001</v>
      </c>
      <c r="E357" s="5">
        <v>29.349640000000001</v>
      </c>
      <c r="F357" s="5">
        <v>309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103.96359</v>
      </c>
      <c r="E358" s="5">
        <v>29.400950000000002</v>
      </c>
      <c r="F358" s="5">
        <v>307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103.96413</v>
      </c>
      <c r="E359" s="5">
        <v>29.345500000000001</v>
      </c>
      <c r="F359" s="5">
        <v>308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104.0808</v>
      </c>
      <c r="E360" s="5">
        <v>29.37773</v>
      </c>
      <c r="F360" s="5">
        <v>307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0.54422999999999999</v>
      </c>
      <c r="F361" s="5">
        <v>54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0.54156000000000004</v>
      </c>
      <c r="F362" s="5">
        <v>51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0.54368000000000005</v>
      </c>
      <c r="F363" s="5">
        <v>56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0.54854000000000003</v>
      </c>
      <c r="F364" s="5">
        <v>57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0.54706999999999995</v>
      </c>
      <c r="F365" s="5">
        <v>56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0.54205999999999999</v>
      </c>
      <c r="F366" s="5">
        <v>55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0.54629000000000005</v>
      </c>
      <c r="F367" s="5">
        <v>48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0.54806999999999995</v>
      </c>
      <c r="F368" s="5">
        <v>56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0.54730000000000001</v>
      </c>
      <c r="F369" s="5">
        <v>56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0.54537000000000002</v>
      </c>
      <c r="F370" s="5">
        <v>56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0.87619999999999998</v>
      </c>
      <c r="F371" s="5">
        <v>82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0.87685000000000002</v>
      </c>
      <c r="F372" s="5">
        <v>93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0.87697000000000003</v>
      </c>
      <c r="F373" s="5">
        <v>91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0.87526000000000004</v>
      </c>
      <c r="F374" s="5">
        <v>83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0.87570000000000003</v>
      </c>
      <c r="F375" s="5">
        <v>92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0.87822999999999996</v>
      </c>
      <c r="F376" s="5">
        <v>91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0.87602999999999998</v>
      </c>
      <c r="F377" s="5">
        <v>92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0.87282000000000004</v>
      </c>
      <c r="F378" s="5">
        <v>91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0.87175999999999998</v>
      </c>
      <c r="F379" s="5">
        <v>85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0.87158000000000002</v>
      </c>
      <c r="F380" s="5">
        <v>92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1.1533199999999999</v>
      </c>
      <c r="F381" s="5">
        <v>118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1.15086</v>
      </c>
      <c r="F382" s="5">
        <v>119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1.1497200000000001</v>
      </c>
      <c r="F383" s="5">
        <v>119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1.15364</v>
      </c>
      <c r="F384" s="5">
        <v>110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1.155</v>
      </c>
      <c r="F385" s="5">
        <v>119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1.1554199999999999</v>
      </c>
      <c r="F386" s="5">
        <v>121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1.1517200000000001</v>
      </c>
      <c r="F387" s="5">
        <v>119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1.1521999999999999</v>
      </c>
      <c r="F388" s="5">
        <v>116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1.1513599999999999</v>
      </c>
      <c r="F389" s="5">
        <v>119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1.15045</v>
      </c>
      <c r="F390" s="5">
        <v>118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1.1522600000000001</v>
      </c>
      <c r="F391" s="5">
        <v>36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1.1297600000000001</v>
      </c>
      <c r="F392" s="5">
        <v>38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1.12029</v>
      </c>
      <c r="F393" s="5">
        <v>37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1.1246100000000001</v>
      </c>
      <c r="F394" s="5">
        <v>38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1.1163000000000001</v>
      </c>
      <c r="F395" s="5">
        <v>35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1.1209100000000001</v>
      </c>
      <c r="F396" s="5">
        <v>37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1.1297600000000001</v>
      </c>
      <c r="F397" s="5">
        <v>38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1.1216699999999999</v>
      </c>
      <c r="F398" s="5">
        <v>37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1.1181300000000001</v>
      </c>
      <c r="F399" s="5">
        <v>37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1.11189</v>
      </c>
      <c r="F400" s="5">
        <v>37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2.4871599999999998</v>
      </c>
      <c r="F401" s="5">
        <v>81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2.4914000000000001</v>
      </c>
      <c r="F402" s="5">
        <v>80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2.4879500000000001</v>
      </c>
      <c r="F403" s="5">
        <v>82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2.48902</v>
      </c>
      <c r="F404" s="5">
        <v>80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2.4962300000000002</v>
      </c>
      <c r="F405" s="5">
        <v>80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2.4904000000000002</v>
      </c>
      <c r="F406" s="5">
        <v>82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2.5088200000000001</v>
      </c>
      <c r="F407" s="5">
        <v>81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2.5078299999999998</v>
      </c>
      <c r="F408" s="5">
        <v>83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2.5062199999999999</v>
      </c>
      <c r="F409" s="5">
        <v>81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2.4878900000000002</v>
      </c>
      <c r="F410" s="5">
        <v>79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2.74383</v>
      </c>
      <c r="F411" s="5">
        <v>86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2.7246600000000001</v>
      </c>
      <c r="F412" s="5">
        <v>85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2.73346</v>
      </c>
      <c r="F413" s="5">
        <v>85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2.7379099999999998</v>
      </c>
      <c r="F414" s="5">
        <v>87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2.7309000000000001</v>
      </c>
      <c r="F415" s="5">
        <v>85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2.73177</v>
      </c>
      <c r="F416" s="5">
        <v>85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2.7279100000000001</v>
      </c>
      <c r="F417" s="5">
        <v>87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2.7284999999999999</v>
      </c>
      <c r="F418" s="5">
        <v>85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2.7420499999999999</v>
      </c>
      <c r="F419" s="5">
        <v>85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2.7327300000000001</v>
      </c>
      <c r="F420" s="5">
        <v>87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2.9928900000000001</v>
      </c>
      <c r="F421" s="5">
        <v>39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2.9827499999999998</v>
      </c>
      <c r="F422" s="5">
        <v>39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3.0019499999999999</v>
      </c>
      <c r="F423" s="5">
        <v>39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3.01172</v>
      </c>
      <c r="F424" s="5">
        <v>39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2.9983300000000002</v>
      </c>
      <c r="F425" s="5">
        <v>39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2.9886400000000002</v>
      </c>
      <c r="F426" s="5">
        <v>38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2.9925999999999999</v>
      </c>
      <c r="F427" s="5">
        <v>38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2.9933900000000002</v>
      </c>
      <c r="F428" s="5">
        <v>39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3.0324300000000002</v>
      </c>
      <c r="F429" s="5">
        <v>40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2.96841</v>
      </c>
      <c r="F430" s="5">
        <v>38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3.7952699999999999</v>
      </c>
      <c r="F431" s="5">
        <v>47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3.8289399999999998</v>
      </c>
      <c r="F432" s="5">
        <v>48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3.8355700000000001</v>
      </c>
      <c r="F433" s="5">
        <v>48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3.8160799999999999</v>
      </c>
      <c r="F434" s="5">
        <v>48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3.81989</v>
      </c>
      <c r="F435" s="5">
        <v>48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3.8057400000000001</v>
      </c>
      <c r="F436" s="5">
        <v>47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3.8228</v>
      </c>
      <c r="F437" s="5">
        <v>48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3.8029199999999999</v>
      </c>
      <c r="F438" s="5">
        <v>47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3.7943500000000001</v>
      </c>
      <c r="F439" s="5">
        <v>48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3.8004799999999999</v>
      </c>
      <c r="F440" s="5">
        <v>48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5.5156999999999998</v>
      </c>
      <c r="F441" s="5">
        <v>64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5.4592499999999999</v>
      </c>
      <c r="F442" s="5">
        <v>64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5.5071500000000002</v>
      </c>
      <c r="F443" s="5">
        <v>65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5.5007999999999999</v>
      </c>
      <c r="F444" s="5">
        <v>64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5.5165199999999999</v>
      </c>
      <c r="F445" s="5">
        <v>66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5.4588799999999997</v>
      </c>
      <c r="F446" s="5">
        <v>64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5.5197399999999996</v>
      </c>
      <c r="F447" s="5">
        <v>64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5.5004200000000001</v>
      </c>
      <c r="F448" s="5">
        <v>65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5.47532</v>
      </c>
      <c r="F449" s="5">
        <v>64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5.4720399999999998</v>
      </c>
      <c r="F450" s="5">
        <v>64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Z1"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0.57547000000000004</v>
      </c>
      <c r="F1" s="5">
        <v>40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0.54725999999999997</v>
      </c>
      <c r="F2" s="5">
        <v>41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0.55110999999999999</v>
      </c>
      <c r="F3" s="5">
        <v>36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170.35004000000001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0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0.54723999999999995</v>
      </c>
      <c r="F4" s="5">
        <v>41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0.55225999999999997</v>
      </c>
      <c r="F5" s="5">
        <v>35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0.55183000000000004</v>
      </c>
      <c r="F6" s="5">
        <v>29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0.54749000000000003</v>
      </c>
      <c r="F7" s="5">
        <v>33</v>
      </c>
      <c r="H7" s="5" t="s">
        <v>27</v>
      </c>
      <c r="I7" s="5">
        <v>50</v>
      </c>
      <c r="J7" s="5">
        <v>1</v>
      </c>
      <c r="L7" s="5">
        <f t="shared" ca="1" si="11"/>
        <v>181.5967</v>
      </c>
      <c r="M7" s="5">
        <f t="shared" ca="1" si="0"/>
        <v>179.93769</v>
      </c>
      <c r="N7" s="5">
        <f t="shared" ca="1" si="0"/>
        <v>182.34583000000001</v>
      </c>
      <c r="O7" s="5">
        <f t="shared" ca="1" si="0"/>
        <v>181.62333000000001</v>
      </c>
      <c r="P7" s="5">
        <f t="shared" ca="1" si="0"/>
        <v>182.34583000000001</v>
      </c>
      <c r="Q7" s="5">
        <f t="shared" ca="1" si="0"/>
        <v>180.05332999999999</v>
      </c>
      <c r="R7" s="5">
        <f t="shared" ca="1" si="0"/>
        <v>179.94333</v>
      </c>
      <c r="S7" s="5">
        <f t="shared" ca="1" si="0"/>
        <v>182.34583000000001</v>
      </c>
      <c r="T7" s="5">
        <f t="shared" ca="1" si="0"/>
        <v>180.25</v>
      </c>
      <c r="U7" s="5">
        <f t="shared" ca="1" si="0"/>
        <v>180.10775000000001</v>
      </c>
      <c r="W7" s="5">
        <f t="shared" ca="1" si="12"/>
        <v>181.05496200000002</v>
      </c>
      <c r="Y7" s="5">
        <f ca="1">Total!E7</f>
        <v>179.67332999999999</v>
      </c>
      <c r="AB7" s="5">
        <f t="shared" ca="1" si="1"/>
        <v>1.0704816346421618E-2</v>
      </c>
      <c r="AC7" s="5">
        <f t="shared" ca="1" si="2"/>
        <v>1.4713368979136225E-3</v>
      </c>
      <c r="AD7" s="5">
        <f t="shared" ca="1" si="3"/>
        <v>1.4874216446035779E-2</v>
      </c>
      <c r="AE7" s="5">
        <f t="shared" ca="1" si="4"/>
        <v>1.0853029773534098E-2</v>
      </c>
      <c r="AF7" s="5">
        <f t="shared" ca="1" si="5"/>
        <v>1.4874216446035779E-2</v>
      </c>
      <c r="AG7" s="5">
        <f t="shared" ca="1" si="6"/>
        <v>2.1149493917655754E-3</v>
      </c>
      <c r="AH7" s="5">
        <f t="shared" ca="1" si="7"/>
        <v>1.5027271994124572E-3</v>
      </c>
      <c r="AI7" s="5">
        <f t="shared" ca="1" si="8"/>
        <v>1.4874216446035779E-2</v>
      </c>
      <c r="AJ7" s="5">
        <f t="shared" ca="1" si="9"/>
        <v>3.209547015130221E-3</v>
      </c>
      <c r="AK7" s="5">
        <f t="shared" ca="1" si="10"/>
        <v>2.4178324072917064E-3</v>
      </c>
      <c r="AM7" s="5">
        <f t="shared" ca="1" si="13"/>
        <v>7.689688836957663E-2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0.54637999999999998</v>
      </c>
      <c r="F8" s="5">
        <v>38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0.54762</v>
      </c>
      <c r="F9" s="5">
        <v>41</v>
      </c>
      <c r="H9" s="5" t="s">
        <v>27</v>
      </c>
      <c r="I9" s="5">
        <v>100</v>
      </c>
      <c r="J9" s="5">
        <v>0.7</v>
      </c>
      <c r="L9" s="5">
        <f t="shared" ca="1" si="11"/>
        <v>258.84838999999999</v>
      </c>
      <c r="M9" s="5">
        <f t="shared" ca="1" si="0"/>
        <v>258.15233000000001</v>
      </c>
      <c r="N9" s="5">
        <f t="shared" ca="1" si="0"/>
        <v>259.18061</v>
      </c>
      <c r="O9" s="5">
        <f t="shared" ca="1" si="0"/>
        <v>257.19731999999999</v>
      </c>
      <c r="P9" s="5">
        <f t="shared" ca="1" si="0"/>
        <v>257.04655000000002</v>
      </c>
      <c r="Q9" s="5">
        <f t="shared" ca="1" si="0"/>
        <v>258.89794999999998</v>
      </c>
      <c r="R9" s="5">
        <f t="shared" ca="1" si="0"/>
        <v>256.58519000000001</v>
      </c>
      <c r="S9" s="5">
        <f t="shared" ca="1" si="0"/>
        <v>260.05462</v>
      </c>
      <c r="T9" s="5">
        <f t="shared" ca="1" si="0"/>
        <v>256.83256999999998</v>
      </c>
      <c r="U9" s="5">
        <f t="shared" ca="1" si="0"/>
        <v>259.52132999999998</v>
      </c>
      <c r="W9" s="5">
        <f t="shared" ca="1" si="12"/>
        <v>258.23168600000002</v>
      </c>
      <c r="Y9" s="5">
        <f ca="1">Total!E9</f>
        <v>255.18879999999999</v>
      </c>
      <c r="AB9" s="5">
        <f t="shared" ca="1" si="1"/>
        <v>1.434071557999414E-2</v>
      </c>
      <c r="AC9" s="5">
        <f t="shared" ca="1" si="2"/>
        <v>1.1613088035211655E-2</v>
      </c>
      <c r="AD9" s="5">
        <f t="shared" ca="1" si="3"/>
        <v>1.5642575222737109E-2</v>
      </c>
      <c r="AE9" s="5">
        <f t="shared" ca="1" si="4"/>
        <v>7.8707215990670605E-3</v>
      </c>
      <c r="AF9" s="5">
        <f t="shared" ca="1" si="5"/>
        <v>7.2799041337238881E-3</v>
      </c>
      <c r="AG9" s="5">
        <f t="shared" ca="1" si="6"/>
        <v>1.4534924730238923E-2</v>
      </c>
      <c r="AH9" s="5">
        <f t="shared" ca="1" si="7"/>
        <v>5.4719877988376655E-3</v>
      </c>
      <c r="AI9" s="5">
        <f t="shared" ca="1" si="8"/>
        <v>1.9067529609449997E-2</v>
      </c>
      <c r="AJ9" s="5">
        <f t="shared" ca="1" si="9"/>
        <v>6.4413877098054044E-3</v>
      </c>
      <c r="AK9" s="5">
        <f t="shared" ca="1" si="10"/>
        <v>1.6977743537333893E-2</v>
      </c>
      <c r="AM9" s="5">
        <f t="shared" ca="1" si="13"/>
        <v>0.11924057795639972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0.58826999999999996</v>
      </c>
      <c r="F10" s="5">
        <v>40</v>
      </c>
      <c r="H10" s="5" t="s">
        <v>27</v>
      </c>
      <c r="I10" s="5">
        <v>100</v>
      </c>
      <c r="J10" s="5">
        <v>1</v>
      </c>
      <c r="L10" s="5">
        <f t="shared" ca="1" si="11"/>
        <v>239.17</v>
      </c>
      <c r="M10" s="5">
        <f t="shared" ca="1" si="0"/>
        <v>239.12666999999999</v>
      </c>
      <c r="N10" s="5">
        <f t="shared" ca="1" si="0"/>
        <v>239.02332999999999</v>
      </c>
      <c r="O10" s="5">
        <f t="shared" ca="1" si="0"/>
        <v>239.48840000000001</v>
      </c>
      <c r="P10" s="5">
        <f t="shared" ca="1" si="0"/>
        <v>239.04333</v>
      </c>
      <c r="Q10" s="5">
        <f t="shared" ca="1" si="0"/>
        <v>239.11033</v>
      </c>
      <c r="R10" s="5">
        <f t="shared" ca="1" si="0"/>
        <v>239.80332999999999</v>
      </c>
      <c r="S10" s="5">
        <f t="shared" ca="1" si="0"/>
        <v>239.03666999999999</v>
      </c>
      <c r="T10" s="5">
        <f t="shared" ca="1" si="0"/>
        <v>239.27373</v>
      </c>
      <c r="U10" s="5">
        <f t="shared" ca="1" si="0"/>
        <v>239.37666999999999</v>
      </c>
      <c r="W10" s="5">
        <f t="shared" ca="1" si="12"/>
        <v>239.24524600000001</v>
      </c>
      <c r="Y10" s="5">
        <f ca="1">Total!E10</f>
        <v>238.77667</v>
      </c>
      <c r="AB10" s="5">
        <f t="shared" ca="1" si="1"/>
        <v>1.6472714859453888E-3</v>
      </c>
      <c r="AC10" s="5">
        <f t="shared" ca="1" si="2"/>
        <v>1.4658048460094294E-3</v>
      </c>
      <c r="AD10" s="5">
        <f t="shared" ca="1" si="3"/>
        <v>1.0330154951905118E-3</v>
      </c>
      <c r="AE10" s="5">
        <f t="shared" ca="1" si="4"/>
        <v>2.9807350944295232E-3</v>
      </c>
      <c r="AF10" s="5">
        <f t="shared" ca="1" si="5"/>
        <v>1.1167757721053807E-3</v>
      </c>
      <c r="AG10" s="5">
        <f t="shared" ca="1" si="6"/>
        <v>1.3973726997700778E-3</v>
      </c>
      <c r="AH10" s="5">
        <f t="shared" ca="1" si="7"/>
        <v>4.2996662948687264E-3</v>
      </c>
      <c r="AI10" s="5">
        <f t="shared" ca="1" si="8"/>
        <v>1.0888835998926986E-3</v>
      </c>
      <c r="AJ10" s="5">
        <f t="shared" ca="1" si="9"/>
        <v>2.0816941621641877E-3</v>
      </c>
      <c r="AK10" s="5">
        <f t="shared" ca="1" si="10"/>
        <v>2.5128083074447529E-3</v>
      </c>
      <c r="AM10" s="5">
        <f t="shared" ca="1" si="13"/>
        <v>1.9624027757820676E-2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1.4272499999999999</v>
      </c>
      <c r="F11" s="5">
        <v>145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1.4237500000000001</v>
      </c>
      <c r="F12" s="5">
        <v>146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1.4253499999999999</v>
      </c>
      <c r="F13" s="5">
        <v>135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1.4239599999999999</v>
      </c>
      <c r="F14" s="5">
        <v>146</v>
      </c>
      <c r="H14" s="5" t="s">
        <v>2</v>
      </c>
      <c r="I14" s="5">
        <v>47</v>
      </c>
      <c r="J14" s="5">
        <v>0.4</v>
      </c>
      <c r="L14" s="5">
        <f t="shared" ca="1" si="11"/>
        <v>4348.0289499999999</v>
      </c>
      <c r="M14" s="5">
        <f t="shared" ca="1" si="0"/>
        <v>4348.0289499999999</v>
      </c>
      <c r="N14" s="5">
        <f t="shared" ca="1" si="0"/>
        <v>4348.0289499999999</v>
      </c>
      <c r="O14" s="5">
        <f t="shared" ca="1" si="0"/>
        <v>4348.0289499999999</v>
      </c>
      <c r="P14" s="5">
        <f t="shared" ca="1" si="0"/>
        <v>4348.0289499999999</v>
      </c>
      <c r="Q14" s="5">
        <f t="shared" ca="1" si="0"/>
        <v>4348.0289499999999</v>
      </c>
      <c r="R14" s="5">
        <f t="shared" ca="1" si="0"/>
        <v>4348.0289499999999</v>
      </c>
      <c r="S14" s="5">
        <f t="shared" ca="1" si="0"/>
        <v>4348.0289499999999</v>
      </c>
      <c r="T14" s="5">
        <f t="shared" ca="1" si="0"/>
        <v>4348.0289499999999</v>
      </c>
      <c r="U14" s="5">
        <f t="shared" ca="1" si="0"/>
        <v>4350.8413700000001</v>
      </c>
      <c r="W14" s="5">
        <f t="shared" ca="1" si="12"/>
        <v>4348.3101919999999</v>
      </c>
      <c r="Y14" s="5">
        <f ca="1">Total!E14</f>
        <v>4348.0289499999999</v>
      </c>
      <c r="AB14" s="5">
        <f t="shared" ca="1" si="1"/>
        <v>0</v>
      </c>
      <c r="AC14" s="5">
        <f t="shared" ca="1" si="2"/>
        <v>0</v>
      </c>
      <c r="AD14" s="5">
        <f t="shared" ca="1" si="3"/>
        <v>0</v>
      </c>
      <c r="AE14" s="5">
        <f t="shared" ca="1" si="4"/>
        <v>0</v>
      </c>
      <c r="AF14" s="5">
        <f t="shared" ca="1" si="5"/>
        <v>0</v>
      </c>
      <c r="AG14" s="5">
        <f t="shared" ca="1" si="6"/>
        <v>0</v>
      </c>
      <c r="AH14" s="5">
        <f t="shared" ca="1" si="7"/>
        <v>0</v>
      </c>
      <c r="AI14" s="5">
        <f t="shared" ca="1" si="8"/>
        <v>0</v>
      </c>
      <c r="AJ14" s="5">
        <f t="shared" ca="1" si="9"/>
        <v>0</v>
      </c>
      <c r="AK14" s="5">
        <f t="shared" ca="1" si="10"/>
        <v>6.4682642004952661E-4</v>
      </c>
      <c r="AM14" s="5">
        <f t="shared" ca="1" si="13"/>
        <v>6.4682642004952661E-4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1.4237200000000001</v>
      </c>
      <c r="F15" s="5">
        <v>149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1.42574</v>
      </c>
      <c r="F16" s="5">
        <v>140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1.42286</v>
      </c>
      <c r="F17" s="5">
        <v>149</v>
      </c>
      <c r="H17" s="5" t="s">
        <v>2</v>
      </c>
      <c r="I17" s="5">
        <v>100</v>
      </c>
      <c r="J17" s="5">
        <v>0.4</v>
      </c>
      <c r="L17" s="5">
        <f t="shared" ca="1" si="11"/>
        <v>42986.403050000001</v>
      </c>
      <c r="M17" s="5">
        <f t="shared" ca="1" si="0"/>
        <v>42986.403050000001</v>
      </c>
      <c r="N17" s="5">
        <f t="shared" ca="1" si="0"/>
        <v>42986.403050000001</v>
      </c>
      <c r="O17" s="5">
        <f t="shared" ca="1" si="0"/>
        <v>42986.403050000001</v>
      </c>
      <c r="P17" s="5">
        <f t="shared" ca="1" si="0"/>
        <v>42986.345820000002</v>
      </c>
      <c r="Q17" s="5">
        <f t="shared" ca="1" si="0"/>
        <v>42986.403050000001</v>
      </c>
      <c r="R17" s="5">
        <f t="shared" ca="1" si="0"/>
        <v>42986.673049999998</v>
      </c>
      <c r="S17" s="5">
        <f t="shared" ca="1" si="0"/>
        <v>42986.403050000001</v>
      </c>
      <c r="T17" s="5">
        <f t="shared" ca="1" si="0"/>
        <v>42986.673049999998</v>
      </c>
      <c r="U17" s="5">
        <f t="shared" ca="1" si="0"/>
        <v>42986.403050000001</v>
      </c>
      <c r="W17" s="5">
        <f t="shared" ca="1" si="12"/>
        <v>42986.451327000002</v>
      </c>
      <c r="Y17" s="5">
        <f ca="1">Total!E17</f>
        <v>42986.193919999998</v>
      </c>
      <c r="AB17" s="5">
        <f t="shared" ca="1" si="1"/>
        <v>4.8650504018131747E-6</v>
      </c>
      <c r="AC17" s="5">
        <f t="shared" ca="1" si="2"/>
        <v>4.8650504018131747E-6</v>
      </c>
      <c r="AD17" s="5">
        <f t="shared" ca="1" si="3"/>
        <v>4.8650504018131747E-6</v>
      </c>
      <c r="AE17" s="5">
        <f t="shared" ca="1" si="4"/>
        <v>4.8650504018131747E-6</v>
      </c>
      <c r="AF17" s="5">
        <f t="shared" ca="1" si="5"/>
        <v>3.5336927081072652E-6</v>
      </c>
      <c r="AG17" s="5">
        <f t="shared" ca="1" si="6"/>
        <v>4.8650504018131747E-6</v>
      </c>
      <c r="AH17" s="5">
        <f t="shared" ca="1" si="7"/>
        <v>1.1146136847830832E-5</v>
      </c>
      <c r="AI17" s="5">
        <f t="shared" ca="1" si="8"/>
        <v>4.8650504018131747E-6</v>
      </c>
      <c r="AJ17" s="5">
        <f t="shared" ca="1" si="9"/>
        <v>1.1146136847830832E-5</v>
      </c>
      <c r="AK17" s="5">
        <f t="shared" ca="1" si="10"/>
        <v>4.8650504018131747E-6</v>
      </c>
      <c r="AM17" s="5">
        <f t="shared" ca="1" si="13"/>
        <v>5.9881319216461158E-5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1.4236800000000001</v>
      </c>
      <c r="F18" s="5">
        <v>149</v>
      </c>
      <c r="H18" s="5" t="s">
        <v>2</v>
      </c>
      <c r="I18" s="5">
        <v>100</v>
      </c>
      <c r="J18" s="5">
        <v>0.7</v>
      </c>
      <c r="L18" s="5">
        <f t="shared" ca="1" si="11"/>
        <v>35647.607459999999</v>
      </c>
      <c r="M18" s="5">
        <f t="shared" ca="1" si="11"/>
        <v>35745.844989999998</v>
      </c>
      <c r="N18" s="5">
        <f t="shared" ca="1" si="11"/>
        <v>35391.389020000002</v>
      </c>
      <c r="O18" s="5">
        <f t="shared" ca="1" si="11"/>
        <v>35797.582490000001</v>
      </c>
      <c r="P18" s="5">
        <f t="shared" ca="1" si="11"/>
        <v>35494.013030000002</v>
      </c>
      <c r="Q18" s="5">
        <f t="shared" ca="1" si="11"/>
        <v>35511.789969999998</v>
      </c>
      <c r="R18" s="5">
        <f t="shared" ca="1" si="11"/>
        <v>35679.202640000003</v>
      </c>
      <c r="S18" s="5">
        <f t="shared" ca="1" si="11"/>
        <v>35604.531640000001</v>
      </c>
      <c r="T18" s="5">
        <f t="shared" ca="1" si="11"/>
        <v>35456.981749999999</v>
      </c>
      <c r="U18" s="5">
        <f t="shared" ca="1" si="11"/>
        <v>35747.862379999999</v>
      </c>
      <c r="W18" s="5">
        <f t="shared" ca="1" si="12"/>
        <v>35607.680536999993</v>
      </c>
      <c r="Y18" s="5">
        <f ca="1">Total!E18</f>
        <v>35336.072039999999</v>
      </c>
      <c r="AB18" s="5">
        <f t="shared" ca="1" si="1"/>
        <v>8.8163568278711302E-3</v>
      </c>
      <c r="AC18" s="5">
        <f t="shared" ca="1" si="2"/>
        <v>1.159644879419933E-2</v>
      </c>
      <c r="AD18" s="5">
        <f t="shared" ca="1" si="3"/>
        <v>1.5654535664684263E-3</v>
      </c>
      <c r="AE18" s="5">
        <f t="shared" ca="1" si="4"/>
        <v>1.3060604174611638E-2</v>
      </c>
      <c r="AF18" s="5">
        <f t="shared" ca="1" si="5"/>
        <v>4.469681571319402E-3</v>
      </c>
      <c r="AG18" s="5">
        <f t="shared" ca="1" si="6"/>
        <v>4.9727635205488703E-3</v>
      </c>
      <c r="AH18" s="5">
        <f t="shared" ca="1" si="7"/>
        <v>9.7104907305934976E-3</v>
      </c>
      <c r="AI18" s="5">
        <f t="shared" ca="1" si="8"/>
        <v>7.5973243346376751E-3</v>
      </c>
      <c r="AJ18" s="5">
        <f t="shared" ca="1" si="9"/>
        <v>3.4217077060271894E-3</v>
      </c>
      <c r="AK18" s="5">
        <f t="shared" ca="1" si="10"/>
        <v>1.165354031239969E-2</v>
      </c>
      <c r="AM18" s="5">
        <f t="shared" ca="1" si="13"/>
        <v>7.6864371538676854E-2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1.4214800000000001</v>
      </c>
      <c r="F19" s="5">
        <v>139</v>
      </c>
      <c r="H19" s="5" t="s">
        <v>2</v>
      </c>
      <c r="I19" s="5">
        <v>100</v>
      </c>
      <c r="J19" s="5">
        <v>1</v>
      </c>
      <c r="L19" s="5">
        <f t="shared" ca="1" si="11"/>
        <v>35258.546670000003</v>
      </c>
      <c r="M19" s="5">
        <f t="shared" ca="1" si="11"/>
        <v>35258.712200000002</v>
      </c>
      <c r="N19" s="5">
        <f t="shared" ca="1" si="11"/>
        <v>35250.32</v>
      </c>
      <c r="O19" s="5">
        <f t="shared" ca="1" si="11"/>
        <v>35335.378709999997</v>
      </c>
      <c r="P19" s="5">
        <f t="shared" ca="1" si="11"/>
        <v>35327.156669999997</v>
      </c>
      <c r="Q19" s="5">
        <f t="shared" ca="1" si="11"/>
        <v>35265.917390000002</v>
      </c>
      <c r="R19" s="5">
        <f t="shared" ca="1" si="11"/>
        <v>35219.963329999999</v>
      </c>
      <c r="S19" s="5">
        <f t="shared" ca="1" si="11"/>
        <v>35231.06</v>
      </c>
      <c r="T19" s="5">
        <f t="shared" ca="1" si="11"/>
        <v>35230.576670000002</v>
      </c>
      <c r="U19" s="5">
        <f t="shared" ca="1" si="11"/>
        <v>35229.169670000003</v>
      </c>
      <c r="W19" s="5">
        <f t="shared" ca="1" si="12"/>
        <v>35260.680131000001</v>
      </c>
      <c r="Y19" s="5">
        <f ca="1">Total!E19</f>
        <v>35203.853329999998</v>
      </c>
      <c r="AB19" s="5">
        <f t="shared" ca="1" si="1"/>
        <v>1.5536179942380549E-3</v>
      </c>
      <c r="AC19" s="5">
        <f t="shared" ca="1" si="2"/>
        <v>1.558320036325514E-3</v>
      </c>
      <c r="AD19" s="5">
        <f t="shared" ca="1" si="3"/>
        <v>1.3199313599117763E-3</v>
      </c>
      <c r="AE19" s="5">
        <f t="shared" ca="1" si="4"/>
        <v>3.7361074870720448E-3</v>
      </c>
      <c r="AF19" s="5">
        <f t="shared" ca="1" si="5"/>
        <v>3.5025523724393549E-3</v>
      </c>
      <c r="AG19" s="5">
        <f t="shared" ca="1" si="6"/>
        <v>1.762990528855389E-3</v>
      </c>
      <c r="AH19" s="5">
        <f t="shared" ca="1" si="7"/>
        <v>4.5762035902677657E-4</v>
      </c>
      <c r="AI19" s="5">
        <f t="shared" ca="1" si="8"/>
        <v>7.7283215973447466E-4</v>
      </c>
      <c r="AJ19" s="5">
        <f t="shared" ca="1" si="9"/>
        <v>7.5910269678436089E-4</v>
      </c>
      <c r="AK19" s="5">
        <f t="shared" ca="1" si="10"/>
        <v>7.191354810704996E-4</v>
      </c>
      <c r="AM19" s="5">
        <f t="shared" ca="1" si="13"/>
        <v>1.6142210475458243E-2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1.42225</v>
      </c>
      <c r="F20" s="5">
        <v>147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1.77078</v>
      </c>
      <c r="F21" s="5">
        <v>177</v>
      </c>
      <c r="H21" s="5" t="s">
        <v>1</v>
      </c>
      <c r="I21" s="5">
        <v>30</v>
      </c>
      <c r="J21" s="5">
        <v>0.7</v>
      </c>
      <c r="L21" s="5">
        <f t="shared" ca="1" si="11"/>
        <v>675.38611000000003</v>
      </c>
      <c r="M21" s="5">
        <f t="shared" ca="1" si="11"/>
        <v>675.36581000000001</v>
      </c>
      <c r="N21" s="5">
        <f t="shared" ca="1" si="11"/>
        <v>675.36989000000005</v>
      </c>
      <c r="O21" s="5">
        <f t="shared" ca="1" si="11"/>
        <v>675.36581000000001</v>
      </c>
      <c r="P21" s="5">
        <f t="shared" ca="1" si="11"/>
        <v>675.36581000000001</v>
      </c>
      <c r="Q21" s="5">
        <f t="shared" ca="1" si="11"/>
        <v>675.47965999999997</v>
      </c>
      <c r="R21" s="5">
        <f t="shared" ca="1" si="11"/>
        <v>675.36989000000005</v>
      </c>
      <c r="S21" s="5">
        <f t="shared" ca="1" si="11"/>
        <v>675.36989000000005</v>
      </c>
      <c r="T21" s="5">
        <f t="shared" ca="1" si="11"/>
        <v>675.36989000000005</v>
      </c>
      <c r="U21" s="5">
        <f t="shared" ca="1" si="11"/>
        <v>675.36989000000005</v>
      </c>
      <c r="W21" s="5">
        <f t="shared" ca="1" si="12"/>
        <v>675.38126499999998</v>
      </c>
      <c r="Y21" s="5">
        <f ca="1">Total!E21</f>
        <v>675.36581000000001</v>
      </c>
      <c r="AB21" s="5">
        <f t="shared" ca="1" si="1"/>
        <v>3.0057784536087472E-5</v>
      </c>
      <c r="AC21" s="5">
        <f t="shared" ca="1" si="2"/>
        <v>0</v>
      </c>
      <c r="AD21" s="5">
        <f t="shared" ca="1" si="3"/>
        <v>6.0411704881010963E-6</v>
      </c>
      <c r="AE21" s="5">
        <f t="shared" ca="1" si="4"/>
        <v>0</v>
      </c>
      <c r="AF21" s="5">
        <f t="shared" ca="1" si="5"/>
        <v>0</v>
      </c>
      <c r="AG21" s="5">
        <f t="shared" ca="1" si="6"/>
        <v>1.685753088388598E-4</v>
      </c>
      <c r="AH21" s="5">
        <f t="shared" ca="1" si="7"/>
        <v>6.0411704881010963E-6</v>
      </c>
      <c r="AI21" s="5">
        <f t="shared" ca="1" si="8"/>
        <v>6.0411704881010963E-6</v>
      </c>
      <c r="AJ21" s="5">
        <f t="shared" ca="1" si="9"/>
        <v>6.0411704881010963E-6</v>
      </c>
      <c r="AK21" s="5">
        <f t="shared" ca="1" si="10"/>
        <v>6.0411704881010963E-6</v>
      </c>
      <c r="AM21" s="5">
        <f t="shared" ca="1" si="13"/>
        <v>2.2883894581545277E-4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1.7732699999999999</v>
      </c>
      <c r="F22" s="5">
        <v>182</v>
      </c>
      <c r="H22" s="5" t="s">
        <v>1</v>
      </c>
      <c r="I22" s="5">
        <v>30</v>
      </c>
      <c r="J22" s="5">
        <v>1</v>
      </c>
      <c r="L22" s="5">
        <f t="shared" ca="1" si="11"/>
        <v>657.32992999999999</v>
      </c>
      <c r="M22" s="5">
        <f t="shared" ca="1" si="11"/>
        <v>655.43295999999998</v>
      </c>
      <c r="N22" s="5">
        <f t="shared" ca="1" si="11"/>
        <v>657.32380999999998</v>
      </c>
      <c r="O22" s="5">
        <f t="shared" ca="1" si="11"/>
        <v>657.32380999999998</v>
      </c>
      <c r="P22" s="5">
        <f t="shared" ca="1" si="11"/>
        <v>655.43295999999998</v>
      </c>
      <c r="Q22" s="5">
        <f t="shared" ca="1" si="11"/>
        <v>656.34612000000004</v>
      </c>
      <c r="R22" s="5">
        <f t="shared" ca="1" si="11"/>
        <v>655.43295999999998</v>
      </c>
      <c r="S22" s="5">
        <f t="shared" ca="1" si="11"/>
        <v>657.45713999999998</v>
      </c>
      <c r="T22" s="5">
        <f t="shared" ca="1" si="11"/>
        <v>656.34204</v>
      </c>
      <c r="U22" s="5">
        <f t="shared" ca="1" si="11"/>
        <v>655.43295999999998</v>
      </c>
      <c r="W22" s="5">
        <f t="shared" ca="1" si="12"/>
        <v>656.38546900000006</v>
      </c>
      <c r="Y22" s="5">
        <f ca="1">Total!E22</f>
        <v>655.43295999999998</v>
      </c>
      <c r="AB22" s="5">
        <f t="shared" ca="1" si="1"/>
        <v>2.8942243002244047E-3</v>
      </c>
      <c r="AC22" s="5">
        <f t="shared" ca="1" si="2"/>
        <v>0</v>
      </c>
      <c r="AD22" s="5">
        <f t="shared" ca="1" si="3"/>
        <v>2.8848869608266272E-3</v>
      </c>
      <c r="AE22" s="5">
        <f t="shared" ca="1" si="4"/>
        <v>2.8848869608266272E-3</v>
      </c>
      <c r="AF22" s="5">
        <f t="shared" ca="1" si="5"/>
        <v>0</v>
      </c>
      <c r="AG22" s="5">
        <f t="shared" ca="1" si="6"/>
        <v>1.3932164778531458E-3</v>
      </c>
      <c r="AH22" s="5">
        <f t="shared" ca="1" si="7"/>
        <v>0</v>
      </c>
      <c r="AI22" s="5">
        <f t="shared" ca="1" si="8"/>
        <v>3.088309748719383E-3</v>
      </c>
      <c r="AJ22" s="5">
        <f t="shared" ca="1" si="9"/>
        <v>1.3869915849212362E-3</v>
      </c>
      <c r="AK22" s="5">
        <f t="shared" ca="1" si="10"/>
        <v>0</v>
      </c>
      <c r="AM22" s="5">
        <f t="shared" ca="1" si="13"/>
        <v>1.4532516033371422E-2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1.7761400000000001</v>
      </c>
      <c r="F23" s="5">
        <v>176</v>
      </c>
      <c r="H23" s="5" t="s">
        <v>1</v>
      </c>
      <c r="I23" s="5">
        <v>50</v>
      </c>
      <c r="J23" s="5">
        <v>0.4</v>
      </c>
      <c r="L23" s="5">
        <f t="shared" ca="1" si="11"/>
        <v>1459.9687899999999</v>
      </c>
      <c r="M23" s="5">
        <f t="shared" ca="1" si="11"/>
        <v>1460.0209400000001</v>
      </c>
      <c r="N23" s="5">
        <f t="shared" ca="1" si="11"/>
        <v>1459.9687899999999</v>
      </c>
      <c r="O23" s="5">
        <f t="shared" ca="1" si="11"/>
        <v>1459.9687899999999</v>
      </c>
      <c r="P23" s="5">
        <f t="shared" ca="1" si="11"/>
        <v>1459.9687899999999</v>
      </c>
      <c r="Q23" s="5">
        <f t="shared" ca="1" si="11"/>
        <v>1459.9687899999999</v>
      </c>
      <c r="R23" s="5">
        <f t="shared" ca="1" si="11"/>
        <v>1460.0209400000001</v>
      </c>
      <c r="S23" s="5">
        <f t="shared" ca="1" si="11"/>
        <v>1467.0858700000001</v>
      </c>
      <c r="T23" s="5">
        <f t="shared" ca="1" si="11"/>
        <v>1459.9687899999999</v>
      </c>
      <c r="U23" s="5">
        <f t="shared" ca="1" si="11"/>
        <v>1460.0209400000001</v>
      </c>
      <c r="W23" s="5">
        <f t="shared" ca="1" si="12"/>
        <v>1460.6961430000001</v>
      </c>
      <c r="Y23" s="5">
        <f ca="1">Total!E23</f>
        <v>1459.9687899999999</v>
      </c>
      <c r="AB23" s="5">
        <f t="shared" ca="1" si="1"/>
        <v>0</v>
      </c>
      <c r="AC23" s="5">
        <f t="shared" ca="1" si="2"/>
        <v>3.5719941657253266E-5</v>
      </c>
      <c r="AD23" s="5">
        <f t="shared" ca="1" si="3"/>
        <v>0</v>
      </c>
      <c r="AE23" s="5">
        <f t="shared" ca="1" si="4"/>
        <v>0</v>
      </c>
      <c r="AF23" s="5">
        <f t="shared" ca="1" si="5"/>
        <v>0</v>
      </c>
      <c r="AG23" s="5">
        <f t="shared" ca="1" si="6"/>
        <v>0</v>
      </c>
      <c r="AH23" s="5">
        <f t="shared" ca="1" si="7"/>
        <v>3.5719941657253266E-5</v>
      </c>
      <c r="AI23" s="5">
        <f t="shared" ca="1" si="8"/>
        <v>4.8748165363180227E-3</v>
      </c>
      <c r="AJ23" s="5">
        <f t="shared" ca="1" si="9"/>
        <v>0</v>
      </c>
      <c r="AK23" s="5">
        <f t="shared" ca="1" si="10"/>
        <v>3.5719941657253266E-5</v>
      </c>
      <c r="AM23" s="5">
        <f t="shared" ca="1" si="13"/>
        <v>4.9819763612897819E-3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1.7759199999999999</v>
      </c>
      <c r="F24" s="5">
        <v>182</v>
      </c>
      <c r="H24" s="5" t="s">
        <v>1</v>
      </c>
      <c r="I24" s="5">
        <v>50</v>
      </c>
      <c r="J24" s="5">
        <v>0.7</v>
      </c>
      <c r="L24" s="5">
        <f t="shared" ca="1" si="11"/>
        <v>1012.63504</v>
      </c>
      <c r="M24" s="5">
        <f t="shared" ca="1" si="11"/>
        <v>1023.02562</v>
      </c>
      <c r="N24" s="5">
        <f t="shared" ca="1" si="11"/>
        <v>1019.88693</v>
      </c>
      <c r="O24" s="5">
        <f t="shared" ca="1" si="11"/>
        <v>1014.16905</v>
      </c>
      <c r="P24" s="5">
        <f t="shared" ca="1" si="11"/>
        <v>1010.79252</v>
      </c>
      <c r="Q24" s="5">
        <f t="shared" ca="1" si="11"/>
        <v>1017.56881</v>
      </c>
      <c r="R24" s="5">
        <f t="shared" ca="1" si="11"/>
        <v>1015.73126</v>
      </c>
      <c r="S24" s="5">
        <f t="shared" ca="1" si="11"/>
        <v>1015.40966</v>
      </c>
      <c r="T24" s="5">
        <f t="shared" ca="1" si="11"/>
        <v>1015.7056700000001</v>
      </c>
      <c r="U24" s="5">
        <f t="shared" ca="1" si="11"/>
        <v>1005.95063</v>
      </c>
      <c r="W24" s="5">
        <f t="shared" ca="1" si="12"/>
        <v>1015.0875189999999</v>
      </c>
      <c r="Y24" s="5">
        <f ca="1">Total!E24</f>
        <v>1005.95063</v>
      </c>
      <c r="AB24" s="5">
        <f t="shared" ca="1" si="1"/>
        <v>6.6448688441101298E-3</v>
      </c>
      <c r="AC24" s="5">
        <f t="shared" ca="1" si="2"/>
        <v>1.6973984100989086E-2</v>
      </c>
      <c r="AD24" s="5">
        <f t="shared" ca="1" si="3"/>
        <v>1.3853860800305836E-2</v>
      </c>
      <c r="AE24" s="5">
        <f t="shared" ca="1" si="4"/>
        <v>8.1698045161519746E-3</v>
      </c>
      <c r="AF24" s="5">
        <f t="shared" ca="1" si="5"/>
        <v>4.8132481412133726E-3</v>
      </c>
      <c r="AG24" s="5">
        <f t="shared" ca="1" si="6"/>
        <v>1.1549453475664048E-2</v>
      </c>
      <c r="AH24" s="5">
        <f t="shared" ca="1" si="7"/>
        <v>9.7227733730829054E-3</v>
      </c>
      <c r="AI24" s="5">
        <f t="shared" ca="1" si="8"/>
        <v>9.4030757751998074E-3</v>
      </c>
      <c r="AJ24" s="5">
        <f t="shared" ca="1" si="9"/>
        <v>9.6973347489230245E-3</v>
      </c>
      <c r="AK24" s="5">
        <f t="shared" ca="1" si="10"/>
        <v>0</v>
      </c>
      <c r="AM24" s="5">
        <f t="shared" ca="1" si="13"/>
        <v>9.0828403775640179E-2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1.77223</v>
      </c>
      <c r="F25" s="5">
        <v>173</v>
      </c>
      <c r="H25" s="5" t="s">
        <v>1</v>
      </c>
      <c r="I25" s="5">
        <v>50</v>
      </c>
      <c r="J25" s="5">
        <v>1</v>
      </c>
      <c r="L25" s="5">
        <f t="shared" ca="1" si="11"/>
        <v>999.55188999999996</v>
      </c>
      <c r="M25" s="5">
        <f t="shared" ca="1" si="11"/>
        <v>990.97436000000005</v>
      </c>
      <c r="N25" s="5">
        <f t="shared" ca="1" si="11"/>
        <v>997.26287000000002</v>
      </c>
      <c r="O25" s="5">
        <f t="shared" ca="1" si="11"/>
        <v>994.71731999999997</v>
      </c>
      <c r="P25" s="5">
        <f t="shared" ca="1" si="11"/>
        <v>991.49986999999999</v>
      </c>
      <c r="Q25" s="5">
        <f t="shared" ca="1" si="11"/>
        <v>995.11611000000005</v>
      </c>
      <c r="R25" s="5">
        <f t="shared" ca="1" si="11"/>
        <v>994.50418000000002</v>
      </c>
      <c r="S25" s="5">
        <f t="shared" ca="1" si="11"/>
        <v>992.62464</v>
      </c>
      <c r="T25" s="5">
        <f t="shared" ca="1" si="11"/>
        <v>994.42630999999994</v>
      </c>
      <c r="U25" s="5">
        <f t="shared" ca="1" si="11"/>
        <v>994.02547000000004</v>
      </c>
      <c r="W25" s="5">
        <f t="shared" ca="1" si="12"/>
        <v>994.47030200000006</v>
      </c>
      <c r="Y25" s="5">
        <f ca="1">Total!E25</f>
        <v>990.69820000000004</v>
      </c>
      <c r="AB25" s="5">
        <f t="shared" ca="1" si="1"/>
        <v>8.9368184983074708E-3</v>
      </c>
      <c r="AC25" s="5">
        <f t="shared" ca="1" si="2"/>
        <v>2.7875290376020101E-4</v>
      </c>
      <c r="AD25" s="5">
        <f t="shared" ca="1" si="3"/>
        <v>6.6263065785321686E-3</v>
      </c>
      <c r="AE25" s="5">
        <f t="shared" ca="1" si="4"/>
        <v>4.0568560637335663E-3</v>
      </c>
      <c r="AF25" s="5">
        <f t="shared" ca="1" si="5"/>
        <v>8.0919698854802055E-4</v>
      </c>
      <c r="AG25" s="5">
        <f t="shared" ca="1" si="6"/>
        <v>4.4593903572248397E-3</v>
      </c>
      <c r="AH25" s="5">
        <f t="shared" ca="1" si="7"/>
        <v>3.8417148633155653E-3</v>
      </c>
      <c r="AI25" s="5">
        <f t="shared" ca="1" si="8"/>
        <v>1.9445276068937611E-3</v>
      </c>
      <c r="AJ25" s="5">
        <f t="shared" ca="1" si="9"/>
        <v>3.7631137313057614E-3</v>
      </c>
      <c r="AK25" s="5">
        <f t="shared" ca="1" si="10"/>
        <v>3.3585101900861416E-3</v>
      </c>
      <c r="AM25" s="5">
        <f t="shared" ca="1" si="13"/>
        <v>3.8075187781707501E-2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1.76901</v>
      </c>
      <c r="F26" s="5">
        <v>182</v>
      </c>
      <c r="H26" s="5" t="s">
        <v>1</v>
      </c>
      <c r="I26" s="5">
        <v>100</v>
      </c>
      <c r="J26" s="5">
        <v>0.4</v>
      </c>
      <c r="L26" s="5">
        <f t="shared" ca="1" si="11"/>
        <v>1842.24584</v>
      </c>
      <c r="M26" s="5">
        <f t="shared" ca="1" si="11"/>
        <v>1818.85546</v>
      </c>
      <c r="N26" s="5">
        <f t="shared" ca="1" si="11"/>
        <v>1841.4289699999999</v>
      </c>
      <c r="O26" s="5">
        <f t="shared" ca="1" si="11"/>
        <v>1859.0237</v>
      </c>
      <c r="P26" s="5">
        <f t="shared" ca="1" si="11"/>
        <v>1829.7069100000001</v>
      </c>
      <c r="Q26" s="5">
        <f t="shared" ca="1" si="11"/>
        <v>1843.40138</v>
      </c>
      <c r="R26" s="5">
        <f t="shared" ca="1" si="11"/>
        <v>1837.78144</v>
      </c>
      <c r="S26" s="5">
        <f t="shared" ca="1" si="11"/>
        <v>1828.4873600000001</v>
      </c>
      <c r="T26" s="5">
        <f t="shared" ca="1" si="11"/>
        <v>1839.99566</v>
      </c>
      <c r="U26" s="5">
        <f t="shared" ca="1" si="11"/>
        <v>1824.7134599999999</v>
      </c>
      <c r="W26" s="5">
        <f t="shared" ca="1" si="12"/>
        <v>1836.5640179999998</v>
      </c>
      <c r="Y26" s="5">
        <f ca="1">Total!E26</f>
        <v>1786.3248599999999</v>
      </c>
      <c r="AB26" s="5">
        <f t="shared" ca="1" si="1"/>
        <v>3.1305044928949879E-2</v>
      </c>
      <c r="AC26" s="5">
        <f t="shared" ca="1" si="2"/>
        <v>1.8210909296755826E-2</v>
      </c>
      <c r="AD26" s="5">
        <f t="shared" ca="1" si="3"/>
        <v>3.0847754086566311E-2</v>
      </c>
      <c r="AE26" s="5">
        <f t="shared" ca="1" si="4"/>
        <v>4.0697435067885701E-2</v>
      </c>
      <c r="AF26" s="5">
        <f t="shared" ca="1" si="5"/>
        <v>2.4285644213673522E-2</v>
      </c>
      <c r="AG26" s="5">
        <f t="shared" ca="1" si="6"/>
        <v>3.1951926146289021E-2</v>
      </c>
      <c r="AH26" s="5">
        <f t="shared" ca="1" si="7"/>
        <v>2.8805835462649292E-2</v>
      </c>
      <c r="AI26" s="5">
        <f t="shared" ca="1" si="8"/>
        <v>2.3602929648529964E-2</v>
      </c>
      <c r="AJ26" s="5">
        <f t="shared" ca="1" si="9"/>
        <v>3.0045374837363064E-2</v>
      </c>
      <c r="AK26" s="5">
        <f t="shared" ca="1" si="10"/>
        <v>2.1490268013176505E-2</v>
      </c>
      <c r="AM26" s="5">
        <f t="shared" ca="1" si="13"/>
        <v>0.28124312170183907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1.7717499999999999</v>
      </c>
      <c r="F27" s="5">
        <v>171</v>
      </c>
      <c r="H27" s="5" t="s">
        <v>1</v>
      </c>
      <c r="I27" s="5">
        <v>100</v>
      </c>
      <c r="J27" s="5">
        <v>0.7</v>
      </c>
      <c r="L27" s="5">
        <f t="shared" ca="1" si="11"/>
        <v>1764.34537</v>
      </c>
      <c r="M27" s="5">
        <f t="shared" ca="1" si="11"/>
        <v>1773.2320500000001</v>
      </c>
      <c r="N27" s="5">
        <f t="shared" ca="1" si="11"/>
        <v>1775.4872800000001</v>
      </c>
      <c r="O27" s="5">
        <f t="shared" ca="1" si="11"/>
        <v>1773.6159700000001</v>
      </c>
      <c r="P27" s="5">
        <f t="shared" ca="1" si="11"/>
        <v>1779.7850000000001</v>
      </c>
      <c r="Q27" s="5">
        <f t="shared" ca="1" si="11"/>
        <v>1774.7573600000001</v>
      </c>
      <c r="R27" s="5">
        <f t="shared" ca="1" si="11"/>
        <v>1783.7630300000001</v>
      </c>
      <c r="S27" s="5">
        <f t="shared" ca="1" si="11"/>
        <v>1767.69</v>
      </c>
      <c r="T27" s="5">
        <f t="shared" ca="1" si="11"/>
        <v>1787.7590499999999</v>
      </c>
      <c r="U27" s="5">
        <f t="shared" ca="1" si="11"/>
        <v>1778.14012</v>
      </c>
      <c r="W27" s="5">
        <f t="shared" ca="1" si="12"/>
        <v>1775.8575230000001</v>
      </c>
      <c r="Y27" s="5">
        <f ca="1">Total!E27</f>
        <v>1761.02206</v>
      </c>
      <c r="AB27" s="5">
        <f t="shared" ca="1" si="1"/>
        <v>1.8871484210708821E-3</v>
      </c>
      <c r="AC27" s="5">
        <f t="shared" ca="1" si="2"/>
        <v>6.933467943042157E-3</v>
      </c>
      <c r="AD27" s="5">
        <f t="shared" ca="1" si="3"/>
        <v>8.2141049385832474E-3</v>
      </c>
      <c r="AE27" s="5">
        <f t="shared" ca="1" si="4"/>
        <v>7.1514777049414419E-3</v>
      </c>
      <c r="AF27" s="5">
        <f t="shared" ca="1" si="5"/>
        <v>1.0654574082961841E-2</v>
      </c>
      <c r="AG27" s="5">
        <f t="shared" ca="1" si="6"/>
        <v>7.7996183648034777E-3</v>
      </c>
      <c r="AH27" s="5">
        <f t="shared" ca="1" si="7"/>
        <v>1.2913506603091651E-2</v>
      </c>
      <c r="AI27" s="5">
        <f t="shared" ca="1" si="8"/>
        <v>3.7864034480068038E-3</v>
      </c>
      <c r="AJ27" s="5">
        <f t="shared" ca="1" si="9"/>
        <v>1.5182654781735033E-2</v>
      </c>
      <c r="AK27" s="5">
        <f t="shared" ca="1" si="10"/>
        <v>9.7205255906902231E-3</v>
      </c>
      <c r="AM27" s="5">
        <f t="shared" ca="1" si="13"/>
        <v>8.424348187892676E-2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1.7694099999999999</v>
      </c>
      <c r="F28" s="5">
        <v>184</v>
      </c>
      <c r="H28" s="5" t="s">
        <v>1</v>
      </c>
      <c r="I28" s="5">
        <v>100</v>
      </c>
      <c r="J28" s="5">
        <v>1</v>
      </c>
      <c r="L28" s="5">
        <f t="shared" ca="1" si="11"/>
        <v>1756.74667</v>
      </c>
      <c r="M28" s="5">
        <f t="shared" ca="1" si="11"/>
        <v>1758.7108900000001</v>
      </c>
      <c r="N28" s="5">
        <f t="shared" ca="1" si="11"/>
        <v>1757.22</v>
      </c>
      <c r="O28" s="5">
        <f t="shared" ca="1" si="11"/>
        <v>1757.6666700000001</v>
      </c>
      <c r="P28" s="5">
        <f t="shared" ca="1" si="11"/>
        <v>1757.0501999999999</v>
      </c>
      <c r="Q28" s="5">
        <f t="shared" ca="1" si="11"/>
        <v>1756.19</v>
      </c>
      <c r="R28" s="5">
        <f t="shared" ca="1" si="11"/>
        <v>1756.9949999999999</v>
      </c>
      <c r="S28" s="5">
        <f t="shared" ca="1" si="11"/>
        <v>1757.8884700000001</v>
      </c>
      <c r="T28" s="5">
        <f t="shared" ca="1" si="11"/>
        <v>1755.50333</v>
      </c>
      <c r="U28" s="5">
        <f t="shared" ca="1" si="11"/>
        <v>1756.2391600000001</v>
      </c>
      <c r="W28" s="5">
        <f t="shared" ca="1" si="12"/>
        <v>1757.021039</v>
      </c>
      <c r="Y28" s="5">
        <f ca="1">Total!E28</f>
        <v>1753.1198199999999</v>
      </c>
      <c r="AB28" s="5">
        <f t="shared" ca="1" si="1"/>
        <v>2.0687975565755138E-3</v>
      </c>
      <c r="AC28" s="5">
        <f t="shared" ca="1" si="2"/>
        <v>3.1892115622765434E-3</v>
      </c>
      <c r="AD28" s="5">
        <f t="shared" ca="1" si="3"/>
        <v>2.3387905111928614E-3</v>
      </c>
      <c r="AE28" s="5">
        <f t="shared" ca="1" si="4"/>
        <v>2.5935762907524354E-3</v>
      </c>
      <c r="AF28" s="5">
        <f t="shared" ca="1" si="5"/>
        <v>2.2419346100371017E-3</v>
      </c>
      <c r="AG28" s="5">
        <f t="shared" ca="1" si="6"/>
        <v>1.7512664935818044E-3</v>
      </c>
      <c r="AH28" s="5">
        <f t="shared" ca="1" si="7"/>
        <v>2.2104478859864812E-3</v>
      </c>
      <c r="AI28" s="5">
        <f t="shared" ca="1" si="8"/>
        <v>2.7200935986224873E-3</v>
      </c>
      <c r="AJ28" s="5">
        <f t="shared" ca="1" si="9"/>
        <v>1.3595819138021695E-3</v>
      </c>
      <c r="AK28" s="5">
        <f t="shared" ca="1" si="10"/>
        <v>1.7793079311602292E-3</v>
      </c>
      <c r="AM28" s="5">
        <f t="shared" ca="1" si="13"/>
        <v>2.2253008353987625E-2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1.7709600000000001</v>
      </c>
      <c r="F29" s="5">
        <v>180</v>
      </c>
      <c r="H29" s="5" t="s">
        <v>0</v>
      </c>
      <c r="I29" s="5">
        <v>25</v>
      </c>
      <c r="J29" s="5">
        <v>0.4</v>
      </c>
      <c r="L29" s="5">
        <f t="shared" ca="1" si="11"/>
        <v>41.318849999999998</v>
      </c>
      <c r="M29" s="5">
        <f t="shared" ca="1" si="11"/>
        <v>42.424349999999997</v>
      </c>
      <c r="N29" s="5">
        <f t="shared" ca="1" si="11"/>
        <v>42.003050000000002</v>
      </c>
      <c r="O29" s="5">
        <f t="shared" ca="1" si="11"/>
        <v>42.424349999999997</v>
      </c>
      <c r="P29" s="5">
        <f t="shared" ca="1" si="11"/>
        <v>41.318849999999998</v>
      </c>
      <c r="Q29" s="5">
        <f t="shared" ca="1" si="11"/>
        <v>42.424349999999997</v>
      </c>
      <c r="R29" s="5">
        <f t="shared" ca="1" si="11"/>
        <v>41.318849999999998</v>
      </c>
      <c r="S29" s="5">
        <f t="shared" ca="1" si="11"/>
        <v>41.318849999999998</v>
      </c>
      <c r="T29" s="5">
        <f t="shared" ca="1" si="11"/>
        <v>42.424349999999997</v>
      </c>
      <c r="U29" s="5">
        <f t="shared" ca="1" si="11"/>
        <v>42.424349999999997</v>
      </c>
      <c r="W29" s="5">
        <f t="shared" ca="1" si="12"/>
        <v>41.940020000000004</v>
      </c>
      <c r="Y29" s="5">
        <f ca="1">Total!E29</f>
        <v>40.897550000000003</v>
      </c>
      <c r="AB29" s="5">
        <f t="shared" ca="1" si="1"/>
        <v>1.0301350569899543E-2</v>
      </c>
      <c r="AC29" s="5">
        <f t="shared" ca="1" si="2"/>
        <v>3.7332309637129711E-2</v>
      </c>
      <c r="AD29" s="5">
        <f t="shared" ca="1" si="3"/>
        <v>2.703095906723017E-2</v>
      </c>
      <c r="AE29" s="5">
        <f t="shared" ca="1" si="4"/>
        <v>3.7332309637129711E-2</v>
      </c>
      <c r="AF29" s="5">
        <f t="shared" ca="1" si="5"/>
        <v>1.0301350569899543E-2</v>
      </c>
      <c r="AG29" s="5">
        <f t="shared" ca="1" si="6"/>
        <v>3.7332309637129711E-2</v>
      </c>
      <c r="AH29" s="5">
        <f t="shared" ca="1" si="7"/>
        <v>1.0301350569899543E-2</v>
      </c>
      <c r="AI29" s="5">
        <f t="shared" ca="1" si="8"/>
        <v>1.0301350569899543E-2</v>
      </c>
      <c r="AJ29" s="5">
        <f t="shared" ca="1" si="9"/>
        <v>3.7332309637129711E-2</v>
      </c>
      <c r="AK29" s="5">
        <f t="shared" ca="1" si="10"/>
        <v>3.7332309637129711E-2</v>
      </c>
      <c r="AM29" s="5">
        <f t="shared" ca="1" si="13"/>
        <v>0.25489790953247687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1.77186</v>
      </c>
      <c r="F30" s="5">
        <v>171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1"/>
        <v>28.65436</v>
      </c>
      <c r="N30" s="5">
        <f t="shared" ca="1" si="11"/>
        <v>28.65436</v>
      </c>
      <c r="O30" s="5">
        <f t="shared" ca="1" si="11"/>
        <v>28.65436</v>
      </c>
      <c r="P30" s="5">
        <f t="shared" ca="1" si="11"/>
        <v>28.65436</v>
      </c>
      <c r="Q30" s="5">
        <f t="shared" ca="1" si="11"/>
        <v>28.65436</v>
      </c>
      <c r="R30" s="5">
        <f t="shared" ca="1" si="11"/>
        <v>28.65436</v>
      </c>
      <c r="S30" s="5">
        <f t="shared" ca="1" si="11"/>
        <v>28.65436</v>
      </c>
      <c r="T30" s="5">
        <f t="shared" ca="1" si="11"/>
        <v>28.65436</v>
      </c>
      <c r="U30" s="5">
        <f t="shared" ca="1" si="11"/>
        <v>28.65436</v>
      </c>
      <c r="W30" s="5">
        <f t="shared" ca="1" si="12"/>
        <v>28.654360000000004</v>
      </c>
      <c r="Y30" s="5">
        <f ca="1">Total!E30</f>
        <v>28.65436</v>
      </c>
      <c r="AB30" s="5">
        <f t="shared" ca="1" si="1"/>
        <v>0</v>
      </c>
      <c r="AC30" s="5">
        <f t="shared" ca="1" si="2"/>
        <v>0</v>
      </c>
      <c r="AD30" s="5">
        <f t="shared" ca="1" si="3"/>
        <v>0</v>
      </c>
      <c r="AE30" s="5">
        <f t="shared" ca="1" si="4"/>
        <v>0</v>
      </c>
      <c r="AF30" s="5">
        <f t="shared" ca="1" si="5"/>
        <v>0</v>
      </c>
      <c r="AG30" s="5">
        <f t="shared" ca="1" si="6"/>
        <v>0</v>
      </c>
      <c r="AH30" s="5">
        <f t="shared" ca="1" si="7"/>
        <v>0</v>
      </c>
      <c r="AI30" s="5">
        <f t="shared" ca="1" si="8"/>
        <v>0</v>
      </c>
      <c r="AJ30" s="5">
        <f t="shared" ca="1" si="9"/>
        <v>0</v>
      </c>
      <c r="AK30" s="5">
        <f t="shared" ca="1" si="10"/>
        <v>0</v>
      </c>
      <c r="AM30" s="5">
        <f t="shared" ca="1" si="13"/>
        <v>0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1.20913</v>
      </c>
      <c r="F31" s="5">
        <v>39</v>
      </c>
      <c r="H31" s="5" t="s">
        <v>0</v>
      </c>
      <c r="I31" s="5">
        <v>25</v>
      </c>
      <c r="J31" s="5">
        <v>1</v>
      </c>
      <c r="L31" s="5">
        <f t="shared" ca="1" si="11"/>
        <v>28.592030000000001</v>
      </c>
      <c r="M31" s="5">
        <f t="shared" ca="1" si="11"/>
        <v>28.587009999999999</v>
      </c>
      <c r="N31" s="5">
        <f t="shared" ca="1" si="11"/>
        <v>28.602029999999999</v>
      </c>
      <c r="O31" s="5">
        <f t="shared" ca="1" si="11"/>
        <v>28.592030000000001</v>
      </c>
      <c r="P31" s="5">
        <f t="shared" ca="1" si="11"/>
        <v>28.587009999999999</v>
      </c>
      <c r="Q31" s="5">
        <f t="shared" ca="1" si="11"/>
        <v>28.554099999999998</v>
      </c>
      <c r="R31" s="5">
        <f t="shared" ca="1" si="11"/>
        <v>28.587009999999999</v>
      </c>
      <c r="S31" s="5">
        <f t="shared" ca="1" si="11"/>
        <v>28.587009999999999</v>
      </c>
      <c r="T31" s="5">
        <f t="shared" ca="1" si="11"/>
        <v>28.546240000000001</v>
      </c>
      <c r="U31" s="5">
        <f t="shared" ca="1" si="11"/>
        <v>28.546240000000001</v>
      </c>
      <c r="W31" s="5">
        <f t="shared" ca="1" si="12"/>
        <v>28.578071000000001</v>
      </c>
      <c r="Y31" s="5">
        <f ca="1">Total!E31</f>
        <v>28.504100000000001</v>
      </c>
      <c r="AB31" s="5">
        <f t="shared" ca="1" si="1"/>
        <v>3.0848193768615766E-3</v>
      </c>
      <c r="AC31" s="5">
        <f t="shared" ca="1" si="2"/>
        <v>2.9087043618285882E-3</v>
      </c>
      <c r="AD31" s="5">
        <f t="shared" ca="1" si="3"/>
        <v>3.4356461000346642E-3</v>
      </c>
      <c r="AE31" s="5">
        <f t="shared" ca="1" si="4"/>
        <v>3.0848193768615766E-3</v>
      </c>
      <c r="AF31" s="5">
        <f t="shared" ca="1" si="5"/>
        <v>2.9087043618285882E-3</v>
      </c>
      <c r="AG31" s="5">
        <f t="shared" ca="1" si="6"/>
        <v>1.754133615865688E-3</v>
      </c>
      <c r="AH31" s="5">
        <f t="shared" ca="1" si="7"/>
        <v>2.9087043618285882E-3</v>
      </c>
      <c r="AI31" s="5">
        <f t="shared" ca="1" si="8"/>
        <v>2.9087043618285882E-3</v>
      </c>
      <c r="AJ31" s="5">
        <f t="shared" ca="1" si="9"/>
        <v>1.4783838114516804E-3</v>
      </c>
      <c r="AK31" s="5">
        <f t="shared" ca="1" si="10"/>
        <v>1.4783838114516804E-3</v>
      </c>
      <c r="AM31" s="5">
        <f t="shared" ca="1" si="13"/>
        <v>2.5951003539841221E-2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1.20983</v>
      </c>
      <c r="F32" s="5">
        <v>43</v>
      </c>
      <c r="H32" s="5" t="s">
        <v>0</v>
      </c>
      <c r="I32" s="5">
        <v>50</v>
      </c>
      <c r="J32" s="5">
        <v>0.4</v>
      </c>
      <c r="L32" s="5">
        <f t="shared" ca="1" si="11"/>
        <v>56.901339999999998</v>
      </c>
      <c r="M32" s="5">
        <f t="shared" ca="1" si="11"/>
        <v>56.901339999999998</v>
      </c>
      <c r="N32" s="5">
        <f t="shared" ca="1" si="11"/>
        <v>59.061019999999999</v>
      </c>
      <c r="O32" s="5">
        <f t="shared" ca="1" si="11"/>
        <v>59.069510000000001</v>
      </c>
      <c r="P32" s="5">
        <f t="shared" ca="1" si="11"/>
        <v>58.931109999999997</v>
      </c>
      <c r="Q32" s="5">
        <f t="shared" ca="1" si="11"/>
        <v>59.072850000000003</v>
      </c>
      <c r="R32" s="5">
        <f t="shared" ca="1" si="11"/>
        <v>59.136180000000003</v>
      </c>
      <c r="S32" s="5">
        <f t="shared" ca="1" si="11"/>
        <v>59.032850000000003</v>
      </c>
      <c r="T32" s="5">
        <f t="shared" ca="1" si="11"/>
        <v>56.921660000000003</v>
      </c>
      <c r="U32" s="5">
        <f t="shared" ca="1" si="11"/>
        <v>59.329509999999999</v>
      </c>
      <c r="W32" s="5">
        <f t="shared" ca="1" si="12"/>
        <v>58.435737000000003</v>
      </c>
      <c r="Y32" s="5">
        <f ca="1">Total!E32</f>
        <v>56.511339999999997</v>
      </c>
      <c r="AB32" s="5">
        <f t="shared" ca="1" si="1"/>
        <v>6.901269727456482E-3</v>
      </c>
      <c r="AC32" s="5">
        <f t="shared" ca="1" si="2"/>
        <v>6.901269727456482E-3</v>
      </c>
      <c r="AD32" s="5">
        <f t="shared" ca="1" si="3"/>
        <v>4.5118024099233926E-2</v>
      </c>
      <c r="AE32" s="5">
        <f t="shared" ca="1" si="4"/>
        <v>4.5268259432531668E-2</v>
      </c>
      <c r="AF32" s="5">
        <f t="shared" ca="1" si="5"/>
        <v>4.2819193457454732E-2</v>
      </c>
      <c r="AG32" s="5">
        <f t="shared" ca="1" si="6"/>
        <v>4.5327362614300169E-2</v>
      </c>
      <c r="AH32" s="5">
        <f t="shared" ca="1" si="7"/>
        <v>4.6448022644658686E-2</v>
      </c>
      <c r="AI32" s="5">
        <f t="shared" ca="1" si="8"/>
        <v>4.4619540078150804E-2</v>
      </c>
      <c r="AJ32" s="5">
        <f t="shared" ca="1" si="9"/>
        <v>7.2608435758204602E-3</v>
      </c>
      <c r="AK32" s="5">
        <f t="shared" ca="1" si="10"/>
        <v>4.9869105917502612E-2</v>
      </c>
      <c r="AM32" s="5">
        <f t="shared" ca="1" si="13"/>
        <v>0.34053289127456604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1.2158899999999999</v>
      </c>
      <c r="F33" s="5">
        <v>41</v>
      </c>
      <c r="H33" s="5" t="s">
        <v>0</v>
      </c>
      <c r="I33" s="5">
        <v>50</v>
      </c>
      <c r="J33" s="5">
        <v>0.7</v>
      </c>
      <c r="L33" s="5">
        <f t="shared" ca="1" si="11"/>
        <v>53.905070000000002</v>
      </c>
      <c r="M33" s="5">
        <f t="shared" ca="1" si="11"/>
        <v>53.60275</v>
      </c>
      <c r="N33" s="5">
        <f t="shared" ca="1" si="11"/>
        <v>53.525829999999999</v>
      </c>
      <c r="O33" s="5">
        <f t="shared" ca="1" si="11"/>
        <v>53.545520000000003</v>
      </c>
      <c r="P33" s="5">
        <f t="shared" ca="1" si="11"/>
        <v>53.492750000000001</v>
      </c>
      <c r="Q33" s="5">
        <f t="shared" ca="1" si="11"/>
        <v>53.922750000000001</v>
      </c>
      <c r="R33" s="5">
        <f t="shared" ca="1" si="11"/>
        <v>53.269159999999999</v>
      </c>
      <c r="S33" s="5">
        <f t="shared" ca="1" si="11"/>
        <v>53.705069999999999</v>
      </c>
      <c r="T33" s="5">
        <f t="shared" ca="1" si="11"/>
        <v>53.542749999999998</v>
      </c>
      <c r="U33" s="5">
        <f t="shared" ca="1" si="11"/>
        <v>53.5456</v>
      </c>
      <c r="W33" s="5">
        <f t="shared" ca="1" si="12"/>
        <v>53.605725000000007</v>
      </c>
      <c r="Y33" s="5">
        <f ca="1">Total!E33</f>
        <v>53.115070000000003</v>
      </c>
      <c r="AB33" s="5">
        <f t="shared" ca="1" si="1"/>
        <v>1.487336833030624E-2</v>
      </c>
      <c r="AC33" s="5">
        <f t="shared" ca="1" si="2"/>
        <v>9.1815750219287565E-3</v>
      </c>
      <c r="AD33" s="5">
        <f t="shared" ca="1" si="3"/>
        <v>7.7333984498184081E-3</v>
      </c>
      <c r="AE33" s="5">
        <f t="shared" ca="1" si="4"/>
        <v>8.1041030351649817E-3</v>
      </c>
      <c r="AF33" s="5">
        <f t="shared" ca="1" si="5"/>
        <v>7.110599684797516E-3</v>
      </c>
      <c r="AG33" s="5">
        <f t="shared" ca="1" si="6"/>
        <v>1.5206230548128764E-2</v>
      </c>
      <c r="AH33" s="5">
        <f t="shared" ca="1" si="7"/>
        <v>2.9010599063504293E-3</v>
      </c>
      <c r="AI33" s="5">
        <f t="shared" ca="1" si="8"/>
        <v>1.1107958626431186E-2</v>
      </c>
      <c r="AJ33" s="5">
        <f t="shared" ca="1" si="9"/>
        <v>8.0519521107662133E-3</v>
      </c>
      <c r="AK33" s="5">
        <f t="shared" ca="1" si="10"/>
        <v>8.1056091990464735E-3</v>
      </c>
      <c r="AM33" s="5">
        <f t="shared" ca="1" si="13"/>
        <v>9.2375854912738975E-2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1.2181200000000001</v>
      </c>
      <c r="F34" s="5">
        <v>44</v>
      </c>
      <c r="H34" s="5" t="s">
        <v>0</v>
      </c>
      <c r="I34" s="5">
        <v>50</v>
      </c>
      <c r="J34" s="5">
        <v>1</v>
      </c>
      <c r="L34" s="5">
        <f t="shared" ca="1" si="11"/>
        <v>53.234999999999999</v>
      </c>
      <c r="M34" s="5">
        <f t="shared" ca="1" si="11"/>
        <v>53.142499999999998</v>
      </c>
      <c r="N34" s="5">
        <f t="shared" ca="1" si="11"/>
        <v>53.282499999999999</v>
      </c>
      <c r="O34" s="5">
        <f t="shared" ca="1" si="11"/>
        <v>53.647489999999998</v>
      </c>
      <c r="P34" s="5">
        <f t="shared" ca="1" si="11"/>
        <v>53.618850000000002</v>
      </c>
      <c r="Q34" s="5">
        <f t="shared" ca="1" si="11"/>
        <v>53.187489999999997</v>
      </c>
      <c r="R34" s="5">
        <f t="shared" ca="1" si="11"/>
        <v>53.287489999999998</v>
      </c>
      <c r="S34" s="5">
        <f t="shared" ca="1" si="11"/>
        <v>53.307569999999998</v>
      </c>
      <c r="T34" s="5">
        <f t="shared" ca="1" si="11"/>
        <v>53.668849999999999</v>
      </c>
      <c r="U34" s="5">
        <f t="shared" ca="1" si="11"/>
        <v>53.187489999999997</v>
      </c>
      <c r="W34" s="5">
        <f t="shared" ca="1" si="12"/>
        <v>53.356523000000003</v>
      </c>
      <c r="Y34" s="5">
        <f ca="1">Total!E34</f>
        <v>53.003740000000001</v>
      </c>
      <c r="AB34" s="5">
        <f t="shared" ca="1" si="1"/>
        <v>4.3630883405585894E-3</v>
      </c>
      <c r="AC34" s="5">
        <f t="shared" ca="1" si="2"/>
        <v>2.617928470707874E-3</v>
      </c>
      <c r="AD34" s="5">
        <f t="shared" ca="1" si="3"/>
        <v>5.2592515169683938E-3</v>
      </c>
      <c r="AE34" s="5">
        <f t="shared" ca="1" si="4"/>
        <v>1.2145369364501394E-2</v>
      </c>
      <c r="AF34" s="5">
        <f t="shared" ca="1" si="5"/>
        <v>1.1605030135609325E-2</v>
      </c>
      <c r="AG34" s="5">
        <f t="shared" ca="1" si="6"/>
        <v>3.4667364982168486E-3</v>
      </c>
      <c r="AH34" s="5">
        <f t="shared" ca="1" si="7"/>
        <v>5.3533958169743818E-3</v>
      </c>
      <c r="AI34" s="5">
        <f t="shared" ca="1" si="8"/>
        <v>5.7322370081808911E-3</v>
      </c>
      <c r="AJ34" s="5">
        <f t="shared" ca="1" si="9"/>
        <v>1.2548359794988024E-2</v>
      </c>
      <c r="AK34" s="5">
        <f t="shared" ca="1" si="10"/>
        <v>3.4667364982168486E-3</v>
      </c>
      <c r="AM34" s="5">
        <f t="shared" ca="1" si="13"/>
        <v>6.6558133444922576E-2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1.2038899999999999</v>
      </c>
      <c r="F35" s="5">
        <v>43</v>
      </c>
      <c r="H35" s="5" t="s">
        <v>0</v>
      </c>
      <c r="I35" s="5">
        <v>100</v>
      </c>
      <c r="J35" s="5">
        <v>0.4</v>
      </c>
      <c r="L35" s="5">
        <f t="shared" ca="1" si="11"/>
        <v>148.25865999999999</v>
      </c>
      <c r="M35" s="5">
        <f t="shared" ca="1" si="11"/>
        <v>148.20735999999999</v>
      </c>
      <c r="N35" s="5">
        <f t="shared" ca="1" si="11"/>
        <v>148.15414000000001</v>
      </c>
      <c r="O35" s="5">
        <f t="shared" ca="1" si="11"/>
        <v>148.24033</v>
      </c>
      <c r="P35" s="5">
        <f t="shared" ca="1" si="11"/>
        <v>148.17617000000001</v>
      </c>
      <c r="Q35" s="5">
        <f t="shared" ca="1" si="11"/>
        <v>148.15699000000001</v>
      </c>
      <c r="R35" s="5">
        <f t="shared" ca="1" si="11"/>
        <v>148.19881000000001</v>
      </c>
      <c r="S35" s="5">
        <f t="shared" ca="1" si="11"/>
        <v>148.22163</v>
      </c>
      <c r="T35" s="5">
        <f t="shared" ca="1" si="11"/>
        <v>148.25653</v>
      </c>
      <c r="U35" s="5">
        <f t="shared" ca="1" si="11"/>
        <v>148.93414000000001</v>
      </c>
      <c r="W35" s="5">
        <f t="shared" ca="1" si="12"/>
        <v>148.28047600000002</v>
      </c>
      <c r="Y35" s="5">
        <f ca="1">Total!E35</f>
        <v>147.96312</v>
      </c>
      <c r="AB35" s="5">
        <f t="shared" ca="1" si="1"/>
        <v>1.9973896197916642E-3</v>
      </c>
      <c r="AC35" s="5">
        <f t="shared" ca="1" si="2"/>
        <v>1.650681602280289E-3</v>
      </c>
      <c r="AD35" s="5">
        <f t="shared" ca="1" si="3"/>
        <v>1.2909973782656708E-3</v>
      </c>
      <c r="AE35" s="5">
        <f t="shared" ca="1" si="4"/>
        <v>1.8735073983300475E-3</v>
      </c>
      <c r="AF35" s="5">
        <f t="shared" ca="1" si="5"/>
        <v>1.439885831009847E-3</v>
      </c>
      <c r="AG35" s="5">
        <f t="shared" ca="1" si="6"/>
        <v>1.3102589347940485E-3</v>
      </c>
      <c r="AH35" s="5">
        <f t="shared" ca="1" si="7"/>
        <v>1.5928969326951558E-3</v>
      </c>
      <c r="AI35" s="5">
        <f t="shared" ca="1" si="8"/>
        <v>1.7471245537401558E-3</v>
      </c>
      <c r="AJ35" s="5">
        <f t="shared" ca="1" si="9"/>
        <v>1.9829941407020503E-3</v>
      </c>
      <c r="AK35" s="5">
        <f t="shared" ca="1" si="10"/>
        <v>6.5625812702517355E-3</v>
      </c>
      <c r="AM35" s="5">
        <f t="shared" ca="1" si="13"/>
        <v>2.1448317661860665E-2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1.2274099999999999</v>
      </c>
      <c r="F36" s="5">
        <v>42</v>
      </c>
      <c r="H36" s="5" t="s">
        <v>0</v>
      </c>
      <c r="I36" s="5">
        <v>100</v>
      </c>
      <c r="J36" s="5">
        <v>0.7</v>
      </c>
      <c r="L36" s="5">
        <f t="shared" ca="1" si="11"/>
        <v>108.16558000000001</v>
      </c>
      <c r="M36" s="5">
        <f t="shared" ca="1" si="11"/>
        <v>108.0645</v>
      </c>
      <c r="N36" s="5">
        <f t="shared" ca="1" si="11"/>
        <v>108.13012000000001</v>
      </c>
      <c r="O36" s="5">
        <f t="shared" ca="1" si="11"/>
        <v>108.23586</v>
      </c>
      <c r="P36" s="5">
        <f t="shared" ca="1" si="11"/>
        <v>108.20413000000001</v>
      </c>
      <c r="Q36" s="5">
        <f t="shared" ca="1" si="11"/>
        <v>116.80351</v>
      </c>
      <c r="R36" s="5">
        <f t="shared" ca="1" si="11"/>
        <v>108.217</v>
      </c>
      <c r="S36" s="5">
        <f t="shared" ca="1" si="11"/>
        <v>107.81511999999999</v>
      </c>
      <c r="T36" s="5">
        <f t="shared" ca="1" si="11"/>
        <v>108.05996</v>
      </c>
      <c r="U36" s="5">
        <f t="shared" ca="1" si="11"/>
        <v>107.92001999999999</v>
      </c>
      <c r="W36" s="5">
        <f t="shared" ca="1" si="12"/>
        <v>108.96157999999998</v>
      </c>
      <c r="Y36" s="5">
        <f ca="1">Total!E36</f>
        <v>107.28163000000001</v>
      </c>
      <c r="AB36" s="5">
        <f t="shared" ca="1" si="1"/>
        <v>8.2395280534048425E-3</v>
      </c>
      <c r="AC36" s="5">
        <f t="shared" ca="1" si="2"/>
        <v>7.2973350609977531E-3</v>
      </c>
      <c r="AD36" s="5">
        <f t="shared" ca="1" si="3"/>
        <v>7.9089961627167495E-3</v>
      </c>
      <c r="AE36" s="5">
        <f t="shared" ca="1" si="4"/>
        <v>8.8946262281808675E-3</v>
      </c>
      <c r="AF36" s="5">
        <f t="shared" ca="1" si="5"/>
        <v>8.5988626384591593E-3</v>
      </c>
      <c r="AG36" s="5">
        <f t="shared" ca="1" si="6"/>
        <v>8.8755922146223867E-2</v>
      </c>
      <c r="AH36" s="5">
        <f t="shared" ca="1" si="7"/>
        <v>8.7188272586834464E-3</v>
      </c>
      <c r="AI36" s="5">
        <f t="shared" ca="1" si="8"/>
        <v>4.9727991642183871E-3</v>
      </c>
      <c r="AJ36" s="5">
        <f t="shared" ca="1" si="9"/>
        <v>7.255016539178206E-3</v>
      </c>
      <c r="AK36" s="5">
        <f t="shared" ca="1" si="10"/>
        <v>5.9505993710198745E-3</v>
      </c>
      <c r="AM36" s="5">
        <f t="shared" ca="1" si="13"/>
        <v>0.15659251262308316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1.2140599999999999</v>
      </c>
      <c r="F37" s="5">
        <v>44</v>
      </c>
      <c r="H37" s="5" t="s">
        <v>0</v>
      </c>
      <c r="I37" s="5">
        <v>100</v>
      </c>
      <c r="J37" s="5">
        <v>1</v>
      </c>
      <c r="L37" s="5">
        <f t="shared" ca="1" si="11"/>
        <v>103.65163</v>
      </c>
      <c r="M37" s="5">
        <f t="shared" ca="1" si="11"/>
        <v>104.06007</v>
      </c>
      <c r="N37" s="5">
        <f t="shared" ca="1" si="11"/>
        <v>103.87253</v>
      </c>
      <c r="O37" s="5">
        <f t="shared" ca="1" si="11"/>
        <v>103.68496</v>
      </c>
      <c r="P37" s="5">
        <f t="shared" ca="1" si="11"/>
        <v>103.96247</v>
      </c>
      <c r="Q37" s="5">
        <f t="shared" ca="1" si="11"/>
        <v>103.86002999999999</v>
      </c>
      <c r="R37" s="5">
        <f t="shared" ca="1" si="11"/>
        <v>104.0809</v>
      </c>
      <c r="S37" s="5">
        <f t="shared" ca="1" si="11"/>
        <v>103.98586</v>
      </c>
      <c r="T37" s="5">
        <f t="shared" ca="1" si="11"/>
        <v>103.90752999999999</v>
      </c>
      <c r="U37" s="5">
        <f t="shared" ca="1" si="11"/>
        <v>103.95162999999999</v>
      </c>
      <c r="W37" s="5">
        <f t="shared" ca="1" si="12"/>
        <v>103.90176099999999</v>
      </c>
      <c r="Y37" s="5">
        <f ca="1">Total!E37</f>
        <v>103.21266</v>
      </c>
      <c r="AB37" s="5">
        <f t="shared" ca="1" si="1"/>
        <v>4.2530635292220703E-3</v>
      </c>
      <c r="AC37" s="5">
        <f t="shared" ca="1" si="2"/>
        <v>8.2103300118415365E-3</v>
      </c>
      <c r="AD37" s="5">
        <f t="shared" ca="1" si="3"/>
        <v>6.3933048523310797E-3</v>
      </c>
      <c r="AE37" s="5">
        <f t="shared" ca="1" si="4"/>
        <v>4.5759890308030449E-3</v>
      </c>
      <c r="AF37" s="5">
        <f t="shared" ca="1" si="5"/>
        <v>7.2647095811695633E-3</v>
      </c>
      <c r="AG37" s="5">
        <f t="shared" ca="1" si="6"/>
        <v>6.2721956783208096E-3</v>
      </c>
      <c r="AH37" s="5">
        <f t="shared" ca="1" si="7"/>
        <v>8.4121463394122402E-3</v>
      </c>
      <c r="AI37" s="5">
        <f t="shared" ca="1" si="8"/>
        <v>7.4913290675775899E-3</v>
      </c>
      <c r="AJ37" s="5">
        <f t="shared" ca="1" si="9"/>
        <v>6.7324105395597262E-3</v>
      </c>
      <c r="AK37" s="5">
        <f t="shared" ca="1" si="10"/>
        <v>7.1596837054678638E-3</v>
      </c>
      <c r="AM37" s="5">
        <f t="shared" ca="1" si="13"/>
        <v>6.6765162335705522E-2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1.21095</v>
      </c>
      <c r="F38" s="5">
        <v>43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1.2095100000000001</v>
      </c>
      <c r="F39" s="5">
        <v>43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1.21347</v>
      </c>
      <c r="F40" s="5">
        <v>43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2.9048400000000001</v>
      </c>
      <c r="F41" s="5">
        <v>114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2.9058799999999998</v>
      </c>
      <c r="F42" s="5">
        <v>118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2.90754</v>
      </c>
      <c r="F43" s="5">
        <v>115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2.89994</v>
      </c>
      <c r="F44" s="5">
        <v>115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2.8893599999999999</v>
      </c>
      <c r="F45" s="5">
        <v>118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2.8994499999999999</v>
      </c>
      <c r="F46" s="5">
        <v>115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2.90869</v>
      </c>
      <c r="F47" s="5">
        <v>115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2.89147</v>
      </c>
      <c r="F48" s="5">
        <v>118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2.90517</v>
      </c>
      <c r="F49" s="5">
        <v>116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2.8988</v>
      </c>
      <c r="F50" s="5">
        <v>115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181.5967</v>
      </c>
      <c r="E51" s="5">
        <v>4.6054599999999999</v>
      </c>
      <c r="F51" s="5">
        <v>179</v>
      </c>
    </row>
    <row r="52" spans="1:6" x14ac:dyDescent="0.25">
      <c r="A52" s="5" t="s">
        <v>27</v>
      </c>
      <c r="B52" s="5">
        <v>50</v>
      </c>
      <c r="C52" s="5">
        <v>1</v>
      </c>
      <c r="D52" s="5">
        <v>179.93769</v>
      </c>
      <c r="E52" s="5">
        <v>4.5971700000000002</v>
      </c>
      <c r="F52" s="5">
        <v>180</v>
      </c>
    </row>
    <row r="53" spans="1:6" x14ac:dyDescent="0.25">
      <c r="A53" s="5" t="s">
        <v>27</v>
      </c>
      <c r="B53" s="5">
        <v>50</v>
      </c>
      <c r="C53" s="5">
        <v>1</v>
      </c>
      <c r="D53" s="5">
        <v>182.34583000000001</v>
      </c>
      <c r="E53" s="5">
        <v>4.6061199999999998</v>
      </c>
      <c r="F53" s="5">
        <v>181</v>
      </c>
    </row>
    <row r="54" spans="1:6" x14ac:dyDescent="0.25">
      <c r="A54" s="5" t="s">
        <v>27</v>
      </c>
      <c r="B54" s="5">
        <v>50</v>
      </c>
      <c r="C54" s="5">
        <v>1</v>
      </c>
      <c r="D54" s="5">
        <v>181.62333000000001</v>
      </c>
      <c r="E54" s="5">
        <v>4.6076199999999998</v>
      </c>
      <c r="F54" s="5">
        <v>180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182.34583000000001</v>
      </c>
      <c r="E55" s="5">
        <v>4.5940599999999998</v>
      </c>
      <c r="F55" s="5">
        <v>179</v>
      </c>
    </row>
    <row r="56" spans="1:6" x14ac:dyDescent="0.25">
      <c r="A56" s="5" t="s">
        <v>27</v>
      </c>
      <c r="B56" s="5">
        <v>50</v>
      </c>
      <c r="C56" s="5">
        <v>1</v>
      </c>
      <c r="D56" s="5">
        <v>180.05332999999999</v>
      </c>
      <c r="E56" s="5">
        <v>4.60067</v>
      </c>
      <c r="F56" s="5">
        <v>182</v>
      </c>
    </row>
    <row r="57" spans="1:6" x14ac:dyDescent="0.25">
      <c r="A57" s="5" t="s">
        <v>27</v>
      </c>
      <c r="B57" s="5">
        <v>50</v>
      </c>
      <c r="C57" s="5">
        <v>1</v>
      </c>
      <c r="D57" s="5">
        <v>179.94333</v>
      </c>
      <c r="E57" s="5">
        <v>4.6029200000000001</v>
      </c>
      <c r="F57" s="5">
        <v>177</v>
      </c>
    </row>
    <row r="58" spans="1:6" x14ac:dyDescent="0.25">
      <c r="A58" s="5" t="s">
        <v>27</v>
      </c>
      <c r="B58" s="5">
        <v>50</v>
      </c>
      <c r="C58" s="5">
        <v>1</v>
      </c>
      <c r="D58" s="5">
        <v>182.34583000000001</v>
      </c>
      <c r="E58" s="5">
        <v>4.6017200000000003</v>
      </c>
      <c r="F58" s="5">
        <v>180</v>
      </c>
    </row>
    <row r="59" spans="1:6" x14ac:dyDescent="0.25">
      <c r="A59" s="5" t="s">
        <v>27</v>
      </c>
      <c r="B59" s="5">
        <v>50</v>
      </c>
      <c r="C59" s="5">
        <v>1</v>
      </c>
      <c r="D59" s="5">
        <v>180.25</v>
      </c>
      <c r="E59" s="5">
        <v>4.6070599999999997</v>
      </c>
      <c r="F59" s="5">
        <v>175</v>
      </c>
    </row>
    <row r="60" spans="1:6" x14ac:dyDescent="0.25">
      <c r="A60" s="5" t="s">
        <v>27</v>
      </c>
      <c r="B60" s="5">
        <v>50</v>
      </c>
      <c r="C60" s="5">
        <v>1</v>
      </c>
      <c r="D60" s="5">
        <v>180.10775000000001</v>
      </c>
      <c r="E60" s="5">
        <v>4.5919699999999999</v>
      </c>
      <c r="F60" s="5">
        <v>180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5.6651600000000002</v>
      </c>
      <c r="F61" s="5">
        <v>60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5.6397599999999999</v>
      </c>
      <c r="F62" s="5">
        <v>61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5.6348700000000003</v>
      </c>
      <c r="F63" s="5">
        <v>61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5.64316</v>
      </c>
      <c r="F64" s="5">
        <v>60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5.63063</v>
      </c>
      <c r="F65" s="5">
        <v>61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5.6179199999999998</v>
      </c>
      <c r="F66" s="5">
        <v>60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5.6005599999999998</v>
      </c>
      <c r="F67" s="5">
        <v>60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5.6478999999999999</v>
      </c>
      <c r="F68" s="5">
        <v>61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5.5874100000000002</v>
      </c>
      <c r="F69" s="5">
        <v>60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5.6257299999999999</v>
      </c>
      <c r="F70" s="5">
        <v>61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258.84838999999999</v>
      </c>
      <c r="E71" s="5">
        <v>11.71987</v>
      </c>
      <c r="F71" s="5">
        <v>122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258.15233000000001</v>
      </c>
      <c r="E72" s="5">
        <v>11.711069999999999</v>
      </c>
      <c r="F72" s="5">
        <v>121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259.18061</v>
      </c>
      <c r="E73" s="5">
        <v>11.686730000000001</v>
      </c>
      <c r="F73" s="5">
        <v>122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257.19731999999999</v>
      </c>
      <c r="E74" s="5">
        <v>11.73197</v>
      </c>
      <c r="F74" s="5">
        <v>120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257.04655000000002</v>
      </c>
      <c r="E75" s="5">
        <v>11.72714</v>
      </c>
      <c r="F75" s="5">
        <v>121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258.89794999999998</v>
      </c>
      <c r="E76" s="5">
        <v>11.647919999999999</v>
      </c>
      <c r="F76" s="5">
        <v>122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256.58519000000001</v>
      </c>
      <c r="E77" s="5">
        <v>11.68919</v>
      </c>
      <c r="F77" s="5">
        <v>120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260.05462</v>
      </c>
      <c r="E78" s="5">
        <v>11.70499</v>
      </c>
      <c r="F78" s="5">
        <v>122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256.83256999999998</v>
      </c>
      <c r="E79" s="5">
        <v>11.6541</v>
      </c>
      <c r="F79" s="5">
        <v>121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259.52132999999998</v>
      </c>
      <c r="E80" s="5">
        <v>11.71454</v>
      </c>
      <c r="F80" s="5">
        <v>124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239.17</v>
      </c>
      <c r="E81" s="5">
        <v>30.14085</v>
      </c>
      <c r="F81" s="5">
        <v>308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239.12666999999999</v>
      </c>
      <c r="E82" s="5">
        <v>30.153739999999999</v>
      </c>
      <c r="F82" s="5">
        <v>308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239.02332999999999</v>
      </c>
      <c r="E83" s="5">
        <v>30.188479999999998</v>
      </c>
      <c r="F83" s="5">
        <v>306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239.48840000000001</v>
      </c>
      <c r="E84" s="5">
        <v>30.172650000000001</v>
      </c>
      <c r="F84" s="5">
        <v>305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239.04333</v>
      </c>
      <c r="E85" s="5">
        <v>30.190999999999999</v>
      </c>
      <c r="F85" s="5">
        <v>304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239.11033</v>
      </c>
      <c r="E86" s="5">
        <v>30.154229999999998</v>
      </c>
      <c r="F86" s="5">
        <v>304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239.80332999999999</v>
      </c>
      <c r="E87" s="5">
        <v>30.161380000000001</v>
      </c>
      <c r="F87" s="5">
        <v>304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239.03666999999999</v>
      </c>
      <c r="E88" s="5">
        <v>30.15917</v>
      </c>
      <c r="F88" s="5">
        <v>308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239.27373</v>
      </c>
      <c r="E89" s="5">
        <v>30.1265</v>
      </c>
      <c r="F89" s="5">
        <v>305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239.37666999999999</v>
      </c>
      <c r="E90" s="5">
        <v>30.172640000000001</v>
      </c>
      <c r="F90" s="5">
        <v>305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0.58121999999999996</v>
      </c>
      <c r="F91" s="5">
        <v>89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0.58231999999999995</v>
      </c>
      <c r="F92" s="5">
        <v>88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0.58465999999999996</v>
      </c>
      <c r="F93" s="5">
        <v>90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0.58575999999999995</v>
      </c>
      <c r="F94" s="5">
        <v>89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0.58267000000000002</v>
      </c>
      <c r="F95" s="5">
        <v>90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0.59665999999999997</v>
      </c>
      <c r="F96" s="5">
        <v>86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0.58209999999999995</v>
      </c>
      <c r="F97" s="5">
        <v>83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0.58589000000000002</v>
      </c>
      <c r="F98" s="5">
        <v>90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0.58265</v>
      </c>
      <c r="F99" s="5">
        <v>88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0.58404999999999996</v>
      </c>
      <c r="F100" s="5">
        <v>89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0.73536000000000001</v>
      </c>
      <c r="F101" s="5">
        <v>111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0.73453000000000002</v>
      </c>
      <c r="F102" s="5">
        <v>112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0.73568999999999996</v>
      </c>
      <c r="F103" s="5">
        <v>115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0.74014999999999997</v>
      </c>
      <c r="F104" s="5">
        <v>101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0.73665000000000003</v>
      </c>
      <c r="F105" s="5">
        <v>109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0.73885999999999996</v>
      </c>
      <c r="F106" s="5">
        <v>111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0.73760000000000003</v>
      </c>
      <c r="F107" s="5">
        <v>112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0.73426999999999998</v>
      </c>
      <c r="F108" s="5">
        <v>110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0.73582999999999998</v>
      </c>
      <c r="F109" s="5">
        <v>112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0.73694999999999999</v>
      </c>
      <c r="F110" s="5">
        <v>98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1.2787999999999999</v>
      </c>
      <c r="F111" s="5">
        <v>177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1.2744800000000001</v>
      </c>
      <c r="F112" s="5">
        <v>186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1.2751699999999999</v>
      </c>
      <c r="F113" s="5">
        <v>173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1.27494</v>
      </c>
      <c r="F114" s="5">
        <v>190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1.27729</v>
      </c>
      <c r="F115" s="5">
        <v>190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1.29627</v>
      </c>
      <c r="F116" s="5">
        <v>177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1.2764800000000001</v>
      </c>
      <c r="F117" s="5">
        <v>186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1.2773099999999999</v>
      </c>
      <c r="F118" s="5">
        <v>188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1.2778099999999999</v>
      </c>
      <c r="F119" s="5">
        <v>189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1.2743599999999999</v>
      </c>
      <c r="F120" s="5">
        <v>178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4348.0289499999999</v>
      </c>
      <c r="E121" s="5">
        <v>1.9961899999999999</v>
      </c>
      <c r="F121" s="5">
        <v>89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4348.0289499999999</v>
      </c>
      <c r="E122" s="5">
        <v>2.0009700000000001</v>
      </c>
      <c r="F122" s="5">
        <v>94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4348.0289499999999</v>
      </c>
      <c r="E123" s="5">
        <v>1.9963</v>
      </c>
      <c r="F123" s="5">
        <v>92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4348.0289499999999</v>
      </c>
      <c r="E124" s="5">
        <v>2.0009399999999999</v>
      </c>
      <c r="F124" s="5">
        <v>96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4348.0289499999999</v>
      </c>
      <c r="E125" s="5">
        <v>2.0076000000000001</v>
      </c>
      <c r="F125" s="5">
        <v>92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4348.0289499999999</v>
      </c>
      <c r="E126" s="5">
        <v>1.99776</v>
      </c>
      <c r="F126" s="5">
        <v>96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1.9996400000000001</v>
      </c>
      <c r="F127" s="5">
        <v>92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1.9932700000000001</v>
      </c>
      <c r="F128" s="5">
        <v>94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1.9993399999999999</v>
      </c>
      <c r="F129" s="5">
        <v>91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4350.8413700000001</v>
      </c>
      <c r="E130" s="5">
        <v>2.0046599999999999</v>
      </c>
      <c r="F130" s="5">
        <v>96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2.8760300000000001</v>
      </c>
      <c r="F131" s="5">
        <v>135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2.8772000000000002</v>
      </c>
      <c r="F132" s="5">
        <v>131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2.8773900000000001</v>
      </c>
      <c r="F133" s="5">
        <v>133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2.86978</v>
      </c>
      <c r="F134" s="5">
        <v>135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2.87256</v>
      </c>
      <c r="F135" s="5">
        <v>131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2.8664999999999998</v>
      </c>
      <c r="F136" s="5">
        <v>128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2.87032</v>
      </c>
      <c r="F137" s="5">
        <v>134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2.8698899999999998</v>
      </c>
      <c r="F138" s="5">
        <v>131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2.8660100000000002</v>
      </c>
      <c r="F139" s="5">
        <v>127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2.8665400000000001</v>
      </c>
      <c r="F140" s="5">
        <v>134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3.5143300000000002</v>
      </c>
      <c r="F141" s="5">
        <v>163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3.5297299999999998</v>
      </c>
      <c r="F142" s="5">
        <v>165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3.5122800000000001</v>
      </c>
      <c r="F143" s="5">
        <v>164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3.5119099999999999</v>
      </c>
      <c r="F144" s="5">
        <v>162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3.5241600000000002</v>
      </c>
      <c r="F145" s="5">
        <v>165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3.52339</v>
      </c>
      <c r="F146" s="5">
        <v>161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3.5171600000000001</v>
      </c>
      <c r="F147" s="5">
        <v>161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3.5114700000000001</v>
      </c>
      <c r="F148" s="5">
        <v>161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3.5269900000000001</v>
      </c>
      <c r="F149" s="5">
        <v>170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3.5254599999999998</v>
      </c>
      <c r="F150" s="5">
        <v>163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42986.403050000001</v>
      </c>
      <c r="E151" s="5">
        <v>4.9114000000000004</v>
      </c>
      <c r="F151" s="5">
        <v>55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42986.403050000001</v>
      </c>
      <c r="E152" s="5">
        <v>4.9590399999999999</v>
      </c>
      <c r="F152" s="5">
        <v>56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42986.403050000001</v>
      </c>
      <c r="E153" s="5">
        <v>4.9215400000000002</v>
      </c>
      <c r="F153" s="5">
        <v>56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42986.403050000001</v>
      </c>
      <c r="E154" s="5">
        <v>4.9011800000000001</v>
      </c>
      <c r="F154" s="5">
        <v>55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42986.345820000002</v>
      </c>
      <c r="E155" s="5">
        <v>4.9273999999999996</v>
      </c>
      <c r="F155" s="5">
        <v>56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42986.403050000001</v>
      </c>
      <c r="E156" s="5">
        <v>4.9403199999999998</v>
      </c>
      <c r="F156" s="5">
        <v>56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42986.673049999998</v>
      </c>
      <c r="E157" s="5">
        <v>4.9001000000000001</v>
      </c>
      <c r="F157" s="5">
        <v>56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42986.403050000001</v>
      </c>
      <c r="E158" s="5">
        <v>4.9356600000000004</v>
      </c>
      <c r="F158" s="5">
        <v>56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42986.673049999998</v>
      </c>
      <c r="E159" s="5">
        <v>4.9232100000000001</v>
      </c>
      <c r="F159" s="5">
        <v>56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42986.403050000001</v>
      </c>
      <c r="E160" s="5">
        <v>4.9567300000000003</v>
      </c>
      <c r="F160" s="5">
        <v>56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35647.607459999999</v>
      </c>
      <c r="E161" s="5">
        <v>12.724769999999999</v>
      </c>
      <c r="F161" s="5">
        <v>137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35745.844989999998</v>
      </c>
      <c r="E162" s="5">
        <v>12.74203</v>
      </c>
      <c r="F162" s="5">
        <v>137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35391.389020000002</v>
      </c>
      <c r="E163" s="5">
        <v>12.72861</v>
      </c>
      <c r="F163" s="5">
        <v>137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35797.582490000001</v>
      </c>
      <c r="E164" s="5">
        <v>12.73461</v>
      </c>
      <c r="F164" s="5">
        <v>137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35494.013030000002</v>
      </c>
      <c r="E165" s="5">
        <v>12.71941</v>
      </c>
      <c r="F165" s="5">
        <v>136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35511.789969999998</v>
      </c>
      <c r="E166" s="5">
        <v>12.724019999999999</v>
      </c>
      <c r="F166" s="5">
        <v>137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35679.202640000003</v>
      </c>
      <c r="E167" s="5">
        <v>12.708489999999999</v>
      </c>
      <c r="F167" s="5">
        <v>138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35604.531640000001</v>
      </c>
      <c r="E168" s="5">
        <v>12.768090000000001</v>
      </c>
      <c r="F168" s="5">
        <v>137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35456.981749999999</v>
      </c>
      <c r="E169" s="5">
        <v>12.727040000000001</v>
      </c>
      <c r="F169" s="5">
        <v>138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35747.862379999999</v>
      </c>
      <c r="E170" s="5">
        <v>12.72744</v>
      </c>
      <c r="F170" s="5">
        <v>136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35258.546670000003</v>
      </c>
      <c r="E171" s="5">
        <v>28.489629999999998</v>
      </c>
      <c r="F171" s="5">
        <v>332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35258.712200000002</v>
      </c>
      <c r="E172" s="5">
        <v>28.509180000000001</v>
      </c>
      <c r="F172" s="5">
        <v>323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35250.32</v>
      </c>
      <c r="E173" s="5">
        <v>28.519860000000001</v>
      </c>
      <c r="F173" s="5">
        <v>326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35335.378709999997</v>
      </c>
      <c r="E174" s="5">
        <v>28.586300000000001</v>
      </c>
      <c r="F174" s="5">
        <v>313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35327.156669999997</v>
      </c>
      <c r="E175" s="5">
        <v>28.532240000000002</v>
      </c>
      <c r="F175" s="5">
        <v>309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35265.917390000002</v>
      </c>
      <c r="E176" s="5">
        <v>28.484739999999999</v>
      </c>
      <c r="F176" s="5">
        <v>318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35219.963329999999</v>
      </c>
      <c r="E177" s="5">
        <v>28.512720000000002</v>
      </c>
      <c r="F177" s="5">
        <v>324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35231.06</v>
      </c>
      <c r="E178" s="5">
        <v>28.521879999999999</v>
      </c>
      <c r="F178" s="5">
        <v>320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35230.576670000002</v>
      </c>
      <c r="E179" s="5">
        <v>28.531179999999999</v>
      </c>
      <c r="F179" s="5">
        <v>328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35229.169670000003</v>
      </c>
      <c r="E180" s="5">
        <v>28.49858</v>
      </c>
      <c r="F180" s="5">
        <v>314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0.73050000000000004</v>
      </c>
      <c r="F181" s="5">
        <v>78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0.73570999999999998</v>
      </c>
      <c r="F182" s="5">
        <v>80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0.73250999999999999</v>
      </c>
      <c r="F183" s="5">
        <v>80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0.73353999999999997</v>
      </c>
      <c r="F184" s="5">
        <v>72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0.73246999999999995</v>
      </c>
      <c r="F185" s="5">
        <v>80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0.73348999999999998</v>
      </c>
      <c r="F186" s="5">
        <v>80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0.73082000000000003</v>
      </c>
      <c r="F187" s="5">
        <v>79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0.73628000000000005</v>
      </c>
      <c r="F188" s="5">
        <v>78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0.73028999999999999</v>
      </c>
      <c r="F189" s="5">
        <v>68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0.73487999999999998</v>
      </c>
      <c r="F190" s="5">
        <v>76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675.38611000000003</v>
      </c>
      <c r="E191" s="5">
        <v>1.1392599999999999</v>
      </c>
      <c r="F191" s="5">
        <v>108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675.36581000000001</v>
      </c>
      <c r="E192" s="5">
        <v>1.1421600000000001</v>
      </c>
      <c r="F192" s="5">
        <v>123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675.36989000000005</v>
      </c>
      <c r="E193" s="5">
        <v>1.13537</v>
      </c>
      <c r="F193" s="5">
        <v>115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675.36581000000001</v>
      </c>
      <c r="E194" s="5">
        <v>1.13971</v>
      </c>
      <c r="F194" s="5">
        <v>121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675.36581000000001</v>
      </c>
      <c r="E195" s="5">
        <v>1.13872</v>
      </c>
      <c r="F195" s="5">
        <v>114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675.47965999999997</v>
      </c>
      <c r="E196" s="5">
        <v>1.13531</v>
      </c>
      <c r="F196" s="5">
        <v>119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675.36989000000005</v>
      </c>
      <c r="E197" s="5">
        <v>1.1366000000000001</v>
      </c>
      <c r="F197" s="5">
        <v>119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675.36989000000005</v>
      </c>
      <c r="E198" s="5">
        <v>1.1359900000000001</v>
      </c>
      <c r="F198" s="5">
        <v>114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675.36989000000005</v>
      </c>
      <c r="E199" s="5">
        <v>1.13578</v>
      </c>
      <c r="F199" s="5">
        <v>122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675.36989000000005</v>
      </c>
      <c r="E200" s="5">
        <v>1.1415599999999999</v>
      </c>
      <c r="F200" s="5">
        <v>123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657.32992999999999</v>
      </c>
      <c r="E201" s="5">
        <v>2.0675400000000002</v>
      </c>
      <c r="F201" s="5">
        <v>220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655.43295999999998</v>
      </c>
      <c r="E202" s="5">
        <v>2.0699000000000001</v>
      </c>
      <c r="F202" s="5">
        <v>209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657.32380999999998</v>
      </c>
      <c r="E203" s="5">
        <v>2.07063</v>
      </c>
      <c r="F203" s="5">
        <v>218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657.32380999999998</v>
      </c>
      <c r="E204" s="5">
        <v>2.0686</v>
      </c>
      <c r="F204" s="5">
        <v>210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655.43295999999998</v>
      </c>
      <c r="E205" s="5">
        <v>2.0665300000000002</v>
      </c>
      <c r="F205" s="5">
        <v>221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656.34612000000004</v>
      </c>
      <c r="E206" s="5">
        <v>2.0706600000000002</v>
      </c>
      <c r="F206" s="5">
        <v>213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655.43295999999998</v>
      </c>
      <c r="E207" s="5">
        <v>2.0699999999999998</v>
      </c>
      <c r="F207" s="5">
        <v>219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657.45713999999998</v>
      </c>
      <c r="E208" s="5">
        <v>2.07287</v>
      </c>
      <c r="F208" s="5">
        <v>206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656.34204</v>
      </c>
      <c r="E209" s="5">
        <v>2.0710700000000002</v>
      </c>
      <c r="F209" s="5">
        <v>217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655.43295999999998</v>
      </c>
      <c r="E210" s="5">
        <v>2.0725600000000002</v>
      </c>
      <c r="F210" s="5">
        <v>208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1459.9687899999999</v>
      </c>
      <c r="E211" s="5">
        <v>1.59368</v>
      </c>
      <c r="F211" s="5">
        <v>70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1460.0209400000001</v>
      </c>
      <c r="E212" s="5">
        <v>1.60097</v>
      </c>
      <c r="F212" s="5">
        <v>69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1459.9687899999999</v>
      </c>
      <c r="E213" s="5">
        <v>1.5931</v>
      </c>
      <c r="F213" s="5">
        <v>72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1459.9687899999999</v>
      </c>
      <c r="E214" s="5">
        <v>1.59389</v>
      </c>
      <c r="F214" s="5">
        <v>72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1459.9687899999999</v>
      </c>
      <c r="E215" s="5">
        <v>1.59406</v>
      </c>
      <c r="F215" s="5">
        <v>69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1459.9687899999999</v>
      </c>
      <c r="E216" s="5">
        <v>1.5977399999999999</v>
      </c>
      <c r="F216" s="5">
        <v>73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1460.0209400000001</v>
      </c>
      <c r="E217" s="5">
        <v>1.59551</v>
      </c>
      <c r="F217" s="5">
        <v>69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1467.0858700000001</v>
      </c>
      <c r="E218" s="5">
        <v>1.5968</v>
      </c>
      <c r="F218" s="5">
        <v>72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1459.9687899999999</v>
      </c>
      <c r="E219" s="5">
        <v>1.5930500000000001</v>
      </c>
      <c r="F219" s="5">
        <v>73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1460.0209400000001</v>
      </c>
      <c r="E220" s="5">
        <v>1.60259</v>
      </c>
      <c r="F220" s="5">
        <v>71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1012.63504</v>
      </c>
      <c r="E221" s="5">
        <v>4.5458299999999996</v>
      </c>
      <c r="F221" s="5">
        <v>206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1023.02562</v>
      </c>
      <c r="E222" s="5">
        <v>4.5471599999999999</v>
      </c>
      <c r="F222" s="5">
        <v>202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1019.88693</v>
      </c>
      <c r="E223" s="5">
        <v>4.5426799999999998</v>
      </c>
      <c r="F223" s="5">
        <v>198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1014.16905</v>
      </c>
      <c r="E224" s="5">
        <v>4.5520899999999997</v>
      </c>
      <c r="F224" s="5">
        <v>198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1010.79252</v>
      </c>
      <c r="E225" s="5">
        <v>4.5411700000000002</v>
      </c>
      <c r="F225" s="5">
        <v>204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1017.56881</v>
      </c>
      <c r="E226" s="5">
        <v>4.5442900000000002</v>
      </c>
      <c r="F226" s="5">
        <v>202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1015.73126</v>
      </c>
      <c r="E227" s="5">
        <v>4.5518599999999996</v>
      </c>
      <c r="F227" s="5">
        <v>205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1015.40966</v>
      </c>
      <c r="E228" s="5">
        <v>4.5580800000000004</v>
      </c>
      <c r="F228" s="5">
        <v>201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1015.7056700000001</v>
      </c>
      <c r="E229" s="5">
        <v>4.5492299999999997</v>
      </c>
      <c r="F229" s="5">
        <v>202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1005.95063</v>
      </c>
      <c r="E230" s="5">
        <v>4.54155</v>
      </c>
      <c r="F230" s="5">
        <v>202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999.55188999999996</v>
      </c>
      <c r="E231" s="5">
        <v>8.3893400000000007</v>
      </c>
      <c r="F231" s="5">
        <v>371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990.97436000000005</v>
      </c>
      <c r="E232" s="5">
        <v>8.3995200000000008</v>
      </c>
      <c r="F232" s="5">
        <v>371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997.26287000000002</v>
      </c>
      <c r="E233" s="5">
        <v>8.3921600000000005</v>
      </c>
      <c r="F233" s="5">
        <v>367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994.71731999999997</v>
      </c>
      <c r="E234" s="5">
        <v>8.4003899999999998</v>
      </c>
      <c r="F234" s="5">
        <v>367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991.49986999999999</v>
      </c>
      <c r="E235" s="5">
        <v>8.3886900000000004</v>
      </c>
      <c r="F235" s="5">
        <v>367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995.11611000000005</v>
      </c>
      <c r="E236" s="5">
        <v>8.3926200000000009</v>
      </c>
      <c r="F236" s="5">
        <v>367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994.50418000000002</v>
      </c>
      <c r="E237" s="5">
        <v>8.3891299999999998</v>
      </c>
      <c r="F237" s="5">
        <v>367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992.62464</v>
      </c>
      <c r="E238" s="5">
        <v>8.3851899999999997</v>
      </c>
      <c r="F238" s="5">
        <v>367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994.42630999999994</v>
      </c>
      <c r="E239" s="5">
        <v>8.3939400000000006</v>
      </c>
      <c r="F239" s="5">
        <v>370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994.02547000000004</v>
      </c>
      <c r="E240" s="5">
        <v>8.3974499999999992</v>
      </c>
      <c r="F240" s="5">
        <v>365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1842.24584</v>
      </c>
      <c r="E241" s="5">
        <v>5.08758</v>
      </c>
      <c r="F241" s="5">
        <v>63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1818.85546</v>
      </c>
      <c r="E242" s="5">
        <v>5.0551300000000001</v>
      </c>
      <c r="F242" s="5">
        <v>63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1841.4289699999999</v>
      </c>
      <c r="E243" s="5">
        <v>5.1120299999999999</v>
      </c>
      <c r="F243" s="5">
        <v>63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1859.0237</v>
      </c>
      <c r="E244" s="5">
        <v>5.0549799999999996</v>
      </c>
      <c r="F244" s="5">
        <v>63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1829.7069100000001</v>
      </c>
      <c r="E245" s="5">
        <v>5.0796099999999997</v>
      </c>
      <c r="F245" s="5">
        <v>63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1843.40138</v>
      </c>
      <c r="E246" s="5">
        <v>5.0467899999999997</v>
      </c>
      <c r="F246" s="5">
        <v>63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1837.78144</v>
      </c>
      <c r="E247" s="5">
        <v>5.0957600000000003</v>
      </c>
      <c r="F247" s="5">
        <v>64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1828.4873600000001</v>
      </c>
      <c r="E248" s="5">
        <v>5.0573399999999999</v>
      </c>
      <c r="F248" s="5">
        <v>62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1839.99566</v>
      </c>
      <c r="E249" s="5">
        <v>5.0723500000000001</v>
      </c>
      <c r="F249" s="5">
        <v>63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1824.7134599999999</v>
      </c>
      <c r="E250" s="5">
        <v>5.08751</v>
      </c>
      <c r="F250" s="5">
        <v>63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1764.34537</v>
      </c>
      <c r="E251" s="5">
        <v>9.3693500000000007</v>
      </c>
      <c r="F251" s="5">
        <v>114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1773.2320500000001</v>
      </c>
      <c r="E252" s="5">
        <v>9.3723899999999993</v>
      </c>
      <c r="F252" s="5">
        <v>112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1775.4872800000001</v>
      </c>
      <c r="E253" s="5">
        <v>9.4305299999999992</v>
      </c>
      <c r="F253" s="5">
        <v>114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1773.6159700000001</v>
      </c>
      <c r="E254" s="5">
        <v>9.4194399999999998</v>
      </c>
      <c r="F254" s="5">
        <v>114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1779.7850000000001</v>
      </c>
      <c r="E255" s="5">
        <v>9.3964099999999995</v>
      </c>
      <c r="F255" s="5">
        <v>114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1774.7573600000001</v>
      </c>
      <c r="E256" s="5">
        <v>9.4284999999999997</v>
      </c>
      <c r="F256" s="5">
        <v>113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1783.7630300000001</v>
      </c>
      <c r="E257" s="5">
        <v>9.4092900000000004</v>
      </c>
      <c r="F257" s="5">
        <v>114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1767.69</v>
      </c>
      <c r="E258" s="5">
        <v>9.4090799999999994</v>
      </c>
      <c r="F258" s="5">
        <v>114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1787.7590499999999</v>
      </c>
      <c r="E259" s="5">
        <v>9.4250799999999995</v>
      </c>
      <c r="F259" s="5">
        <v>114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1778.14012</v>
      </c>
      <c r="E260" s="5">
        <v>9.3710900000000006</v>
      </c>
      <c r="F260" s="5">
        <v>111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1756.74667</v>
      </c>
      <c r="E261" s="5">
        <v>15.338290000000001</v>
      </c>
      <c r="F261" s="5">
        <v>185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1758.7108900000001</v>
      </c>
      <c r="E262" s="5">
        <v>15.3894</v>
      </c>
      <c r="F262" s="5">
        <v>186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1757.22</v>
      </c>
      <c r="E263" s="5">
        <v>15.34503</v>
      </c>
      <c r="F263" s="5">
        <v>186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1757.6666700000001</v>
      </c>
      <c r="E264" s="5">
        <v>15.37054</v>
      </c>
      <c r="F264" s="5">
        <v>183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1757.0501999999999</v>
      </c>
      <c r="E265" s="5">
        <v>15.389670000000001</v>
      </c>
      <c r="F265" s="5">
        <v>187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1756.19</v>
      </c>
      <c r="E266" s="5">
        <v>15.388540000000001</v>
      </c>
      <c r="F266" s="5">
        <v>187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1756.9949999999999</v>
      </c>
      <c r="E267" s="5">
        <v>15.36327</v>
      </c>
      <c r="F267" s="5">
        <v>183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1757.8884700000001</v>
      </c>
      <c r="E268" s="5">
        <v>15.34151</v>
      </c>
      <c r="F268" s="5">
        <v>184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1755.50333</v>
      </c>
      <c r="E269" s="5">
        <v>15.35927</v>
      </c>
      <c r="F269" s="5">
        <v>187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1756.2391600000001</v>
      </c>
      <c r="E270" s="5">
        <v>15.348380000000001</v>
      </c>
      <c r="F270" s="5">
        <v>184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41.318849999999998</v>
      </c>
      <c r="E271" s="5">
        <v>0.58643000000000001</v>
      </c>
      <c r="F271" s="5">
        <v>76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42.424349999999997</v>
      </c>
      <c r="E272" s="5">
        <v>0.58613999999999999</v>
      </c>
      <c r="F272" s="5">
        <v>72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42.003050000000002</v>
      </c>
      <c r="E273" s="5">
        <v>0.59028999999999998</v>
      </c>
      <c r="F273" s="5">
        <v>70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42.424349999999997</v>
      </c>
      <c r="E274" s="5">
        <v>0.58533000000000002</v>
      </c>
      <c r="F274" s="5">
        <v>75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41.318849999999998</v>
      </c>
      <c r="E275" s="5">
        <v>0.59079999999999999</v>
      </c>
      <c r="F275" s="5">
        <v>76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42.424349999999997</v>
      </c>
      <c r="E276" s="5">
        <v>0.58908000000000005</v>
      </c>
      <c r="F276" s="5">
        <v>76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41.318849999999998</v>
      </c>
      <c r="E277" s="5">
        <v>0.58552000000000004</v>
      </c>
      <c r="F277" s="5">
        <v>75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41.318849999999998</v>
      </c>
      <c r="E278" s="5">
        <v>0.58828999999999998</v>
      </c>
      <c r="F278" s="5">
        <v>75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42.424349999999997</v>
      </c>
      <c r="E279" s="5">
        <v>0.58813000000000004</v>
      </c>
      <c r="F279" s="5">
        <v>76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42.424349999999997</v>
      </c>
      <c r="E280" s="5">
        <v>0.58897999999999995</v>
      </c>
      <c r="F280" s="5">
        <v>68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0.87717999999999996</v>
      </c>
      <c r="F281" s="5">
        <v>104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0.87609000000000004</v>
      </c>
      <c r="F282" s="5">
        <v>104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28.65436</v>
      </c>
      <c r="E283" s="5">
        <v>0.87416000000000005</v>
      </c>
      <c r="F283" s="5">
        <v>115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0.87587999999999999</v>
      </c>
      <c r="F284" s="5">
        <v>116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0.87653999999999999</v>
      </c>
      <c r="F285" s="5">
        <v>115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28.65436</v>
      </c>
      <c r="E286" s="5">
        <v>0.87492000000000003</v>
      </c>
      <c r="F286" s="5">
        <v>115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28.65436</v>
      </c>
      <c r="E287" s="5">
        <v>0.87526000000000004</v>
      </c>
      <c r="F287" s="5">
        <v>110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0.87638000000000005</v>
      </c>
      <c r="F288" s="5">
        <v>115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28.65436</v>
      </c>
      <c r="E289" s="5">
        <v>0.87385999999999997</v>
      </c>
      <c r="F289" s="5">
        <v>117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0.87683</v>
      </c>
      <c r="F290" s="5">
        <v>116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28.592030000000001</v>
      </c>
      <c r="E291" s="5">
        <v>1.13435</v>
      </c>
      <c r="F291" s="5">
        <v>141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28.587009999999999</v>
      </c>
      <c r="E292" s="5">
        <v>1.13541</v>
      </c>
      <c r="F292" s="5">
        <v>135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28.602029999999999</v>
      </c>
      <c r="E293" s="5">
        <v>1.1315200000000001</v>
      </c>
      <c r="F293" s="5">
        <v>142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28.592030000000001</v>
      </c>
      <c r="E294" s="5">
        <v>1.1355</v>
      </c>
      <c r="F294" s="5">
        <v>145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28.587009999999999</v>
      </c>
      <c r="E295" s="5">
        <v>1.1332500000000001</v>
      </c>
      <c r="F295" s="5">
        <v>149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28.554099999999998</v>
      </c>
      <c r="E296" s="5">
        <v>1.1352500000000001</v>
      </c>
      <c r="F296" s="5">
        <v>135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28.587009999999999</v>
      </c>
      <c r="E297" s="5">
        <v>1.1314299999999999</v>
      </c>
      <c r="F297" s="5">
        <v>146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28.587009999999999</v>
      </c>
      <c r="E298" s="5">
        <v>1.13388</v>
      </c>
      <c r="F298" s="5">
        <v>148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28.546240000000001</v>
      </c>
      <c r="E299" s="5">
        <v>1.13533</v>
      </c>
      <c r="F299" s="5">
        <v>147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28.546240000000001</v>
      </c>
      <c r="E300" s="5">
        <v>1.13401</v>
      </c>
      <c r="F300" s="5">
        <v>142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56.901339999999998</v>
      </c>
      <c r="E301" s="5">
        <v>1.92012</v>
      </c>
      <c r="F301" s="5">
        <v>83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56.901339999999998</v>
      </c>
      <c r="E302" s="5">
        <v>1.9313800000000001</v>
      </c>
      <c r="F302" s="5">
        <v>82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59.061019999999999</v>
      </c>
      <c r="E303" s="5">
        <v>1.9368099999999999</v>
      </c>
      <c r="F303" s="5">
        <v>86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59.069510000000001</v>
      </c>
      <c r="E304" s="5">
        <v>1.92669</v>
      </c>
      <c r="F304" s="5">
        <v>82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58.931109999999997</v>
      </c>
      <c r="E305" s="5">
        <v>1.92906</v>
      </c>
      <c r="F305" s="5">
        <v>85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59.072850000000003</v>
      </c>
      <c r="E306" s="5">
        <v>1.93641</v>
      </c>
      <c r="F306" s="5">
        <v>82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59.136180000000003</v>
      </c>
      <c r="E307" s="5">
        <v>1.92239</v>
      </c>
      <c r="F307" s="5">
        <v>85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59.032850000000003</v>
      </c>
      <c r="E308" s="5">
        <v>1.93154</v>
      </c>
      <c r="F308" s="5">
        <v>82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56.921660000000003</v>
      </c>
      <c r="E309" s="5">
        <v>1.9323300000000001</v>
      </c>
      <c r="F309" s="5">
        <v>86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59.329509999999999</v>
      </c>
      <c r="E310" s="5">
        <v>1.9277599999999999</v>
      </c>
      <c r="F310" s="5">
        <v>84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53.905070000000002</v>
      </c>
      <c r="E311" s="5">
        <v>3.7640099999999999</v>
      </c>
      <c r="F311" s="5">
        <v>159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53.60275</v>
      </c>
      <c r="E312" s="5">
        <v>3.7598199999999999</v>
      </c>
      <c r="F312" s="5">
        <v>159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53.525829999999999</v>
      </c>
      <c r="E313" s="5">
        <v>3.7619799999999999</v>
      </c>
      <c r="F313" s="5">
        <v>164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53.545520000000003</v>
      </c>
      <c r="E314" s="5">
        <v>3.7672500000000002</v>
      </c>
      <c r="F314" s="5">
        <v>162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53.492750000000001</v>
      </c>
      <c r="E315" s="5">
        <v>3.7876300000000001</v>
      </c>
      <c r="F315" s="5">
        <v>165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53.922750000000001</v>
      </c>
      <c r="E316" s="5">
        <v>3.76003</v>
      </c>
      <c r="F316" s="5">
        <v>164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53.269159999999999</v>
      </c>
      <c r="E317" s="5">
        <v>3.76762</v>
      </c>
      <c r="F317" s="5">
        <v>162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53.705069999999999</v>
      </c>
      <c r="E318" s="5">
        <v>3.7582499999999999</v>
      </c>
      <c r="F318" s="5">
        <v>163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53.542749999999998</v>
      </c>
      <c r="E319" s="5">
        <v>3.7686099999999998</v>
      </c>
      <c r="F319" s="5">
        <v>160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53.5456</v>
      </c>
      <c r="E320" s="5">
        <v>3.75068</v>
      </c>
      <c r="F320" s="5">
        <v>162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53.234999999999999</v>
      </c>
      <c r="E321" s="5">
        <v>6.09023</v>
      </c>
      <c r="F321" s="5">
        <v>250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53.142499999999998</v>
      </c>
      <c r="E322" s="5">
        <v>6.0810599999999999</v>
      </c>
      <c r="F322" s="5">
        <v>251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53.282499999999999</v>
      </c>
      <c r="E323" s="5">
        <v>6.0776700000000003</v>
      </c>
      <c r="F323" s="5">
        <v>249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53.647489999999998</v>
      </c>
      <c r="E324" s="5">
        <v>6.0914099999999998</v>
      </c>
      <c r="F324" s="5">
        <v>251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53.618850000000002</v>
      </c>
      <c r="E325" s="5">
        <v>6.0768800000000001</v>
      </c>
      <c r="F325" s="5">
        <v>249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53.187489999999997</v>
      </c>
      <c r="E326" s="5">
        <v>6.08805</v>
      </c>
      <c r="F326" s="5">
        <v>251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53.287489999999998</v>
      </c>
      <c r="E327" s="5">
        <v>6.0914999999999999</v>
      </c>
      <c r="F327" s="5">
        <v>251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53.307569999999998</v>
      </c>
      <c r="E328" s="5">
        <v>6.08141</v>
      </c>
      <c r="F328" s="5">
        <v>253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53.668849999999999</v>
      </c>
      <c r="E329" s="5">
        <v>6.0860799999999999</v>
      </c>
      <c r="F329" s="5">
        <v>254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53.187489999999997</v>
      </c>
      <c r="E330" s="5">
        <v>6.0919400000000001</v>
      </c>
      <c r="F330" s="5">
        <v>254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148.25865999999999</v>
      </c>
      <c r="E331" s="5">
        <v>7.05335</v>
      </c>
      <c r="F331" s="5">
        <v>83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148.20735999999999</v>
      </c>
      <c r="E332" s="5">
        <v>7.0417100000000001</v>
      </c>
      <c r="F332" s="5">
        <v>85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148.15414000000001</v>
      </c>
      <c r="E333" s="5">
        <v>7.05084</v>
      </c>
      <c r="F333" s="5">
        <v>83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148.24033</v>
      </c>
      <c r="E334" s="5">
        <v>7.0349599999999999</v>
      </c>
      <c r="F334" s="5">
        <v>85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148.17617000000001</v>
      </c>
      <c r="E335" s="5">
        <v>7.0532700000000004</v>
      </c>
      <c r="F335" s="5">
        <v>85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148.15699000000001</v>
      </c>
      <c r="E336" s="5">
        <v>7.0743499999999999</v>
      </c>
      <c r="F336" s="5">
        <v>86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148.19881000000001</v>
      </c>
      <c r="E337" s="5">
        <v>7.0693099999999998</v>
      </c>
      <c r="F337" s="5">
        <v>86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148.22163</v>
      </c>
      <c r="E338" s="5">
        <v>7.0444399999999998</v>
      </c>
      <c r="F338" s="5">
        <v>84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148.25653</v>
      </c>
      <c r="E339" s="5">
        <v>7.0795599999999999</v>
      </c>
      <c r="F339" s="5">
        <v>86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148.93414000000001</v>
      </c>
      <c r="E340" s="5">
        <v>7.0250500000000002</v>
      </c>
      <c r="F340" s="5">
        <v>83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108.16558000000001</v>
      </c>
      <c r="E341" s="5">
        <v>16.819500000000001</v>
      </c>
      <c r="F341" s="5">
        <v>196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108.0645</v>
      </c>
      <c r="E342" s="5">
        <v>16.80602</v>
      </c>
      <c r="F342" s="5">
        <v>196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108.13012000000001</v>
      </c>
      <c r="E343" s="5">
        <v>16.805879999999998</v>
      </c>
      <c r="F343" s="5">
        <v>196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108.23586</v>
      </c>
      <c r="E344" s="5">
        <v>16.82704</v>
      </c>
      <c r="F344" s="5">
        <v>198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108.20413000000001</v>
      </c>
      <c r="E345" s="5">
        <v>16.805910000000001</v>
      </c>
      <c r="F345" s="5">
        <v>196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116.80351</v>
      </c>
      <c r="E346" s="5">
        <v>16.867509999999999</v>
      </c>
      <c r="F346" s="5">
        <v>198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108.217</v>
      </c>
      <c r="E347" s="5">
        <v>16.837589999999999</v>
      </c>
      <c r="F347" s="5">
        <v>197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107.81511999999999</v>
      </c>
      <c r="E348" s="5">
        <v>16.846050000000002</v>
      </c>
      <c r="F348" s="5">
        <v>197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108.05996</v>
      </c>
      <c r="E349" s="5">
        <v>16.83548</v>
      </c>
      <c r="F349" s="5">
        <v>195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107.92001999999999</v>
      </c>
      <c r="E350" s="5">
        <v>16.79975</v>
      </c>
      <c r="F350" s="5">
        <v>193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103.65163</v>
      </c>
      <c r="E351" s="5">
        <v>29.390049999999999</v>
      </c>
      <c r="F351" s="5">
        <v>334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104.06007</v>
      </c>
      <c r="E352" s="5">
        <v>29.3813</v>
      </c>
      <c r="F352" s="5">
        <v>327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103.87253</v>
      </c>
      <c r="E353" s="5">
        <v>29.365179999999999</v>
      </c>
      <c r="F353" s="5">
        <v>336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103.68496</v>
      </c>
      <c r="E354" s="5">
        <v>29.34761</v>
      </c>
      <c r="F354" s="5">
        <v>330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103.96247</v>
      </c>
      <c r="E355" s="5">
        <v>29.349779999999999</v>
      </c>
      <c r="F355" s="5">
        <v>326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103.86002999999999</v>
      </c>
      <c r="E356" s="5">
        <v>29.353249999999999</v>
      </c>
      <c r="F356" s="5">
        <v>333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104.0809</v>
      </c>
      <c r="E357" s="5">
        <v>29.355250000000002</v>
      </c>
      <c r="F357" s="5">
        <v>329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103.98586</v>
      </c>
      <c r="E358" s="5">
        <v>29.37311</v>
      </c>
      <c r="F358" s="5">
        <v>334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103.90752999999999</v>
      </c>
      <c r="E359" s="5">
        <v>29.365469999999998</v>
      </c>
      <c r="F359" s="5">
        <v>326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103.95162999999999</v>
      </c>
      <c r="E360" s="5">
        <v>29.340340000000001</v>
      </c>
      <c r="F360" s="5">
        <v>331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0.5464</v>
      </c>
      <c r="F361" s="5">
        <v>60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0.54393000000000002</v>
      </c>
      <c r="F362" s="5">
        <v>57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0.54735999999999996</v>
      </c>
      <c r="F363" s="5">
        <v>61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0.54766999999999999</v>
      </c>
      <c r="F364" s="5">
        <v>54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0.54498999999999997</v>
      </c>
      <c r="F365" s="5">
        <v>59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0.54366999999999999</v>
      </c>
      <c r="F366" s="5">
        <v>59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0.54686000000000001</v>
      </c>
      <c r="F367" s="5">
        <v>60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0.54227999999999998</v>
      </c>
      <c r="F368" s="5">
        <v>57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0.54488999999999999</v>
      </c>
      <c r="F369" s="5">
        <v>60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0.54607000000000006</v>
      </c>
      <c r="F370" s="5">
        <v>61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0.87716000000000005</v>
      </c>
      <c r="F371" s="5">
        <v>88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0.87685000000000002</v>
      </c>
      <c r="F372" s="5">
        <v>96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0.87297000000000002</v>
      </c>
      <c r="F373" s="5">
        <v>91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0.87290999999999996</v>
      </c>
      <c r="F374" s="5">
        <v>95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0.87189000000000005</v>
      </c>
      <c r="F375" s="5">
        <v>97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0.87655000000000005</v>
      </c>
      <c r="F376" s="5">
        <v>96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0.87512000000000001</v>
      </c>
      <c r="F377" s="5">
        <v>97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0.87231000000000003</v>
      </c>
      <c r="F378" s="5">
        <v>87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0.87129999999999996</v>
      </c>
      <c r="F379" s="5">
        <v>95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0.87622999999999995</v>
      </c>
      <c r="F380" s="5">
        <v>99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1.1500699999999999</v>
      </c>
      <c r="F381" s="5">
        <v>110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1.14951</v>
      </c>
      <c r="F382" s="5">
        <v>124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1.1517599999999999</v>
      </c>
      <c r="F383" s="5">
        <v>127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1.1490499999999999</v>
      </c>
      <c r="F384" s="5">
        <v>130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1.15032</v>
      </c>
      <c r="F385" s="5">
        <v>121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1.15164</v>
      </c>
      <c r="F386" s="5">
        <v>125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1.1492</v>
      </c>
      <c r="F387" s="5">
        <v>127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1.15232</v>
      </c>
      <c r="F388" s="5">
        <v>117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1.1489100000000001</v>
      </c>
      <c r="F389" s="5">
        <v>126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1.15117</v>
      </c>
      <c r="F390" s="5">
        <v>128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1.10931</v>
      </c>
      <c r="F391" s="5">
        <v>35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1.1139300000000001</v>
      </c>
      <c r="F392" s="5">
        <v>35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1.1185700000000001</v>
      </c>
      <c r="F393" s="5">
        <v>38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1.11286</v>
      </c>
      <c r="F394" s="5">
        <v>39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1.1186199999999999</v>
      </c>
      <c r="F395" s="5">
        <v>38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1.1120099999999999</v>
      </c>
      <c r="F396" s="5">
        <v>37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1.11331</v>
      </c>
      <c r="F397" s="5">
        <v>39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1.10819</v>
      </c>
      <c r="F398" s="5">
        <v>38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1.1263300000000001</v>
      </c>
      <c r="F399" s="5">
        <v>36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1.1105</v>
      </c>
      <c r="F400" s="5">
        <v>39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2.4993799999999999</v>
      </c>
      <c r="F401" s="5">
        <v>85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2.4940500000000001</v>
      </c>
      <c r="F402" s="5">
        <v>83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2.50827</v>
      </c>
      <c r="F403" s="5">
        <v>87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2.4870399999999999</v>
      </c>
      <c r="F404" s="5">
        <v>84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2.4880100000000001</v>
      </c>
      <c r="F405" s="5">
        <v>82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2.5057299999999998</v>
      </c>
      <c r="F406" s="5">
        <v>87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2.4997500000000001</v>
      </c>
      <c r="F407" s="5">
        <v>83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2.5001899999999999</v>
      </c>
      <c r="F408" s="5">
        <v>85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2.4879600000000002</v>
      </c>
      <c r="F409" s="5">
        <v>84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2.5034000000000001</v>
      </c>
      <c r="F410" s="5">
        <v>84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2.7340900000000001</v>
      </c>
      <c r="F411" s="5">
        <v>88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2.7652000000000001</v>
      </c>
      <c r="F412" s="5">
        <v>90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2.7447499999999998</v>
      </c>
      <c r="F413" s="5">
        <v>92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2.7311299999999998</v>
      </c>
      <c r="F414" s="5">
        <v>90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2.7284199999999998</v>
      </c>
      <c r="F415" s="5">
        <v>90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2.7377099999999999</v>
      </c>
      <c r="F416" s="5">
        <v>92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2.7225700000000002</v>
      </c>
      <c r="F417" s="5">
        <v>89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2.7332399999999999</v>
      </c>
      <c r="F418" s="5">
        <v>91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2.7326600000000001</v>
      </c>
      <c r="F419" s="5">
        <v>92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2.72506</v>
      </c>
      <c r="F420" s="5">
        <v>88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2.9940799999999999</v>
      </c>
      <c r="F421" s="5">
        <v>37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2.98245</v>
      </c>
      <c r="F422" s="5">
        <v>38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3.02617</v>
      </c>
      <c r="F423" s="5">
        <v>39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3.0033500000000002</v>
      </c>
      <c r="F424" s="5">
        <v>38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3.00406</v>
      </c>
      <c r="F425" s="5">
        <v>38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3.0045199999999999</v>
      </c>
      <c r="F426" s="5">
        <v>39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2.9807000000000001</v>
      </c>
      <c r="F427" s="5">
        <v>38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3.0165199999999999</v>
      </c>
      <c r="F428" s="5">
        <v>38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3.01837</v>
      </c>
      <c r="F429" s="5">
        <v>38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3.0259100000000001</v>
      </c>
      <c r="F430" s="5">
        <v>39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3.80999</v>
      </c>
      <c r="F431" s="5">
        <v>48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3.82836</v>
      </c>
      <c r="F432" s="5">
        <v>48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3.8211300000000001</v>
      </c>
      <c r="F433" s="5">
        <v>48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3.8134600000000001</v>
      </c>
      <c r="F434" s="5">
        <v>47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3.80369</v>
      </c>
      <c r="F435" s="5">
        <v>48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3.8072900000000001</v>
      </c>
      <c r="F436" s="5">
        <v>48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3.7725</v>
      </c>
      <c r="F437" s="5">
        <v>47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3.8174299999999999</v>
      </c>
      <c r="F438" s="5">
        <v>48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3.79122</v>
      </c>
      <c r="F439" s="5">
        <v>47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3.8169900000000001</v>
      </c>
      <c r="F440" s="5">
        <v>48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5.5022599999999997</v>
      </c>
      <c r="F441" s="5">
        <v>66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5.4692600000000002</v>
      </c>
      <c r="F442" s="5">
        <v>65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5.4811500000000004</v>
      </c>
      <c r="F443" s="5">
        <v>66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5.48095</v>
      </c>
      <c r="F444" s="5">
        <v>65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5.5192399999999999</v>
      </c>
      <c r="F445" s="5">
        <v>66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5.4928999999999997</v>
      </c>
      <c r="F446" s="5">
        <v>66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5.4874700000000001</v>
      </c>
      <c r="F447" s="5">
        <v>66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5.5243000000000002</v>
      </c>
      <c r="F448" s="5">
        <v>66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5.48123</v>
      </c>
      <c r="F449" s="5">
        <v>65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5.48245</v>
      </c>
      <c r="F450" s="5">
        <v>66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Z1"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0.54469000000000001</v>
      </c>
      <c r="F1" s="5">
        <v>30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0.55406999999999995</v>
      </c>
      <c r="F2" s="5">
        <v>28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0.55481999999999998</v>
      </c>
      <c r="F3" s="5">
        <v>28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170.35004000000001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0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0.54986999999999997</v>
      </c>
      <c r="F4" s="5">
        <v>31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0.54556000000000004</v>
      </c>
      <c r="F5" s="5">
        <v>30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0.54984</v>
      </c>
      <c r="F6" s="5">
        <v>26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0.54751000000000005</v>
      </c>
      <c r="F7" s="5">
        <v>30</v>
      </c>
      <c r="H7" s="5" t="s">
        <v>27</v>
      </c>
      <c r="I7" s="5">
        <v>50</v>
      </c>
      <c r="J7" s="5">
        <v>1</v>
      </c>
      <c r="L7" s="5">
        <f t="shared" ca="1" si="11"/>
        <v>181.40834000000001</v>
      </c>
      <c r="M7" s="5">
        <f t="shared" ca="1" si="0"/>
        <v>179.95332999999999</v>
      </c>
      <c r="N7" s="5">
        <f t="shared" ca="1" si="0"/>
        <v>182.34583000000001</v>
      </c>
      <c r="O7" s="5">
        <f t="shared" ca="1" si="0"/>
        <v>179.97135</v>
      </c>
      <c r="P7" s="5">
        <f t="shared" ca="1" si="0"/>
        <v>181.5967</v>
      </c>
      <c r="Q7" s="5">
        <f t="shared" ca="1" si="0"/>
        <v>182.00667000000001</v>
      </c>
      <c r="R7" s="5">
        <f t="shared" ca="1" si="0"/>
        <v>182.34583000000001</v>
      </c>
      <c r="S7" s="5">
        <f t="shared" ca="1" si="0"/>
        <v>180.25</v>
      </c>
      <c r="T7" s="5">
        <f t="shared" ca="1" si="0"/>
        <v>179.67332999999999</v>
      </c>
      <c r="U7" s="5">
        <f t="shared" ca="1" si="0"/>
        <v>182.13226</v>
      </c>
      <c r="W7" s="5">
        <f t="shared" ca="1" si="12"/>
        <v>181.16836400000003</v>
      </c>
      <c r="Y7" s="5">
        <f ca="1">Total!E7</f>
        <v>179.67332999999999</v>
      </c>
      <c r="AB7" s="5">
        <f t="shared" ca="1" si="1"/>
        <v>9.6564693268612369E-3</v>
      </c>
      <c r="AC7" s="5">
        <f t="shared" ca="1" si="2"/>
        <v>1.5583837623536067E-3</v>
      </c>
      <c r="AD7" s="5">
        <f t="shared" ca="1" si="3"/>
        <v>1.4874216446035779E-2</v>
      </c>
      <c r="AE7" s="5">
        <f t="shared" ca="1" si="4"/>
        <v>1.6586768887736883E-3</v>
      </c>
      <c r="AF7" s="5">
        <f t="shared" ca="1" si="5"/>
        <v>1.0704816346421618E-2</v>
      </c>
      <c r="AG7" s="5">
        <f t="shared" ca="1" si="6"/>
        <v>1.2986568457322082E-2</v>
      </c>
      <c r="AH7" s="5">
        <f t="shared" ca="1" si="7"/>
        <v>1.4874216446035779E-2</v>
      </c>
      <c r="AI7" s="5">
        <f t="shared" ca="1" si="8"/>
        <v>3.209547015130221E-3</v>
      </c>
      <c r="AJ7" s="5">
        <f t="shared" ca="1" si="9"/>
        <v>0</v>
      </c>
      <c r="AK7" s="5">
        <f t="shared" ca="1" si="10"/>
        <v>1.3685559231300546E-2</v>
      </c>
      <c r="AM7" s="5">
        <f t="shared" ca="1" si="13"/>
        <v>8.3208453920234557E-2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0.55056000000000005</v>
      </c>
      <c r="F8" s="5">
        <v>32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0.55034000000000005</v>
      </c>
      <c r="F9" s="5">
        <v>26</v>
      </c>
      <c r="H9" s="5" t="s">
        <v>27</v>
      </c>
      <c r="I9" s="5">
        <v>100</v>
      </c>
      <c r="J9" s="5">
        <v>0.7</v>
      </c>
      <c r="L9" s="5">
        <f t="shared" ca="1" si="11"/>
        <v>258.68065000000001</v>
      </c>
      <c r="M9" s="5">
        <f t="shared" ca="1" si="0"/>
        <v>258.25896</v>
      </c>
      <c r="N9" s="5">
        <f t="shared" ca="1" si="0"/>
        <v>258.44215000000003</v>
      </c>
      <c r="O9" s="5">
        <f t="shared" ca="1" si="0"/>
        <v>257.59064999999998</v>
      </c>
      <c r="P9" s="5">
        <f t="shared" ca="1" si="0"/>
        <v>256.53282999999999</v>
      </c>
      <c r="Q9" s="5">
        <f t="shared" ca="1" si="0"/>
        <v>258.50475</v>
      </c>
      <c r="R9" s="5">
        <f t="shared" ca="1" si="0"/>
        <v>259.84053</v>
      </c>
      <c r="S9" s="5">
        <f t="shared" ca="1" si="0"/>
        <v>259.42732000000001</v>
      </c>
      <c r="T9" s="5">
        <f t="shared" ca="1" si="0"/>
        <v>256.70312999999999</v>
      </c>
      <c r="U9" s="5">
        <f t="shared" ca="1" si="0"/>
        <v>256.86065000000002</v>
      </c>
      <c r="W9" s="5">
        <f t="shared" ca="1" si="12"/>
        <v>258.08416199999999</v>
      </c>
      <c r="Y9" s="5">
        <f ca="1">Total!E9</f>
        <v>255.18879999999999</v>
      </c>
      <c r="AB9" s="5">
        <f t="shared" ca="1" si="1"/>
        <v>1.3683398330961343E-2</v>
      </c>
      <c r="AC9" s="5">
        <f t="shared" ca="1" si="2"/>
        <v>1.2030935526951088E-2</v>
      </c>
      <c r="AD9" s="5">
        <f t="shared" ca="1" si="3"/>
        <v>1.2748796185412683E-2</v>
      </c>
      <c r="AE9" s="5">
        <f t="shared" ca="1" si="4"/>
        <v>9.4120509991033937E-3</v>
      </c>
      <c r="AF9" s="5">
        <f t="shared" ca="1" si="5"/>
        <v>5.2668063802173279E-3</v>
      </c>
      <c r="AG9" s="5">
        <f t="shared" ca="1" si="6"/>
        <v>1.299410475694864E-2</v>
      </c>
      <c r="AH9" s="5">
        <f t="shared" ca="1" si="7"/>
        <v>1.8228582132131251E-2</v>
      </c>
      <c r="AI9" s="5">
        <f t="shared" ca="1" si="8"/>
        <v>1.6609349626629469E-2</v>
      </c>
      <c r="AJ9" s="5">
        <f t="shared" ca="1" si="9"/>
        <v>5.9341554174791415E-3</v>
      </c>
      <c r="AK9" s="5">
        <f t="shared" ca="1" si="10"/>
        <v>6.5514238869418826E-3</v>
      </c>
      <c r="AM9" s="5">
        <f t="shared" ca="1" si="13"/>
        <v>0.11345960324277622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0.54908000000000001</v>
      </c>
      <c r="F10" s="5">
        <v>28</v>
      </c>
      <c r="H10" s="5" t="s">
        <v>27</v>
      </c>
      <c r="I10" s="5">
        <v>100</v>
      </c>
      <c r="J10" s="5">
        <v>1</v>
      </c>
      <c r="L10" s="5">
        <f t="shared" ca="1" si="11"/>
        <v>239.1893</v>
      </c>
      <c r="M10" s="5">
        <f t="shared" ca="1" si="0"/>
        <v>239.11667</v>
      </c>
      <c r="N10" s="5">
        <f t="shared" ca="1" si="0"/>
        <v>239.22020000000001</v>
      </c>
      <c r="O10" s="5">
        <f t="shared" ca="1" si="0"/>
        <v>239.58</v>
      </c>
      <c r="P10" s="5">
        <f t="shared" ca="1" si="0"/>
        <v>239.04</v>
      </c>
      <c r="Q10" s="5">
        <f t="shared" ca="1" si="0"/>
        <v>239.48873</v>
      </c>
      <c r="R10" s="5">
        <f t="shared" ca="1" si="0"/>
        <v>239.39222000000001</v>
      </c>
      <c r="S10" s="5">
        <f t="shared" ca="1" si="0"/>
        <v>239.14756</v>
      </c>
      <c r="T10" s="5">
        <f t="shared" ca="1" si="0"/>
        <v>239.21163999999999</v>
      </c>
      <c r="U10" s="5">
        <f t="shared" ca="1" si="0"/>
        <v>239.56666999999999</v>
      </c>
      <c r="W10" s="5">
        <f t="shared" ca="1" si="12"/>
        <v>239.29529900000003</v>
      </c>
      <c r="Y10" s="5">
        <f ca="1">Total!E10</f>
        <v>238.77667</v>
      </c>
      <c r="AB10" s="5">
        <f t="shared" ca="1" si="1"/>
        <v>1.7281001531682604E-3</v>
      </c>
      <c r="AC10" s="5">
        <f t="shared" ca="1" si="2"/>
        <v>1.4239247075520545E-3</v>
      </c>
      <c r="AD10" s="5">
        <f t="shared" ca="1" si="3"/>
        <v>1.8575097810016772E-3</v>
      </c>
      <c r="AE10" s="5">
        <f t="shared" ca="1" si="4"/>
        <v>3.3643571626994244E-3</v>
      </c>
      <c r="AF10" s="5">
        <f t="shared" ca="1" si="5"/>
        <v>1.1028296859990395E-3</v>
      </c>
      <c r="AG10" s="5">
        <f t="shared" ca="1" si="6"/>
        <v>2.9821171389985803E-3</v>
      </c>
      <c r="AH10" s="5">
        <f t="shared" ca="1" si="7"/>
        <v>2.577931922746109E-3</v>
      </c>
      <c r="AI10" s="5">
        <f t="shared" ca="1" si="8"/>
        <v>1.5532924552470006E-3</v>
      </c>
      <c r="AJ10" s="5">
        <f t="shared" ca="1" si="9"/>
        <v>1.8216603824820607E-3</v>
      </c>
      <c r="AK10" s="5">
        <f t="shared" ca="1" si="10"/>
        <v>3.3085309381355892E-3</v>
      </c>
      <c r="AM10" s="5">
        <f t="shared" ca="1" si="13"/>
        <v>2.1720254328029796E-2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1.4296</v>
      </c>
      <c r="F11" s="5">
        <v>101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1.42899</v>
      </c>
      <c r="F12" s="5">
        <v>101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1.4238299999999999</v>
      </c>
      <c r="F13" s="5">
        <v>107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1.4273</v>
      </c>
      <c r="F14" s="5">
        <v>106</v>
      </c>
      <c r="H14" s="5" t="s">
        <v>2</v>
      </c>
      <c r="I14" s="5">
        <v>47</v>
      </c>
      <c r="J14" s="5">
        <v>0.4</v>
      </c>
      <c r="L14" s="5">
        <f t="shared" ca="1" si="11"/>
        <v>4348.0289499999999</v>
      </c>
      <c r="M14" s="5">
        <f t="shared" ca="1" si="0"/>
        <v>4348.0289499999999</v>
      </c>
      <c r="N14" s="5">
        <f t="shared" ca="1" si="0"/>
        <v>4348.0289499999999</v>
      </c>
      <c r="O14" s="5">
        <f t="shared" ca="1" si="0"/>
        <v>4348.0289499999999</v>
      </c>
      <c r="P14" s="5">
        <f t="shared" ca="1" si="0"/>
        <v>4348.0289499999999</v>
      </c>
      <c r="Q14" s="5">
        <f t="shared" ca="1" si="0"/>
        <v>4348.0289499999999</v>
      </c>
      <c r="R14" s="5">
        <f t="shared" ca="1" si="0"/>
        <v>4348.0289499999999</v>
      </c>
      <c r="S14" s="5">
        <f t="shared" ca="1" si="0"/>
        <v>4348.0289499999999</v>
      </c>
      <c r="T14" s="5">
        <f t="shared" ca="1" si="0"/>
        <v>4348.0289499999999</v>
      </c>
      <c r="U14" s="5">
        <f t="shared" ca="1" si="0"/>
        <v>4348.0289499999999</v>
      </c>
      <c r="W14" s="5">
        <f t="shared" ca="1" si="12"/>
        <v>4348.0289499999999</v>
      </c>
      <c r="Y14" s="5">
        <f ca="1">Total!E14</f>
        <v>4348.0289499999999</v>
      </c>
      <c r="AB14" s="5">
        <f t="shared" ca="1" si="1"/>
        <v>0</v>
      </c>
      <c r="AC14" s="5">
        <f t="shared" ca="1" si="2"/>
        <v>0</v>
      </c>
      <c r="AD14" s="5">
        <f t="shared" ca="1" si="3"/>
        <v>0</v>
      </c>
      <c r="AE14" s="5">
        <f t="shared" ca="1" si="4"/>
        <v>0</v>
      </c>
      <c r="AF14" s="5">
        <f t="shared" ca="1" si="5"/>
        <v>0</v>
      </c>
      <c r="AG14" s="5">
        <f t="shared" ca="1" si="6"/>
        <v>0</v>
      </c>
      <c r="AH14" s="5">
        <f t="shared" ca="1" si="7"/>
        <v>0</v>
      </c>
      <c r="AI14" s="5">
        <f t="shared" ca="1" si="8"/>
        <v>0</v>
      </c>
      <c r="AJ14" s="5">
        <f t="shared" ca="1" si="9"/>
        <v>0</v>
      </c>
      <c r="AK14" s="5">
        <f t="shared" ca="1" si="10"/>
        <v>0</v>
      </c>
      <c r="AM14" s="5">
        <f t="shared" ca="1" si="13"/>
        <v>0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1.4224600000000001</v>
      </c>
      <c r="F15" s="5">
        <v>99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1.4262900000000001</v>
      </c>
      <c r="F16" s="5">
        <v>107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1.42378</v>
      </c>
      <c r="F17" s="5">
        <v>107</v>
      </c>
      <c r="H17" s="5" t="s">
        <v>2</v>
      </c>
      <c r="I17" s="5">
        <v>100</v>
      </c>
      <c r="J17" s="5">
        <v>0.4</v>
      </c>
      <c r="L17" s="5">
        <f t="shared" ca="1" si="11"/>
        <v>42986.802479999998</v>
      </c>
      <c r="M17" s="5">
        <f t="shared" ca="1" si="0"/>
        <v>42986.403050000001</v>
      </c>
      <c r="N17" s="5">
        <f t="shared" ca="1" si="0"/>
        <v>42986.403050000001</v>
      </c>
      <c r="O17" s="5">
        <f t="shared" ca="1" si="0"/>
        <v>42986.802479999998</v>
      </c>
      <c r="P17" s="5">
        <f t="shared" ca="1" si="0"/>
        <v>42986.802479999998</v>
      </c>
      <c r="Q17" s="5">
        <f t="shared" ca="1" si="0"/>
        <v>42986.403050000001</v>
      </c>
      <c r="R17" s="5">
        <f t="shared" ca="1" si="0"/>
        <v>42986.673049999998</v>
      </c>
      <c r="S17" s="5">
        <f t="shared" ca="1" si="0"/>
        <v>42986.673049999998</v>
      </c>
      <c r="T17" s="5">
        <f t="shared" ca="1" si="0"/>
        <v>42986.802479999998</v>
      </c>
      <c r="U17" s="5">
        <f t="shared" ca="1" si="0"/>
        <v>42986.403050000001</v>
      </c>
      <c r="W17" s="5">
        <f t="shared" ca="1" si="12"/>
        <v>42986.616822000004</v>
      </c>
      <c r="Y17" s="5">
        <f ca="1">Total!E17</f>
        <v>42986.193919999998</v>
      </c>
      <c r="AB17" s="5">
        <f t="shared" ca="1" si="1"/>
        <v>1.4157103583842479E-5</v>
      </c>
      <c r="AC17" s="5">
        <f t="shared" ca="1" si="2"/>
        <v>4.8650504018131747E-6</v>
      </c>
      <c r="AD17" s="5">
        <f t="shared" ca="1" si="3"/>
        <v>4.8650504018131747E-6</v>
      </c>
      <c r="AE17" s="5">
        <f t="shared" ca="1" si="4"/>
        <v>1.4157103583842479E-5</v>
      </c>
      <c r="AF17" s="5">
        <f t="shared" ca="1" si="5"/>
        <v>1.4157103583842479E-5</v>
      </c>
      <c r="AG17" s="5">
        <f t="shared" ca="1" si="6"/>
        <v>4.8650504018131747E-6</v>
      </c>
      <c r="AH17" s="5">
        <f t="shared" ca="1" si="7"/>
        <v>1.1146136847830832E-5</v>
      </c>
      <c r="AI17" s="5">
        <f t="shared" ca="1" si="8"/>
        <v>1.1146136847830832E-5</v>
      </c>
      <c r="AJ17" s="5">
        <f t="shared" ca="1" si="9"/>
        <v>1.4157103583842479E-5</v>
      </c>
      <c r="AK17" s="5">
        <f t="shared" ca="1" si="10"/>
        <v>4.8650504018131747E-6</v>
      </c>
      <c r="AM17" s="5">
        <f t="shared" ca="1" si="13"/>
        <v>9.8380889638284281E-5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1.4294100000000001</v>
      </c>
      <c r="F18" s="5">
        <v>101</v>
      </c>
      <c r="H18" s="5" t="s">
        <v>2</v>
      </c>
      <c r="I18" s="5">
        <v>100</v>
      </c>
      <c r="J18" s="5">
        <v>0.7</v>
      </c>
      <c r="L18" s="5">
        <f t="shared" ca="1" si="11"/>
        <v>35644.7762</v>
      </c>
      <c r="M18" s="5">
        <f t="shared" ca="1" si="11"/>
        <v>35809.137349999997</v>
      </c>
      <c r="N18" s="5">
        <f t="shared" ca="1" si="11"/>
        <v>35689.975449999998</v>
      </c>
      <c r="O18" s="5">
        <f t="shared" ca="1" si="11"/>
        <v>35673.394110000001</v>
      </c>
      <c r="P18" s="5">
        <f t="shared" ca="1" si="11"/>
        <v>35698.865100000003</v>
      </c>
      <c r="Q18" s="5">
        <f t="shared" ca="1" si="11"/>
        <v>35568.929929999998</v>
      </c>
      <c r="R18" s="5">
        <f t="shared" ca="1" si="11"/>
        <v>35769.849829999999</v>
      </c>
      <c r="S18" s="5">
        <f t="shared" ca="1" si="11"/>
        <v>35363.460890000002</v>
      </c>
      <c r="T18" s="5">
        <f t="shared" ca="1" si="11"/>
        <v>35650.840450000003</v>
      </c>
      <c r="U18" s="5">
        <f t="shared" ca="1" si="11"/>
        <v>35598.233959999998</v>
      </c>
      <c r="W18" s="5">
        <f t="shared" ca="1" si="12"/>
        <v>35646.746327000001</v>
      </c>
      <c r="Y18" s="5">
        <f ca="1">Total!E18</f>
        <v>35336.072039999999</v>
      </c>
      <c r="AB18" s="5">
        <f t="shared" ca="1" si="1"/>
        <v>8.7362330383114403E-3</v>
      </c>
      <c r="AC18" s="5">
        <f t="shared" ca="1" si="2"/>
        <v>1.3387603168357083E-2</v>
      </c>
      <c r="AD18" s="5">
        <f t="shared" ca="1" si="3"/>
        <v>1.0015357949219275E-2</v>
      </c>
      <c r="AE18" s="5">
        <f t="shared" ca="1" si="4"/>
        <v>9.5461111132600571E-3</v>
      </c>
      <c r="AF18" s="5">
        <f t="shared" ca="1" si="5"/>
        <v>1.0266932317472251E-2</v>
      </c>
      <c r="AG18" s="5">
        <f t="shared" ca="1" si="6"/>
        <v>6.5898068618494739E-3</v>
      </c>
      <c r="AH18" s="5">
        <f t="shared" ca="1" si="7"/>
        <v>1.22757784031278E-2</v>
      </c>
      <c r="AI18" s="5">
        <f t="shared" ca="1" si="8"/>
        <v>7.7509605394168203E-4</v>
      </c>
      <c r="AJ18" s="5">
        <f t="shared" ca="1" si="9"/>
        <v>8.9078494532071999E-3</v>
      </c>
      <c r="AK18" s="5">
        <f t="shared" ca="1" si="10"/>
        <v>7.4191019223425452E-3</v>
      </c>
      <c r="AM18" s="5">
        <f t="shared" ca="1" si="13"/>
        <v>8.7919870281088816E-2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1.42842</v>
      </c>
      <c r="F19" s="5">
        <v>108</v>
      </c>
      <c r="H19" s="5" t="s">
        <v>2</v>
      </c>
      <c r="I19" s="5">
        <v>100</v>
      </c>
      <c r="J19" s="5">
        <v>1</v>
      </c>
      <c r="L19" s="5">
        <f t="shared" ca="1" si="11"/>
        <v>35322.74667</v>
      </c>
      <c r="M19" s="5">
        <f t="shared" ca="1" si="11"/>
        <v>35465.406669999997</v>
      </c>
      <c r="N19" s="5">
        <f t="shared" ca="1" si="11"/>
        <v>35238.449999999997</v>
      </c>
      <c r="O19" s="5">
        <f t="shared" ca="1" si="11"/>
        <v>35285.86333</v>
      </c>
      <c r="P19" s="5">
        <f t="shared" ca="1" si="11"/>
        <v>35240.353329999998</v>
      </c>
      <c r="Q19" s="5">
        <f t="shared" ca="1" si="11"/>
        <v>35220.69268</v>
      </c>
      <c r="R19" s="5">
        <f t="shared" ca="1" si="11"/>
        <v>35228.176390000001</v>
      </c>
      <c r="S19" s="5">
        <f t="shared" ca="1" si="11"/>
        <v>35276.72926</v>
      </c>
      <c r="T19" s="5">
        <f t="shared" ca="1" si="11"/>
        <v>35221.372510000001</v>
      </c>
      <c r="U19" s="5">
        <f t="shared" ca="1" si="11"/>
        <v>35280.713329999999</v>
      </c>
      <c r="W19" s="5">
        <f t="shared" ca="1" si="12"/>
        <v>35278.050417000006</v>
      </c>
      <c r="Y19" s="5">
        <f ca="1">Total!E19</f>
        <v>35203.853329999998</v>
      </c>
      <c r="AB19" s="5">
        <f t="shared" ca="1" si="1"/>
        <v>3.3772819948287847E-3</v>
      </c>
      <c r="AC19" s="5">
        <f t="shared" ca="1" si="2"/>
        <v>7.429679289599477E-3</v>
      </c>
      <c r="AD19" s="5">
        <f t="shared" ca="1" si="3"/>
        <v>9.8275236167162487E-4</v>
      </c>
      <c r="AE19" s="5">
        <f t="shared" ca="1" si="4"/>
        <v>2.3295745278575741E-3</v>
      </c>
      <c r="AF19" s="5">
        <f t="shared" ca="1" si="5"/>
        <v>1.0368183180929076E-3</v>
      </c>
      <c r="AG19" s="5">
        <f t="shared" ca="1" si="6"/>
        <v>4.7833826150081891E-4</v>
      </c>
      <c r="AH19" s="5">
        <f t="shared" ca="1" si="7"/>
        <v>6.9092038794727145E-4</v>
      </c>
      <c r="AI19" s="5">
        <f t="shared" ca="1" si="8"/>
        <v>2.0701123060837948E-3</v>
      </c>
      <c r="AJ19" s="5">
        <f t="shared" ca="1" si="9"/>
        <v>4.9764949977999925E-4</v>
      </c>
      <c r="AK19" s="5">
        <f t="shared" ca="1" si="10"/>
        <v>2.1832837240718214E-3</v>
      </c>
      <c r="AM19" s="5">
        <f t="shared" ca="1" si="13"/>
        <v>2.1076410671434075E-2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1.4281900000000001</v>
      </c>
      <c r="F20" s="5">
        <v>105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1.7744599999999999</v>
      </c>
      <c r="F21" s="5">
        <v>125</v>
      </c>
      <c r="H21" s="5" t="s">
        <v>1</v>
      </c>
      <c r="I21" s="5">
        <v>30</v>
      </c>
      <c r="J21" s="5">
        <v>0.7</v>
      </c>
      <c r="L21" s="5">
        <f t="shared" ca="1" si="11"/>
        <v>675.36989000000005</v>
      </c>
      <c r="M21" s="5">
        <f t="shared" ca="1" si="11"/>
        <v>675.36581000000001</v>
      </c>
      <c r="N21" s="5">
        <f t="shared" ca="1" si="11"/>
        <v>675.36581000000001</v>
      </c>
      <c r="O21" s="5">
        <f t="shared" ca="1" si="11"/>
        <v>675.36581000000001</v>
      </c>
      <c r="P21" s="5">
        <f t="shared" ca="1" si="11"/>
        <v>675.36989000000005</v>
      </c>
      <c r="Q21" s="5">
        <f t="shared" ca="1" si="11"/>
        <v>675.48396000000002</v>
      </c>
      <c r="R21" s="5">
        <f t="shared" ca="1" si="11"/>
        <v>675.36581000000001</v>
      </c>
      <c r="S21" s="5">
        <f t="shared" ca="1" si="11"/>
        <v>675.36581000000001</v>
      </c>
      <c r="T21" s="5">
        <f t="shared" ca="1" si="11"/>
        <v>675.36989000000005</v>
      </c>
      <c r="U21" s="5">
        <f t="shared" ca="1" si="11"/>
        <v>675.36581000000001</v>
      </c>
      <c r="W21" s="5">
        <f t="shared" ca="1" si="12"/>
        <v>675.37884900000006</v>
      </c>
      <c r="Y21" s="5">
        <f ca="1">Total!E21</f>
        <v>675.36581000000001</v>
      </c>
      <c r="AB21" s="5">
        <f t="shared" ca="1" si="1"/>
        <v>6.0411704881010963E-6</v>
      </c>
      <c r="AC21" s="5">
        <f t="shared" ca="1" si="2"/>
        <v>0</v>
      </c>
      <c r="AD21" s="5">
        <f t="shared" ca="1" si="3"/>
        <v>0</v>
      </c>
      <c r="AE21" s="5">
        <f t="shared" ca="1" si="4"/>
        <v>0</v>
      </c>
      <c r="AF21" s="5">
        <f t="shared" ca="1" si="5"/>
        <v>6.0411704881010963E-6</v>
      </c>
      <c r="AG21" s="5">
        <f t="shared" ca="1" si="6"/>
        <v>1.7494222871604085E-4</v>
      </c>
      <c r="AH21" s="5">
        <f t="shared" ca="1" si="7"/>
        <v>0</v>
      </c>
      <c r="AI21" s="5">
        <f t="shared" ca="1" si="8"/>
        <v>0</v>
      </c>
      <c r="AJ21" s="5">
        <f t="shared" ca="1" si="9"/>
        <v>6.0411704881010963E-6</v>
      </c>
      <c r="AK21" s="5">
        <f t="shared" ca="1" si="10"/>
        <v>0</v>
      </c>
      <c r="AM21" s="5">
        <f t="shared" ca="1" si="13"/>
        <v>1.9306574018034415E-4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1.77271</v>
      </c>
      <c r="F22" s="5">
        <v>121</v>
      </c>
      <c r="H22" s="5" t="s">
        <v>1</v>
      </c>
      <c r="I22" s="5">
        <v>30</v>
      </c>
      <c r="J22" s="5">
        <v>1</v>
      </c>
      <c r="L22" s="5">
        <f t="shared" ca="1" si="11"/>
        <v>657.32380999999998</v>
      </c>
      <c r="M22" s="5">
        <f t="shared" ca="1" si="11"/>
        <v>657.45713999999998</v>
      </c>
      <c r="N22" s="5">
        <f t="shared" ca="1" si="11"/>
        <v>658.23289</v>
      </c>
      <c r="O22" s="5">
        <f t="shared" ca="1" si="11"/>
        <v>655.43907999999999</v>
      </c>
      <c r="P22" s="5">
        <f t="shared" ca="1" si="11"/>
        <v>655.43907999999999</v>
      </c>
      <c r="Q22" s="5">
        <f t="shared" ca="1" si="11"/>
        <v>655.46475999999996</v>
      </c>
      <c r="R22" s="5">
        <f t="shared" ca="1" si="11"/>
        <v>655.43295999999998</v>
      </c>
      <c r="S22" s="5">
        <f t="shared" ca="1" si="11"/>
        <v>655.43295999999998</v>
      </c>
      <c r="T22" s="5">
        <f t="shared" ca="1" si="11"/>
        <v>656.34204</v>
      </c>
      <c r="U22" s="5">
        <f t="shared" ca="1" si="11"/>
        <v>655.43295999999998</v>
      </c>
      <c r="W22" s="5">
        <f t="shared" ca="1" si="12"/>
        <v>656.19976800000006</v>
      </c>
      <c r="Y22" s="5">
        <f ca="1">Total!E22</f>
        <v>655.43295999999998</v>
      </c>
      <c r="AB22" s="5">
        <f t="shared" ca="1" si="1"/>
        <v>2.8848869608266272E-3</v>
      </c>
      <c r="AC22" s="5">
        <f t="shared" ca="1" si="2"/>
        <v>3.088309748719383E-3</v>
      </c>
      <c r="AD22" s="5">
        <f t="shared" ca="1" si="3"/>
        <v>4.2718785457478634E-3</v>
      </c>
      <c r="AE22" s="5">
        <f t="shared" ca="1" si="4"/>
        <v>9.337339397777456E-6</v>
      </c>
      <c r="AF22" s="5">
        <f t="shared" ca="1" si="5"/>
        <v>9.337339397777456E-6</v>
      </c>
      <c r="AG22" s="5">
        <f t="shared" ca="1" si="6"/>
        <v>4.8517547851080951E-5</v>
      </c>
      <c r="AH22" s="5">
        <f t="shared" ca="1" si="7"/>
        <v>0</v>
      </c>
      <c r="AI22" s="5">
        <f t="shared" ca="1" si="8"/>
        <v>0</v>
      </c>
      <c r="AJ22" s="5">
        <f t="shared" ca="1" si="9"/>
        <v>1.3869915849212362E-3</v>
      </c>
      <c r="AK22" s="5">
        <f t="shared" ca="1" si="10"/>
        <v>0</v>
      </c>
      <c r="AM22" s="5">
        <f t="shared" ca="1" si="13"/>
        <v>1.1699259066861745E-2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1.7766599999999999</v>
      </c>
      <c r="F23" s="5">
        <v>130</v>
      </c>
      <c r="H23" s="5" t="s">
        <v>1</v>
      </c>
      <c r="I23" s="5">
        <v>50</v>
      </c>
      <c r="J23" s="5">
        <v>0.4</v>
      </c>
      <c r="L23" s="5">
        <f t="shared" ca="1" si="11"/>
        <v>1460.86608</v>
      </c>
      <c r="M23" s="5">
        <f t="shared" ca="1" si="11"/>
        <v>1459.9687899999999</v>
      </c>
      <c r="N23" s="5">
        <f t="shared" ca="1" si="11"/>
        <v>1459.9687899999999</v>
      </c>
      <c r="O23" s="5">
        <f t="shared" ca="1" si="11"/>
        <v>1483.36385</v>
      </c>
      <c r="P23" s="5">
        <f t="shared" ca="1" si="11"/>
        <v>1460.0209400000001</v>
      </c>
      <c r="Q23" s="5">
        <f t="shared" ca="1" si="11"/>
        <v>1483.36385</v>
      </c>
      <c r="R23" s="5">
        <f t="shared" ca="1" si="11"/>
        <v>1483.36385</v>
      </c>
      <c r="S23" s="5">
        <f t="shared" ca="1" si="11"/>
        <v>1459.9687899999999</v>
      </c>
      <c r="T23" s="5">
        <f t="shared" ca="1" si="11"/>
        <v>1459.9687899999999</v>
      </c>
      <c r="U23" s="5">
        <f t="shared" ca="1" si="11"/>
        <v>1483.36385</v>
      </c>
      <c r="W23" s="5">
        <f t="shared" ca="1" si="12"/>
        <v>1469.421758</v>
      </c>
      <c r="Y23" s="5">
        <f ca="1">Total!E23</f>
        <v>1459.9687899999999</v>
      </c>
      <c r="AB23" s="5">
        <f t="shared" ca="1" si="1"/>
        <v>6.1459532980846245E-4</v>
      </c>
      <c r="AC23" s="5">
        <f t="shared" ca="1" si="2"/>
        <v>0</v>
      </c>
      <c r="AD23" s="5">
        <f t="shared" ca="1" si="3"/>
        <v>0</v>
      </c>
      <c r="AE23" s="5">
        <f t="shared" ca="1" si="4"/>
        <v>1.6024356246683916E-2</v>
      </c>
      <c r="AF23" s="5">
        <f t="shared" ca="1" si="5"/>
        <v>3.5719941657253266E-5</v>
      </c>
      <c r="AG23" s="5">
        <f t="shared" ca="1" si="6"/>
        <v>1.6024356246683916E-2</v>
      </c>
      <c r="AH23" s="5">
        <f t="shared" ca="1" si="7"/>
        <v>1.6024356246683916E-2</v>
      </c>
      <c r="AI23" s="5">
        <f t="shared" ca="1" si="8"/>
        <v>0</v>
      </c>
      <c r="AJ23" s="5">
        <f t="shared" ca="1" si="9"/>
        <v>0</v>
      </c>
      <c r="AK23" s="5">
        <f t="shared" ca="1" si="10"/>
        <v>1.6024356246683916E-2</v>
      </c>
      <c r="AM23" s="5">
        <f t="shared" ca="1" si="13"/>
        <v>6.4747740258201375E-2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1.7716700000000001</v>
      </c>
      <c r="F24" s="5">
        <v>120</v>
      </c>
      <c r="H24" s="5" t="s">
        <v>1</v>
      </c>
      <c r="I24" s="5">
        <v>50</v>
      </c>
      <c r="J24" s="5">
        <v>0.7</v>
      </c>
      <c r="L24" s="5">
        <f t="shared" ca="1" si="11"/>
        <v>1012.78409</v>
      </c>
      <c r="M24" s="5">
        <f t="shared" ca="1" si="11"/>
        <v>1010.78252</v>
      </c>
      <c r="N24" s="5">
        <f t="shared" ca="1" si="11"/>
        <v>1014.1107500000001</v>
      </c>
      <c r="O24" s="5">
        <f t="shared" ca="1" si="11"/>
        <v>1016.268</v>
      </c>
      <c r="P24" s="5">
        <f t="shared" ca="1" si="11"/>
        <v>1015.5346</v>
      </c>
      <c r="Q24" s="5">
        <f t="shared" ca="1" si="11"/>
        <v>1017.02876</v>
      </c>
      <c r="R24" s="5">
        <f t="shared" ca="1" si="11"/>
        <v>1015.6252500000001</v>
      </c>
      <c r="S24" s="5">
        <f t="shared" ca="1" si="11"/>
        <v>1018.95237</v>
      </c>
      <c r="T24" s="5">
        <f t="shared" ca="1" si="11"/>
        <v>1009.11991</v>
      </c>
      <c r="U24" s="5">
        <f t="shared" ca="1" si="11"/>
        <v>1013.03742</v>
      </c>
      <c r="W24" s="5">
        <f t="shared" ca="1" si="12"/>
        <v>1014.3243669999999</v>
      </c>
      <c r="Y24" s="5">
        <f ca="1">Total!E24</f>
        <v>1005.95063</v>
      </c>
      <c r="AB24" s="5">
        <f t="shared" ca="1" si="1"/>
        <v>6.7930371493479212E-3</v>
      </c>
      <c r="AC24" s="5">
        <f t="shared" ca="1" si="2"/>
        <v>4.8033072955080613E-3</v>
      </c>
      <c r="AD24" s="5">
        <f t="shared" ca="1" si="3"/>
        <v>8.111849385690038E-3</v>
      </c>
      <c r="AE24" s="5">
        <f t="shared" ca="1" si="4"/>
        <v>1.0256338325470288E-2</v>
      </c>
      <c r="AF24" s="5">
        <f t="shared" ca="1" si="5"/>
        <v>9.5272767014420064E-3</v>
      </c>
      <c r="AG24" s="5">
        <f t="shared" ca="1" si="6"/>
        <v>1.1012598103348259E-2</v>
      </c>
      <c r="AH24" s="5">
        <f t="shared" ca="1" si="7"/>
        <v>9.6173904677608318E-3</v>
      </c>
      <c r="AI24" s="5">
        <f t="shared" ca="1" si="8"/>
        <v>1.2924829124069365E-2</v>
      </c>
      <c r="AJ24" s="5">
        <f t="shared" ca="1" si="9"/>
        <v>3.150532347695789E-3</v>
      </c>
      <c r="AK24" s="5">
        <f t="shared" ca="1" si="10"/>
        <v>7.0448685936008119E-3</v>
      </c>
      <c r="AM24" s="5">
        <f t="shared" ca="1" si="13"/>
        <v>8.3242027493933377E-2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1.7713300000000001</v>
      </c>
      <c r="F25" s="5">
        <v>129</v>
      </c>
      <c r="H25" s="5" t="s">
        <v>1</v>
      </c>
      <c r="I25" s="5">
        <v>50</v>
      </c>
      <c r="J25" s="5">
        <v>1</v>
      </c>
      <c r="L25" s="5">
        <f t="shared" ca="1" si="11"/>
        <v>994.19332999999995</v>
      </c>
      <c r="M25" s="5">
        <f t="shared" ca="1" si="11"/>
        <v>998.90125999999998</v>
      </c>
      <c r="N25" s="5">
        <f t="shared" ca="1" si="11"/>
        <v>993.18521999999996</v>
      </c>
      <c r="O25" s="5">
        <f t="shared" ca="1" si="11"/>
        <v>996.72718999999995</v>
      </c>
      <c r="P25" s="5">
        <f t="shared" ca="1" si="11"/>
        <v>995.10398999999995</v>
      </c>
      <c r="Q25" s="5">
        <f t="shared" ca="1" si="11"/>
        <v>994.19332999999995</v>
      </c>
      <c r="R25" s="5">
        <f t="shared" ca="1" si="11"/>
        <v>991.72820000000002</v>
      </c>
      <c r="S25" s="5">
        <f t="shared" ca="1" si="11"/>
        <v>993</v>
      </c>
      <c r="T25" s="5">
        <f t="shared" ca="1" si="11"/>
        <v>993.30530999999996</v>
      </c>
      <c r="U25" s="5">
        <f t="shared" ca="1" si="11"/>
        <v>994.54630999999995</v>
      </c>
      <c r="W25" s="5">
        <f t="shared" ca="1" si="12"/>
        <v>994.48841400000003</v>
      </c>
      <c r="Y25" s="5">
        <f ca="1">Total!E25</f>
        <v>990.69820000000004</v>
      </c>
      <c r="AB25" s="5">
        <f t="shared" ca="1" si="1"/>
        <v>3.5279462504321734E-3</v>
      </c>
      <c r="AC25" s="5">
        <f t="shared" ca="1" si="2"/>
        <v>8.2800796448403123E-3</v>
      </c>
      <c r="AD25" s="5">
        <f t="shared" ca="1" si="3"/>
        <v>2.5103709686763493E-3</v>
      </c>
      <c r="AE25" s="5">
        <f t="shared" ca="1" si="4"/>
        <v>6.0855970062324806E-3</v>
      </c>
      <c r="AF25" s="5">
        <f t="shared" ca="1" si="5"/>
        <v>4.4471565608980726E-3</v>
      </c>
      <c r="AG25" s="5">
        <f t="shared" ca="1" si="6"/>
        <v>3.5279462504321734E-3</v>
      </c>
      <c r="AH25" s="5">
        <f t="shared" ca="1" si="7"/>
        <v>1.0396708099398714E-3</v>
      </c>
      <c r="AI25" s="5">
        <f t="shared" ca="1" si="8"/>
        <v>2.3234119129316652E-3</v>
      </c>
      <c r="AJ25" s="5">
        <f t="shared" ca="1" si="9"/>
        <v>2.6315885100022594E-3</v>
      </c>
      <c r="AK25" s="5">
        <f t="shared" ca="1" si="10"/>
        <v>3.8842404276094433E-3</v>
      </c>
      <c r="AM25" s="5">
        <f t="shared" ca="1" si="13"/>
        <v>3.8258008341994797E-2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1.77444</v>
      </c>
      <c r="F26" s="5">
        <v>130</v>
      </c>
      <c r="H26" s="5" t="s">
        <v>1</v>
      </c>
      <c r="I26" s="5">
        <v>100</v>
      </c>
      <c r="J26" s="5">
        <v>0.4</v>
      </c>
      <c r="L26" s="5">
        <f t="shared" ca="1" si="11"/>
        <v>1825.6873499999999</v>
      </c>
      <c r="M26" s="5">
        <f t="shared" ca="1" si="11"/>
        <v>1802.04593</v>
      </c>
      <c r="N26" s="5">
        <f t="shared" ca="1" si="11"/>
        <v>1834.41391</v>
      </c>
      <c r="O26" s="5">
        <f t="shared" ca="1" si="11"/>
        <v>1815.3492200000001</v>
      </c>
      <c r="P26" s="5">
        <f t="shared" ca="1" si="11"/>
        <v>1786.3248599999999</v>
      </c>
      <c r="Q26" s="5">
        <f t="shared" ca="1" si="11"/>
        <v>1811.1053899999999</v>
      </c>
      <c r="R26" s="5">
        <f t="shared" ca="1" si="11"/>
        <v>1824.57457</v>
      </c>
      <c r="S26" s="5">
        <f t="shared" ca="1" si="11"/>
        <v>1845.8854100000001</v>
      </c>
      <c r="T26" s="5">
        <f t="shared" ca="1" si="11"/>
        <v>1835.7342900000001</v>
      </c>
      <c r="U26" s="5">
        <f t="shared" ca="1" si="11"/>
        <v>1825.3070299999999</v>
      </c>
      <c r="W26" s="5">
        <f t="shared" ca="1" si="12"/>
        <v>1820.6427960000001</v>
      </c>
      <c r="Y26" s="5">
        <f ca="1">Total!E26</f>
        <v>1786.3248599999999</v>
      </c>
      <c r="AB26" s="5">
        <f t="shared" ca="1" si="1"/>
        <v>2.2035460000259965E-2</v>
      </c>
      <c r="AC26" s="5">
        <f t="shared" ca="1" si="2"/>
        <v>8.8007900197951978E-3</v>
      </c>
      <c r="AD26" s="5">
        <f t="shared" ca="1" si="3"/>
        <v>2.6920663243750659E-2</v>
      </c>
      <c r="AE26" s="5">
        <f t="shared" ca="1" si="4"/>
        <v>1.6248086028428286E-2</v>
      </c>
      <c r="AF26" s="5">
        <f t="shared" ca="1" si="5"/>
        <v>0</v>
      </c>
      <c r="AG26" s="5">
        <f t="shared" ca="1" si="6"/>
        <v>1.3872353542680921E-2</v>
      </c>
      <c r="AH26" s="5">
        <f t="shared" ca="1" si="7"/>
        <v>2.1412516198201514E-2</v>
      </c>
      <c r="AI26" s="5">
        <f t="shared" ca="1" si="8"/>
        <v>3.3342507476495711E-2</v>
      </c>
      <c r="AJ26" s="5">
        <f t="shared" ca="1" si="9"/>
        <v>2.7659823308958571E-2</v>
      </c>
      <c r="AK26" s="5">
        <f t="shared" ca="1" si="10"/>
        <v>2.1822553597557835E-2</v>
      </c>
      <c r="AM26" s="5">
        <f t="shared" ca="1" si="13"/>
        <v>0.19211475341612866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1.7758</v>
      </c>
      <c r="F27" s="5">
        <v>122</v>
      </c>
      <c r="H27" s="5" t="s">
        <v>1</v>
      </c>
      <c r="I27" s="5">
        <v>100</v>
      </c>
      <c r="J27" s="5">
        <v>0.7</v>
      </c>
      <c r="L27" s="5">
        <f t="shared" ca="1" si="11"/>
        <v>1779.77458</v>
      </c>
      <c r="M27" s="5">
        <f t="shared" ca="1" si="11"/>
        <v>1794.8768</v>
      </c>
      <c r="N27" s="5">
        <f t="shared" ca="1" si="11"/>
        <v>1770.1566800000001</v>
      </c>
      <c r="O27" s="5">
        <f t="shared" ca="1" si="11"/>
        <v>1781.32329</v>
      </c>
      <c r="P27" s="5">
        <f t="shared" ca="1" si="11"/>
        <v>1781.87805</v>
      </c>
      <c r="Q27" s="5">
        <f t="shared" ca="1" si="11"/>
        <v>1794.8083999999999</v>
      </c>
      <c r="R27" s="5">
        <f t="shared" ca="1" si="11"/>
        <v>1780.4704200000001</v>
      </c>
      <c r="S27" s="5">
        <f t="shared" ca="1" si="11"/>
        <v>1777.20192</v>
      </c>
      <c r="T27" s="5">
        <f t="shared" ca="1" si="11"/>
        <v>1776.3233299999999</v>
      </c>
      <c r="U27" s="5">
        <f t="shared" ca="1" si="11"/>
        <v>1773.1612500000001</v>
      </c>
      <c r="W27" s="5">
        <f t="shared" ca="1" si="12"/>
        <v>1780.9974719999998</v>
      </c>
      <c r="Y27" s="5">
        <f ca="1">Total!E27</f>
        <v>1761.02206</v>
      </c>
      <c r="AB27" s="5">
        <f t="shared" ca="1" si="1"/>
        <v>1.0648657064523089E-2</v>
      </c>
      <c r="AC27" s="5">
        <f t="shared" ca="1" si="2"/>
        <v>1.9224483763707077E-2</v>
      </c>
      <c r="AD27" s="5">
        <f t="shared" ca="1" si="3"/>
        <v>5.1871127610974054E-3</v>
      </c>
      <c r="AE27" s="5">
        <f t="shared" ca="1" si="4"/>
        <v>1.152809522442895E-2</v>
      </c>
      <c r="AF27" s="5">
        <f t="shared" ca="1" si="5"/>
        <v>1.1843116831824367E-2</v>
      </c>
      <c r="AG27" s="5">
        <f t="shared" ca="1" si="6"/>
        <v>1.9185642682976886E-2</v>
      </c>
      <c r="AH27" s="5">
        <f t="shared" ca="1" si="7"/>
        <v>1.1043791240184744E-2</v>
      </c>
      <c r="AI27" s="5">
        <f t="shared" ca="1" si="8"/>
        <v>9.1877667903830593E-3</v>
      </c>
      <c r="AJ27" s="5">
        <f t="shared" ca="1" si="9"/>
        <v>8.6888576512209794E-3</v>
      </c>
      <c r="AK27" s="5">
        <f t="shared" ca="1" si="10"/>
        <v>6.8932640173741486E-3</v>
      </c>
      <c r="AM27" s="5">
        <f t="shared" ca="1" si="13"/>
        <v>0.11343078802772072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1.77488</v>
      </c>
      <c r="F28" s="5">
        <v>129</v>
      </c>
      <c r="H28" s="5" t="s">
        <v>1</v>
      </c>
      <c r="I28" s="5">
        <v>100</v>
      </c>
      <c r="J28" s="5">
        <v>1</v>
      </c>
      <c r="L28" s="5">
        <f t="shared" ca="1" si="11"/>
        <v>1756.64526</v>
      </c>
      <c r="M28" s="5">
        <f t="shared" ca="1" si="11"/>
        <v>1757.72333</v>
      </c>
      <c r="N28" s="5">
        <f t="shared" ca="1" si="11"/>
        <v>1758.02667</v>
      </c>
      <c r="O28" s="5">
        <f t="shared" ca="1" si="11"/>
        <v>1758.2335399999999</v>
      </c>
      <c r="P28" s="5">
        <f t="shared" ca="1" si="11"/>
        <v>1758</v>
      </c>
      <c r="Q28" s="5">
        <f t="shared" ca="1" si="11"/>
        <v>1755.49818</v>
      </c>
      <c r="R28" s="5">
        <f t="shared" ca="1" si="11"/>
        <v>1755.5</v>
      </c>
      <c r="S28" s="5">
        <f t="shared" ca="1" si="11"/>
        <v>1757.2033300000001</v>
      </c>
      <c r="T28" s="5">
        <f t="shared" ca="1" si="11"/>
        <v>1756.5050000000001</v>
      </c>
      <c r="U28" s="5">
        <f t="shared" ca="1" si="11"/>
        <v>1755.9452000000001</v>
      </c>
      <c r="W28" s="5">
        <f t="shared" ca="1" si="12"/>
        <v>1756.9280510000003</v>
      </c>
      <c r="Y28" s="5">
        <f ca="1">Total!E28</f>
        <v>1753.1198199999999</v>
      </c>
      <c r="AB28" s="5">
        <f t="shared" ca="1" si="1"/>
        <v>2.0109521093658717E-3</v>
      </c>
      <c r="AC28" s="5">
        <f t="shared" ca="1" si="2"/>
        <v>2.6258958158377004E-3</v>
      </c>
      <c r="AD28" s="5">
        <f t="shared" ca="1" si="3"/>
        <v>2.798924491082462E-3</v>
      </c>
      <c r="AE28" s="5">
        <f t="shared" ca="1" si="4"/>
        <v>2.9169255527554628E-3</v>
      </c>
      <c r="AF28" s="5">
        <f t="shared" ca="1" si="5"/>
        <v>2.7837116119080268E-3</v>
      </c>
      <c r="AG28" s="5">
        <f t="shared" ca="1" si="6"/>
        <v>1.3566442937141382E-3</v>
      </c>
      <c r="AH28" s="5">
        <f t="shared" ca="1" si="7"/>
        <v>1.3576824429491132E-3</v>
      </c>
      <c r="AI28" s="5">
        <f t="shared" ca="1" si="8"/>
        <v>2.3292817486942567E-3</v>
      </c>
      <c r="AJ28" s="5">
        <f t="shared" ca="1" si="9"/>
        <v>1.9309461688706588E-3</v>
      </c>
      <c r="AK28" s="5">
        <f t="shared" ca="1" si="10"/>
        <v>1.6116297173573812E-3</v>
      </c>
      <c r="AM28" s="5">
        <f t="shared" ca="1" si="13"/>
        <v>2.1722593952535077E-2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1.77694</v>
      </c>
      <c r="F29" s="5">
        <v>125</v>
      </c>
      <c r="H29" s="5" t="s">
        <v>0</v>
      </c>
      <c r="I29" s="5">
        <v>25</v>
      </c>
      <c r="J29" s="5">
        <v>0.4</v>
      </c>
      <c r="L29" s="5">
        <f t="shared" ca="1" si="11"/>
        <v>41.318849999999998</v>
      </c>
      <c r="M29" s="5">
        <f t="shared" ca="1" si="11"/>
        <v>42.424349999999997</v>
      </c>
      <c r="N29" s="5">
        <f t="shared" ca="1" si="11"/>
        <v>42.424349999999997</v>
      </c>
      <c r="O29" s="5">
        <f t="shared" ca="1" si="11"/>
        <v>42.003050000000002</v>
      </c>
      <c r="P29" s="5">
        <f t="shared" ca="1" si="11"/>
        <v>41.318849999999998</v>
      </c>
      <c r="Q29" s="5">
        <f t="shared" ca="1" si="11"/>
        <v>41.318849999999998</v>
      </c>
      <c r="R29" s="5">
        <f t="shared" ca="1" si="11"/>
        <v>41.318849999999998</v>
      </c>
      <c r="S29" s="5">
        <f t="shared" ca="1" si="11"/>
        <v>41.318849999999998</v>
      </c>
      <c r="T29" s="5">
        <f t="shared" ca="1" si="11"/>
        <v>42.424349999999997</v>
      </c>
      <c r="U29" s="5">
        <f t="shared" ca="1" si="11"/>
        <v>41.318849999999998</v>
      </c>
      <c r="W29" s="5">
        <f t="shared" ca="1" si="12"/>
        <v>41.718920000000004</v>
      </c>
      <c r="Y29" s="5">
        <f ca="1">Total!E29</f>
        <v>40.897550000000003</v>
      </c>
      <c r="AB29" s="5">
        <f t="shared" ca="1" si="1"/>
        <v>1.0301350569899543E-2</v>
      </c>
      <c r="AC29" s="5">
        <f t="shared" ca="1" si="2"/>
        <v>3.7332309637129711E-2</v>
      </c>
      <c r="AD29" s="5">
        <f t="shared" ca="1" si="3"/>
        <v>3.7332309637129711E-2</v>
      </c>
      <c r="AE29" s="5">
        <f t="shared" ca="1" si="4"/>
        <v>2.703095906723017E-2</v>
      </c>
      <c r="AF29" s="5">
        <f t="shared" ca="1" si="5"/>
        <v>1.0301350569899543E-2</v>
      </c>
      <c r="AG29" s="5">
        <f t="shared" ca="1" si="6"/>
        <v>1.0301350569899543E-2</v>
      </c>
      <c r="AH29" s="5">
        <f t="shared" ca="1" si="7"/>
        <v>1.0301350569899543E-2</v>
      </c>
      <c r="AI29" s="5">
        <f t="shared" ca="1" si="8"/>
        <v>1.0301350569899543E-2</v>
      </c>
      <c r="AJ29" s="5">
        <f t="shared" ca="1" si="9"/>
        <v>3.7332309637129711E-2</v>
      </c>
      <c r="AK29" s="5">
        <f t="shared" ca="1" si="10"/>
        <v>1.0301350569899543E-2</v>
      </c>
      <c r="AM29" s="5">
        <f t="shared" ca="1" si="13"/>
        <v>0.20083599139801653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1.7765299999999999</v>
      </c>
      <c r="F30" s="5">
        <v>128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1"/>
        <v>28.65436</v>
      </c>
      <c r="N30" s="5">
        <f t="shared" ca="1" si="11"/>
        <v>28.65436</v>
      </c>
      <c r="O30" s="5">
        <f t="shared" ca="1" si="11"/>
        <v>28.65436</v>
      </c>
      <c r="P30" s="5">
        <f t="shared" ca="1" si="11"/>
        <v>28.65436</v>
      </c>
      <c r="Q30" s="5">
        <f t="shared" ca="1" si="11"/>
        <v>28.65436</v>
      </c>
      <c r="R30" s="5">
        <f t="shared" ca="1" si="11"/>
        <v>28.682030000000001</v>
      </c>
      <c r="S30" s="5">
        <f t="shared" ca="1" si="11"/>
        <v>28.65436</v>
      </c>
      <c r="T30" s="5">
        <f t="shared" ca="1" si="11"/>
        <v>28.65624</v>
      </c>
      <c r="U30" s="5">
        <f t="shared" ca="1" si="11"/>
        <v>28.65436</v>
      </c>
      <c r="W30" s="5">
        <f t="shared" ca="1" si="12"/>
        <v>28.657315000000001</v>
      </c>
      <c r="Y30" s="5">
        <f ca="1">Total!E30</f>
        <v>28.65436</v>
      </c>
      <c r="AB30" s="5">
        <f t="shared" ca="1" si="1"/>
        <v>0</v>
      </c>
      <c r="AC30" s="5">
        <f t="shared" ca="1" si="2"/>
        <v>0</v>
      </c>
      <c r="AD30" s="5">
        <f t="shared" ca="1" si="3"/>
        <v>0</v>
      </c>
      <c r="AE30" s="5">
        <f t="shared" ca="1" si="4"/>
        <v>0</v>
      </c>
      <c r="AF30" s="5">
        <f t="shared" ca="1" si="5"/>
        <v>0</v>
      </c>
      <c r="AG30" s="5">
        <f t="shared" ca="1" si="6"/>
        <v>0</v>
      </c>
      <c r="AH30" s="5">
        <f t="shared" ca="1" si="7"/>
        <v>9.6564711269072235E-4</v>
      </c>
      <c r="AI30" s="5">
        <f t="shared" ca="1" si="8"/>
        <v>0</v>
      </c>
      <c r="AJ30" s="5">
        <f t="shared" ca="1" si="9"/>
        <v>6.5609561686245368E-5</v>
      </c>
      <c r="AK30" s="5">
        <f t="shared" ca="1" si="10"/>
        <v>0</v>
      </c>
      <c r="AM30" s="5">
        <f t="shared" ca="1" si="13"/>
        <v>1.0312566743769678E-3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1.22651</v>
      </c>
      <c r="F31" s="5">
        <v>31</v>
      </c>
      <c r="H31" s="5" t="s">
        <v>0</v>
      </c>
      <c r="I31" s="5">
        <v>25</v>
      </c>
      <c r="J31" s="5">
        <v>1</v>
      </c>
      <c r="L31" s="5">
        <f t="shared" ca="1" si="11"/>
        <v>28.592030000000001</v>
      </c>
      <c r="M31" s="5">
        <f t="shared" ca="1" si="11"/>
        <v>28.592030000000001</v>
      </c>
      <c r="N31" s="5">
        <f t="shared" ca="1" si="11"/>
        <v>28.546240000000001</v>
      </c>
      <c r="O31" s="5">
        <f t="shared" ca="1" si="11"/>
        <v>28.592030000000001</v>
      </c>
      <c r="P31" s="5">
        <f t="shared" ca="1" si="11"/>
        <v>28.592030000000001</v>
      </c>
      <c r="Q31" s="5">
        <f t="shared" ca="1" si="11"/>
        <v>28.602029999999999</v>
      </c>
      <c r="R31" s="5">
        <f t="shared" ca="1" si="11"/>
        <v>28.592030000000001</v>
      </c>
      <c r="S31" s="5">
        <f t="shared" ca="1" si="11"/>
        <v>28.592030000000001</v>
      </c>
      <c r="T31" s="5">
        <f t="shared" ca="1" si="11"/>
        <v>28.504100000000001</v>
      </c>
      <c r="U31" s="5">
        <f t="shared" ca="1" si="11"/>
        <v>28.602029999999999</v>
      </c>
      <c r="W31" s="5">
        <f t="shared" ca="1" si="12"/>
        <v>28.580658</v>
      </c>
      <c r="Y31" s="5">
        <f ca="1">Total!E31</f>
        <v>28.504100000000001</v>
      </c>
      <c r="AB31" s="5">
        <f t="shared" ca="1" si="1"/>
        <v>3.0848193768615766E-3</v>
      </c>
      <c r="AC31" s="5">
        <f t="shared" ca="1" si="2"/>
        <v>3.0848193768615766E-3</v>
      </c>
      <c r="AD31" s="5">
        <f t="shared" ca="1" si="3"/>
        <v>1.4783838114516804E-3</v>
      </c>
      <c r="AE31" s="5">
        <f t="shared" ca="1" si="4"/>
        <v>3.0848193768615766E-3</v>
      </c>
      <c r="AF31" s="5">
        <f t="shared" ca="1" si="5"/>
        <v>3.0848193768615766E-3</v>
      </c>
      <c r="AG31" s="5">
        <f t="shared" ca="1" si="6"/>
        <v>3.4356461000346642E-3</v>
      </c>
      <c r="AH31" s="5">
        <f t="shared" ca="1" si="7"/>
        <v>3.0848193768615766E-3</v>
      </c>
      <c r="AI31" s="5">
        <f t="shared" ca="1" si="8"/>
        <v>3.0848193768615766E-3</v>
      </c>
      <c r="AJ31" s="5">
        <f t="shared" ca="1" si="9"/>
        <v>0</v>
      </c>
      <c r="AK31" s="5">
        <f t="shared" ca="1" si="10"/>
        <v>3.4356461000346642E-3</v>
      </c>
      <c r="AM31" s="5">
        <f t="shared" ca="1" si="13"/>
        <v>2.6858592272690468E-2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1.22299</v>
      </c>
      <c r="F32" s="5">
        <v>32</v>
      </c>
      <c r="H32" s="5" t="s">
        <v>0</v>
      </c>
      <c r="I32" s="5">
        <v>50</v>
      </c>
      <c r="J32" s="5">
        <v>0.4</v>
      </c>
      <c r="L32" s="5">
        <f t="shared" ca="1" si="11"/>
        <v>59.18618</v>
      </c>
      <c r="M32" s="5">
        <f t="shared" ca="1" si="11"/>
        <v>59.106180000000002</v>
      </c>
      <c r="N32" s="5">
        <f t="shared" ca="1" si="11"/>
        <v>56.901339999999998</v>
      </c>
      <c r="O32" s="5">
        <f t="shared" ca="1" si="11"/>
        <v>56.901339999999998</v>
      </c>
      <c r="P32" s="5">
        <f t="shared" ca="1" si="11"/>
        <v>59.081020000000002</v>
      </c>
      <c r="Q32" s="5">
        <f t="shared" ca="1" si="11"/>
        <v>57.343380000000003</v>
      </c>
      <c r="R32" s="5">
        <f t="shared" ca="1" si="11"/>
        <v>59.059890000000003</v>
      </c>
      <c r="S32" s="5">
        <f t="shared" ca="1" si="11"/>
        <v>59.117330000000003</v>
      </c>
      <c r="T32" s="5">
        <f t="shared" ca="1" si="11"/>
        <v>56.901339999999998</v>
      </c>
      <c r="U32" s="5">
        <f t="shared" ca="1" si="11"/>
        <v>57.402329999999999</v>
      </c>
      <c r="W32" s="5">
        <f t="shared" ca="1" si="12"/>
        <v>58.100032999999996</v>
      </c>
      <c r="Y32" s="5">
        <f ca="1">Total!E32</f>
        <v>56.511339999999997</v>
      </c>
      <c r="AB32" s="5">
        <f t="shared" ca="1" si="1"/>
        <v>4.7332800814845366E-2</v>
      </c>
      <c r="AC32" s="5">
        <f t="shared" ca="1" si="2"/>
        <v>4.591715574254663E-2</v>
      </c>
      <c r="AD32" s="5">
        <f t="shared" ca="1" si="3"/>
        <v>6.901269727456482E-3</v>
      </c>
      <c r="AE32" s="5">
        <f t="shared" ca="1" si="4"/>
        <v>6.901269727456482E-3</v>
      </c>
      <c r="AF32" s="5">
        <f t="shared" ca="1" si="5"/>
        <v>4.5471935367308675E-2</v>
      </c>
      <c r="AG32" s="5">
        <f t="shared" ca="1" si="6"/>
        <v>1.4723416574443402E-2</v>
      </c>
      <c r="AH32" s="5">
        <f t="shared" ca="1" si="7"/>
        <v>4.5098028112587778E-2</v>
      </c>
      <c r="AI32" s="5">
        <f t="shared" ca="1" si="8"/>
        <v>4.6114461274498281E-2</v>
      </c>
      <c r="AJ32" s="5">
        <f t="shared" ca="1" si="9"/>
        <v>6.901269727456482E-3</v>
      </c>
      <c r="AK32" s="5">
        <f t="shared" ca="1" si="10"/>
        <v>1.5766570037093478E-2</v>
      </c>
      <c r="AM32" s="5">
        <f t="shared" ca="1" si="13"/>
        <v>0.28112817710569304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1.2213400000000001</v>
      </c>
      <c r="F33" s="5">
        <v>32</v>
      </c>
      <c r="H33" s="5" t="s">
        <v>0</v>
      </c>
      <c r="I33" s="5">
        <v>50</v>
      </c>
      <c r="J33" s="5">
        <v>0.7</v>
      </c>
      <c r="L33" s="5">
        <f t="shared" ca="1" si="11"/>
        <v>53.828400000000002</v>
      </c>
      <c r="M33" s="5">
        <f t="shared" ca="1" si="11"/>
        <v>53.115070000000003</v>
      </c>
      <c r="N33" s="5">
        <f t="shared" ca="1" si="11"/>
        <v>53.315600000000003</v>
      </c>
      <c r="O33" s="5">
        <f t="shared" ca="1" si="11"/>
        <v>53.505070000000003</v>
      </c>
      <c r="P33" s="5">
        <f t="shared" ca="1" si="11"/>
        <v>53.636470000000003</v>
      </c>
      <c r="Q33" s="5">
        <f t="shared" ca="1" si="11"/>
        <v>53.835070000000002</v>
      </c>
      <c r="R33" s="5">
        <f t="shared" ca="1" si="11"/>
        <v>53.505600000000001</v>
      </c>
      <c r="S33" s="5">
        <f t="shared" ca="1" si="11"/>
        <v>53.785519999999998</v>
      </c>
      <c r="T33" s="5">
        <f t="shared" ca="1" si="11"/>
        <v>53.625070000000001</v>
      </c>
      <c r="U33" s="5">
        <f t="shared" ca="1" si="11"/>
        <v>53.268729999999998</v>
      </c>
      <c r="W33" s="5">
        <f t="shared" ca="1" si="12"/>
        <v>53.542060000000006</v>
      </c>
      <c r="Y33" s="5">
        <f ca="1">Total!E33</f>
        <v>53.115070000000003</v>
      </c>
      <c r="AB33" s="5">
        <f t="shared" ca="1" si="1"/>
        <v>1.3429898520325759E-2</v>
      </c>
      <c r="AC33" s="5">
        <f t="shared" ca="1" si="2"/>
        <v>0</v>
      </c>
      <c r="AD33" s="5">
        <f t="shared" ca="1" si="3"/>
        <v>3.7753880395902809E-3</v>
      </c>
      <c r="AE33" s="5">
        <f t="shared" ca="1" si="4"/>
        <v>7.342548922556264E-3</v>
      </c>
      <c r="AF33" s="5">
        <f t="shared" ca="1" si="5"/>
        <v>9.8164230980021267E-3</v>
      </c>
      <c r="AG33" s="5">
        <f t="shared" ca="1" si="6"/>
        <v>1.3555474933949985E-2</v>
      </c>
      <c r="AH33" s="5">
        <f t="shared" ca="1" si="7"/>
        <v>7.3525272582714895E-3</v>
      </c>
      <c r="AI33" s="5">
        <f t="shared" ca="1" si="8"/>
        <v>1.2622594679814886E-2</v>
      </c>
      <c r="AJ33" s="5">
        <f t="shared" ca="1" si="9"/>
        <v>9.6017947448812178E-3</v>
      </c>
      <c r="AK33" s="5">
        <f t="shared" ca="1" si="10"/>
        <v>2.8929642754870703E-3</v>
      </c>
      <c r="AM33" s="5">
        <f t="shared" ca="1" si="13"/>
        <v>8.0389614472879095E-2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1.22231</v>
      </c>
      <c r="F34" s="5">
        <v>32</v>
      </c>
      <c r="H34" s="5" t="s">
        <v>0</v>
      </c>
      <c r="I34" s="5">
        <v>50</v>
      </c>
      <c r="J34" s="5">
        <v>1</v>
      </c>
      <c r="L34" s="5">
        <f t="shared" ca="1" si="11"/>
        <v>53.267490000000002</v>
      </c>
      <c r="M34" s="5">
        <f t="shared" ca="1" si="11"/>
        <v>53.475520000000003</v>
      </c>
      <c r="N34" s="5">
        <f t="shared" ca="1" si="11"/>
        <v>53.067489999999999</v>
      </c>
      <c r="O34" s="5">
        <f t="shared" ca="1" si="11"/>
        <v>53.258769999999998</v>
      </c>
      <c r="P34" s="5">
        <f t="shared" ca="1" si="11"/>
        <v>53.472499999999997</v>
      </c>
      <c r="Q34" s="5">
        <f t="shared" ca="1" si="11"/>
        <v>53.067489999999999</v>
      </c>
      <c r="R34" s="5">
        <f t="shared" ca="1" si="11"/>
        <v>53.155520000000003</v>
      </c>
      <c r="S34" s="5">
        <f t="shared" ca="1" si="11"/>
        <v>53.537489999999998</v>
      </c>
      <c r="T34" s="5">
        <f t="shared" ca="1" si="11"/>
        <v>53.38749</v>
      </c>
      <c r="U34" s="5">
        <f t="shared" ca="1" si="11"/>
        <v>53.557490000000001</v>
      </c>
      <c r="W34" s="5">
        <f t="shared" ca="1" si="12"/>
        <v>53.324725000000001</v>
      </c>
      <c r="Y34" s="5">
        <f ca="1">Total!E34</f>
        <v>53.003740000000001</v>
      </c>
      <c r="AB34" s="5">
        <f t="shared" ca="1" si="1"/>
        <v>4.9760639532229556E-3</v>
      </c>
      <c r="AC34" s="5">
        <f t="shared" ca="1" si="2"/>
        <v>8.9008813340342129E-3</v>
      </c>
      <c r="AD34" s="5">
        <f t="shared" ca="1" si="3"/>
        <v>1.2027453157078889E-3</v>
      </c>
      <c r="AE34" s="5">
        <f t="shared" ca="1" si="4"/>
        <v>4.8115472606272284E-3</v>
      </c>
      <c r="AF34" s="5">
        <f t="shared" ca="1" si="5"/>
        <v>8.8439042226076143E-3</v>
      </c>
      <c r="AG34" s="5">
        <f t="shared" ca="1" si="6"/>
        <v>1.2027453157078889E-3</v>
      </c>
      <c r="AH34" s="5">
        <f t="shared" ca="1" si="7"/>
        <v>2.8635715140101856E-3</v>
      </c>
      <c r="AI34" s="5">
        <f t="shared" ca="1" si="8"/>
        <v>1.0070044113868148E-2</v>
      </c>
      <c r="AJ34" s="5">
        <f t="shared" ca="1" si="9"/>
        <v>7.2400551357319149E-3</v>
      </c>
      <c r="AK34" s="5">
        <f t="shared" ca="1" si="10"/>
        <v>1.0447375977619709E-2</v>
      </c>
      <c r="AM34" s="5">
        <f t="shared" ca="1" si="13"/>
        <v>6.0558934143137746E-2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1.2178899999999999</v>
      </c>
      <c r="F35" s="5">
        <v>31</v>
      </c>
      <c r="H35" s="5" t="s">
        <v>0</v>
      </c>
      <c r="I35" s="5">
        <v>100</v>
      </c>
      <c r="J35" s="5">
        <v>0.4</v>
      </c>
      <c r="L35" s="5">
        <f t="shared" ca="1" si="11"/>
        <v>148.19963999999999</v>
      </c>
      <c r="M35" s="5">
        <f t="shared" ca="1" si="11"/>
        <v>148.21215000000001</v>
      </c>
      <c r="N35" s="5">
        <f t="shared" ca="1" si="11"/>
        <v>148.18145999999999</v>
      </c>
      <c r="O35" s="5">
        <f t="shared" ca="1" si="11"/>
        <v>148.21403000000001</v>
      </c>
      <c r="P35" s="5">
        <f t="shared" ca="1" si="11"/>
        <v>148.23819</v>
      </c>
      <c r="Q35" s="5">
        <f t="shared" ca="1" si="11"/>
        <v>148.21449999999999</v>
      </c>
      <c r="R35" s="5">
        <f t="shared" ca="1" si="11"/>
        <v>148.23146</v>
      </c>
      <c r="S35" s="5">
        <f t="shared" ca="1" si="11"/>
        <v>148.19247999999999</v>
      </c>
      <c r="T35" s="5">
        <f t="shared" ca="1" si="11"/>
        <v>148.27421000000001</v>
      </c>
      <c r="U35" s="5">
        <f t="shared" ca="1" si="11"/>
        <v>148.22963999999999</v>
      </c>
      <c r="W35" s="5">
        <f t="shared" ca="1" si="12"/>
        <v>148.21877599999999</v>
      </c>
      <c r="Y35" s="5">
        <f ca="1">Total!E35</f>
        <v>147.96312</v>
      </c>
      <c r="AB35" s="5">
        <f t="shared" ca="1" si="1"/>
        <v>1.5985064386313597E-3</v>
      </c>
      <c r="AC35" s="5">
        <f t="shared" ca="1" si="2"/>
        <v>1.6830545341298881E-3</v>
      </c>
      <c r="AD35" s="5">
        <f t="shared" ca="1" si="3"/>
        <v>1.4756379833027551E-3</v>
      </c>
      <c r="AE35" s="5">
        <f t="shared" ca="1" si="4"/>
        <v>1.6957604029977512E-3</v>
      </c>
      <c r="AF35" s="5">
        <f t="shared" ca="1" si="5"/>
        <v>1.859044334831541E-3</v>
      </c>
      <c r="AG35" s="5">
        <f t="shared" ca="1" si="6"/>
        <v>1.698936870214573E-3</v>
      </c>
      <c r="AH35" s="5">
        <f t="shared" ca="1" si="7"/>
        <v>1.8135600276609125E-3</v>
      </c>
      <c r="AI35" s="5">
        <f t="shared" ca="1" si="8"/>
        <v>1.5501160018792897E-3</v>
      </c>
      <c r="AJ35" s="5">
        <f t="shared" ca="1" si="9"/>
        <v>2.1024833755871543E-3</v>
      </c>
      <c r="AK35" s="5">
        <f t="shared" ca="1" si="10"/>
        <v>1.8012596652462157E-3</v>
      </c>
      <c r="AM35" s="5">
        <f t="shared" ca="1" si="13"/>
        <v>1.727835963448144E-2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1.2060299999999999</v>
      </c>
      <c r="F36" s="5">
        <v>32</v>
      </c>
      <c r="H36" s="5" t="s">
        <v>0</v>
      </c>
      <c r="I36" s="5">
        <v>100</v>
      </c>
      <c r="J36" s="5">
        <v>0.7</v>
      </c>
      <c r="L36" s="5">
        <f t="shared" ca="1" si="11"/>
        <v>108.1233</v>
      </c>
      <c r="M36" s="5">
        <f t="shared" ca="1" si="11"/>
        <v>108.34913</v>
      </c>
      <c r="N36" s="5">
        <f t="shared" ca="1" si="11"/>
        <v>108.36335</v>
      </c>
      <c r="O36" s="5">
        <f t="shared" ca="1" si="11"/>
        <v>107.35211</v>
      </c>
      <c r="P36" s="5">
        <f t="shared" ca="1" si="11"/>
        <v>117.5809</v>
      </c>
      <c r="Q36" s="5">
        <f t="shared" ca="1" si="11"/>
        <v>107.65163</v>
      </c>
      <c r="R36" s="5">
        <f t="shared" ca="1" si="11"/>
        <v>108.23699999999999</v>
      </c>
      <c r="S36" s="5">
        <f t="shared" ca="1" si="11"/>
        <v>108.2501</v>
      </c>
      <c r="T36" s="5">
        <f t="shared" ca="1" si="11"/>
        <v>108.6995</v>
      </c>
      <c r="U36" s="5">
        <f t="shared" ca="1" si="11"/>
        <v>108.24928</v>
      </c>
      <c r="W36" s="5">
        <f t="shared" ca="1" si="12"/>
        <v>109.08562999999999</v>
      </c>
      <c r="Y36" s="5">
        <f ca="1">Total!E36</f>
        <v>107.28163000000001</v>
      </c>
      <c r="AB36" s="5">
        <f t="shared" ca="1" si="1"/>
        <v>7.8454251673841409E-3</v>
      </c>
      <c r="AC36" s="5">
        <f t="shared" ca="1" si="2"/>
        <v>9.9504453837995881E-3</v>
      </c>
      <c r="AD36" s="5">
        <f t="shared" ca="1" si="3"/>
        <v>1.008299370544603E-2</v>
      </c>
      <c r="AE36" s="5">
        <f t="shared" ca="1" si="4"/>
        <v>6.5696242683849237E-4</v>
      </c>
      <c r="AF36" s="5">
        <f t="shared" ca="1" si="5"/>
        <v>9.6002176700708153E-2</v>
      </c>
      <c r="AG36" s="5">
        <f t="shared" ca="1" si="6"/>
        <v>3.4488663156962687E-3</v>
      </c>
      <c r="AH36" s="5">
        <f t="shared" ca="1" si="7"/>
        <v>8.9052524649372664E-3</v>
      </c>
      <c r="AI36" s="5">
        <f t="shared" ca="1" si="8"/>
        <v>9.0273609750336232E-3</v>
      </c>
      <c r="AJ36" s="5">
        <f t="shared" ca="1" si="9"/>
        <v>1.3216335359557768E-2</v>
      </c>
      <c r="AK36" s="5">
        <f t="shared" ca="1" si="10"/>
        <v>9.019717541577172E-3</v>
      </c>
      <c r="AM36" s="5">
        <f t="shared" ca="1" si="13"/>
        <v>0.16815553604097849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1.2263900000000001</v>
      </c>
      <c r="F37" s="5">
        <v>31</v>
      </c>
      <c r="H37" s="5" t="s">
        <v>0</v>
      </c>
      <c r="I37" s="5">
        <v>100</v>
      </c>
      <c r="J37" s="5">
        <v>1</v>
      </c>
      <c r="L37" s="5">
        <f t="shared" ca="1" si="11"/>
        <v>103.81419</v>
      </c>
      <c r="M37" s="5">
        <f t="shared" ca="1" si="11"/>
        <v>103.92007</v>
      </c>
      <c r="N37" s="5">
        <f t="shared" ca="1" si="11"/>
        <v>103.9984</v>
      </c>
      <c r="O37" s="5">
        <f t="shared" ca="1" si="11"/>
        <v>103.85586000000001</v>
      </c>
      <c r="P37" s="5">
        <f t="shared" ca="1" si="11"/>
        <v>103.9658</v>
      </c>
      <c r="Q37" s="5">
        <f t="shared" ca="1" si="11"/>
        <v>103.8858</v>
      </c>
      <c r="R37" s="5">
        <f t="shared" ca="1" si="11"/>
        <v>103.98918999999999</v>
      </c>
      <c r="S37" s="5">
        <f t="shared" ca="1" si="11"/>
        <v>103.91007</v>
      </c>
      <c r="T37" s="5">
        <f t="shared" ca="1" si="11"/>
        <v>103.85253</v>
      </c>
      <c r="U37" s="5">
        <f t="shared" ca="1" si="11"/>
        <v>103.9318</v>
      </c>
      <c r="W37" s="5">
        <f t="shared" ca="1" si="12"/>
        <v>103.91237100000001</v>
      </c>
      <c r="Y37" s="5">
        <f ca="1">Total!E37</f>
        <v>103.21266</v>
      </c>
      <c r="AB37" s="5">
        <f t="shared" ca="1" si="1"/>
        <v>5.8280641153904645E-3</v>
      </c>
      <c r="AC37" s="5">
        <f t="shared" ca="1" si="2"/>
        <v>6.8539072629268142E-3</v>
      </c>
      <c r="AD37" s="5">
        <f t="shared" ca="1" si="3"/>
        <v>7.612825790944678E-3</v>
      </c>
      <c r="AE37" s="5">
        <f t="shared" ca="1" si="4"/>
        <v>6.2317936578711111E-3</v>
      </c>
      <c r="AF37" s="5">
        <f t="shared" ca="1" si="5"/>
        <v>7.2969730651259437E-3</v>
      </c>
      <c r="AG37" s="5">
        <f t="shared" ca="1" si="6"/>
        <v>6.5218743514604081E-3</v>
      </c>
      <c r="AH37" s="5">
        <f t="shared" ca="1" si="7"/>
        <v>7.5235925515338324E-3</v>
      </c>
      <c r="AI37" s="5">
        <f t="shared" ca="1" si="8"/>
        <v>6.7570199237187087E-3</v>
      </c>
      <c r="AJ37" s="5">
        <f t="shared" ca="1" si="9"/>
        <v>6.1995301739147307E-3</v>
      </c>
      <c r="AK37" s="5">
        <f t="shared" ca="1" si="10"/>
        <v>6.9675561118180259E-3</v>
      </c>
      <c r="AM37" s="5">
        <f t="shared" ca="1" si="13"/>
        <v>6.7793137004704712E-2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1.2141900000000001</v>
      </c>
      <c r="F38" s="5">
        <v>30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1.2267300000000001</v>
      </c>
      <c r="F39" s="5">
        <v>32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1.2071400000000001</v>
      </c>
      <c r="F40" s="5">
        <v>31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2.91622</v>
      </c>
      <c r="F41" s="5">
        <v>86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2.9143500000000002</v>
      </c>
      <c r="F42" s="5">
        <v>89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2.9053200000000001</v>
      </c>
      <c r="F43" s="5">
        <v>86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2.91486</v>
      </c>
      <c r="F44" s="5">
        <v>87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2.89331</v>
      </c>
      <c r="F45" s="5">
        <v>88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2.9015</v>
      </c>
      <c r="F46" s="5">
        <v>87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2.89934</v>
      </c>
      <c r="F47" s="5">
        <v>86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2.89649</v>
      </c>
      <c r="F48" s="5">
        <v>88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2.9037099999999998</v>
      </c>
      <c r="F49" s="5">
        <v>87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2.9005399999999999</v>
      </c>
      <c r="F50" s="5">
        <v>86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181.40834000000001</v>
      </c>
      <c r="E51" s="5">
        <v>4.59537</v>
      </c>
      <c r="F51" s="5">
        <v>138</v>
      </c>
    </row>
    <row r="52" spans="1:6" x14ac:dyDescent="0.25">
      <c r="A52" s="5" t="s">
        <v>27</v>
      </c>
      <c r="B52" s="5">
        <v>50</v>
      </c>
      <c r="C52" s="5">
        <v>1</v>
      </c>
      <c r="D52" s="5">
        <v>179.95332999999999</v>
      </c>
      <c r="E52" s="5">
        <v>4.6072899999999999</v>
      </c>
      <c r="F52" s="5">
        <v>137</v>
      </c>
    </row>
    <row r="53" spans="1:6" x14ac:dyDescent="0.25">
      <c r="A53" s="5" t="s">
        <v>27</v>
      </c>
      <c r="B53" s="5">
        <v>50</v>
      </c>
      <c r="C53" s="5">
        <v>1</v>
      </c>
      <c r="D53" s="5">
        <v>182.34583000000001</v>
      </c>
      <c r="E53" s="5">
        <v>4.5955399999999997</v>
      </c>
      <c r="F53" s="5">
        <v>136</v>
      </c>
    </row>
    <row r="54" spans="1:6" x14ac:dyDescent="0.25">
      <c r="A54" s="5" t="s">
        <v>27</v>
      </c>
      <c r="B54" s="5">
        <v>50</v>
      </c>
      <c r="C54" s="5">
        <v>1</v>
      </c>
      <c r="D54" s="5">
        <v>179.97135</v>
      </c>
      <c r="E54" s="5">
        <v>4.5936399999999997</v>
      </c>
      <c r="F54" s="5">
        <v>137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181.5967</v>
      </c>
      <c r="E55" s="5">
        <v>4.6179899999999998</v>
      </c>
      <c r="F55" s="5">
        <v>137</v>
      </c>
    </row>
    <row r="56" spans="1:6" x14ac:dyDescent="0.25">
      <c r="A56" s="5" t="s">
        <v>27</v>
      </c>
      <c r="B56" s="5">
        <v>50</v>
      </c>
      <c r="C56" s="5">
        <v>1</v>
      </c>
      <c r="D56" s="5">
        <v>182.00667000000001</v>
      </c>
      <c r="E56" s="5">
        <v>4.5944799999999999</v>
      </c>
      <c r="F56" s="5">
        <v>137</v>
      </c>
    </row>
    <row r="57" spans="1:6" x14ac:dyDescent="0.25">
      <c r="A57" s="5" t="s">
        <v>27</v>
      </c>
      <c r="B57" s="5">
        <v>50</v>
      </c>
      <c r="C57" s="5">
        <v>1</v>
      </c>
      <c r="D57" s="5">
        <v>182.34583000000001</v>
      </c>
      <c r="E57" s="5">
        <v>4.6160600000000001</v>
      </c>
      <c r="F57" s="5">
        <v>137</v>
      </c>
    </row>
    <row r="58" spans="1:6" x14ac:dyDescent="0.25">
      <c r="A58" s="5" t="s">
        <v>27</v>
      </c>
      <c r="B58" s="5">
        <v>50</v>
      </c>
      <c r="C58" s="5">
        <v>1</v>
      </c>
      <c r="D58" s="5">
        <v>180.25</v>
      </c>
      <c r="E58" s="5">
        <v>4.6015199999999998</v>
      </c>
      <c r="F58" s="5">
        <v>135</v>
      </c>
    </row>
    <row r="59" spans="1:6" x14ac:dyDescent="0.25">
      <c r="A59" s="5" t="s">
        <v>27</v>
      </c>
      <c r="B59" s="5">
        <v>50</v>
      </c>
      <c r="C59" s="5">
        <v>1</v>
      </c>
      <c r="D59" s="5">
        <v>179.67332999999999</v>
      </c>
      <c r="E59" s="5">
        <v>4.61721</v>
      </c>
      <c r="F59" s="5">
        <v>136</v>
      </c>
    </row>
    <row r="60" spans="1:6" x14ac:dyDescent="0.25">
      <c r="A60" s="5" t="s">
        <v>27</v>
      </c>
      <c r="B60" s="5">
        <v>50</v>
      </c>
      <c r="C60" s="5">
        <v>1</v>
      </c>
      <c r="D60" s="5">
        <v>182.13226</v>
      </c>
      <c r="E60" s="5">
        <v>4.5933200000000003</v>
      </c>
      <c r="F60" s="5">
        <v>137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5.6406200000000002</v>
      </c>
      <c r="F61" s="5">
        <v>45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5.60487</v>
      </c>
      <c r="F62" s="5">
        <v>45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5.69163</v>
      </c>
      <c r="F63" s="5">
        <v>46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5.6790000000000003</v>
      </c>
      <c r="F64" s="5">
        <v>46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5.6608900000000002</v>
      </c>
      <c r="F65" s="5">
        <v>46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5.6786599999999998</v>
      </c>
      <c r="F66" s="5">
        <v>46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5.6140299999999996</v>
      </c>
      <c r="F67" s="5">
        <v>45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5.6807100000000004</v>
      </c>
      <c r="F68" s="5">
        <v>46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5.65693</v>
      </c>
      <c r="F69" s="5">
        <v>46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5.6934100000000001</v>
      </c>
      <c r="F70" s="5">
        <v>46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258.68065000000001</v>
      </c>
      <c r="E71" s="5">
        <v>11.73325</v>
      </c>
      <c r="F71" s="5">
        <v>90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258.25896</v>
      </c>
      <c r="E72" s="5">
        <v>11.647130000000001</v>
      </c>
      <c r="F72" s="5">
        <v>90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258.44215000000003</v>
      </c>
      <c r="E73" s="5">
        <v>11.73305</v>
      </c>
      <c r="F73" s="5">
        <v>92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257.59064999999998</v>
      </c>
      <c r="E74" s="5">
        <v>11.68615</v>
      </c>
      <c r="F74" s="5">
        <v>90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256.53282999999999</v>
      </c>
      <c r="E75" s="5">
        <v>11.73447</v>
      </c>
      <c r="F75" s="5">
        <v>91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258.50475</v>
      </c>
      <c r="E76" s="5">
        <v>11.722619999999999</v>
      </c>
      <c r="F76" s="5">
        <v>90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259.84053</v>
      </c>
      <c r="E77" s="5">
        <v>11.74564</v>
      </c>
      <c r="F77" s="5">
        <v>90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259.42732000000001</v>
      </c>
      <c r="E78" s="5">
        <v>11.686439999999999</v>
      </c>
      <c r="F78" s="5">
        <v>90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256.70312999999999</v>
      </c>
      <c r="E79" s="5">
        <v>11.694129999999999</v>
      </c>
      <c r="F79" s="5">
        <v>89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256.86065000000002</v>
      </c>
      <c r="E80" s="5">
        <v>11.69421</v>
      </c>
      <c r="F80" s="5">
        <v>90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239.1893</v>
      </c>
      <c r="E81" s="5">
        <v>30.16591</v>
      </c>
      <c r="F81" s="5">
        <v>227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239.11667</v>
      </c>
      <c r="E82" s="5">
        <v>30.148350000000001</v>
      </c>
      <c r="F82" s="5">
        <v>227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239.22020000000001</v>
      </c>
      <c r="E83" s="5">
        <v>30.169889999999999</v>
      </c>
      <c r="F83" s="5">
        <v>228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239.58</v>
      </c>
      <c r="E84" s="5">
        <v>30.20626</v>
      </c>
      <c r="F84" s="5">
        <v>228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239.04</v>
      </c>
      <c r="E85" s="5">
        <v>30.129300000000001</v>
      </c>
      <c r="F85" s="5">
        <v>227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239.48873</v>
      </c>
      <c r="E86" s="5">
        <v>30.206499999999998</v>
      </c>
      <c r="F86" s="5">
        <v>228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239.39222000000001</v>
      </c>
      <c r="E87" s="5">
        <v>30.21294</v>
      </c>
      <c r="F87" s="5">
        <v>226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239.14756</v>
      </c>
      <c r="E88" s="5">
        <v>30.146640000000001</v>
      </c>
      <c r="F88" s="5">
        <v>228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239.21163999999999</v>
      </c>
      <c r="E89" s="5">
        <v>30.129950000000001</v>
      </c>
      <c r="F89" s="5">
        <v>226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239.56666999999999</v>
      </c>
      <c r="E90" s="5">
        <v>30.20166</v>
      </c>
      <c r="F90" s="5">
        <v>227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0.5847</v>
      </c>
      <c r="F91" s="5">
        <v>70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0.58374999999999999</v>
      </c>
      <c r="F92" s="5">
        <v>69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0.58838000000000001</v>
      </c>
      <c r="F93" s="5">
        <v>65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0.58777999999999997</v>
      </c>
      <c r="F94" s="5">
        <v>69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0.58277000000000001</v>
      </c>
      <c r="F95" s="5">
        <v>70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0.58431999999999995</v>
      </c>
      <c r="F96" s="5">
        <v>71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0.58562999999999998</v>
      </c>
      <c r="F97" s="5">
        <v>69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0.58543999999999996</v>
      </c>
      <c r="F98" s="5">
        <v>69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0.58333000000000002</v>
      </c>
      <c r="F99" s="5">
        <v>68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0.60072000000000003</v>
      </c>
      <c r="F100" s="5">
        <v>62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0.73953000000000002</v>
      </c>
      <c r="F101" s="5">
        <v>82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0.73538000000000003</v>
      </c>
      <c r="F102" s="5">
        <v>87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0.73643000000000003</v>
      </c>
      <c r="F103" s="5">
        <v>86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0.74060000000000004</v>
      </c>
      <c r="F104" s="5">
        <v>89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0.74060000000000004</v>
      </c>
      <c r="F105" s="5">
        <v>77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0.73789000000000005</v>
      </c>
      <c r="F106" s="5">
        <v>88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0.73580999999999996</v>
      </c>
      <c r="F107" s="5">
        <v>86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0.73406000000000005</v>
      </c>
      <c r="F108" s="5">
        <v>87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0.73773999999999995</v>
      </c>
      <c r="F109" s="5">
        <v>89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0.73441999999999996</v>
      </c>
      <c r="F110" s="5">
        <v>89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1.2781899999999999</v>
      </c>
      <c r="F111" s="5">
        <v>145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1.2777400000000001</v>
      </c>
      <c r="F112" s="5">
        <v>151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1.2801100000000001</v>
      </c>
      <c r="F113" s="5">
        <v>144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1.2757099999999999</v>
      </c>
      <c r="F114" s="5">
        <v>152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1.2802</v>
      </c>
      <c r="F115" s="5">
        <v>153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1.27719</v>
      </c>
      <c r="F116" s="5">
        <v>141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1.2801899999999999</v>
      </c>
      <c r="F117" s="5">
        <v>153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1.2775099999999999</v>
      </c>
      <c r="F118" s="5">
        <v>150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1.2766900000000001</v>
      </c>
      <c r="F119" s="5">
        <v>142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1.2745599999999999</v>
      </c>
      <c r="F120" s="5">
        <v>153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4348.0289499999999</v>
      </c>
      <c r="E121" s="5">
        <v>1.9917499999999999</v>
      </c>
      <c r="F121" s="5">
        <v>70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4348.0289499999999</v>
      </c>
      <c r="E122" s="5">
        <v>1.9960800000000001</v>
      </c>
      <c r="F122" s="5">
        <v>74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4348.0289499999999</v>
      </c>
      <c r="E123" s="5">
        <v>2.0061300000000002</v>
      </c>
      <c r="F123" s="5">
        <v>72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4348.0289499999999</v>
      </c>
      <c r="E124" s="5">
        <v>2.0009999999999999</v>
      </c>
      <c r="F124" s="5">
        <v>74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4348.0289499999999</v>
      </c>
      <c r="E125" s="5">
        <v>1.9973000000000001</v>
      </c>
      <c r="F125" s="5">
        <v>73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4348.0289499999999</v>
      </c>
      <c r="E126" s="5">
        <v>1.99549</v>
      </c>
      <c r="F126" s="5">
        <v>75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1.9930099999999999</v>
      </c>
      <c r="F127" s="5">
        <v>71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2.0056799999999999</v>
      </c>
      <c r="F128" s="5">
        <v>75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2.0198299999999998</v>
      </c>
      <c r="F129" s="5">
        <v>74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4348.0289499999999</v>
      </c>
      <c r="E130" s="5">
        <v>2.0147499999999998</v>
      </c>
      <c r="F130" s="5">
        <v>75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2.8638400000000002</v>
      </c>
      <c r="F131" s="5">
        <v>102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2.8667199999999999</v>
      </c>
      <c r="F132" s="5">
        <v>103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2.86808</v>
      </c>
      <c r="F133" s="5">
        <v>104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2.8711799999999998</v>
      </c>
      <c r="F134" s="5">
        <v>105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2.8706700000000001</v>
      </c>
      <c r="F135" s="5">
        <v>104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2.86944</v>
      </c>
      <c r="F136" s="5">
        <v>101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2.8752599999999999</v>
      </c>
      <c r="F137" s="5">
        <v>106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2.8739699999999999</v>
      </c>
      <c r="F138" s="5">
        <v>104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2.8690699999999998</v>
      </c>
      <c r="F139" s="5">
        <v>103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2.86957</v>
      </c>
      <c r="F140" s="5">
        <v>105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3.5262699999999998</v>
      </c>
      <c r="F141" s="5">
        <v>124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3.5317500000000002</v>
      </c>
      <c r="F142" s="5">
        <v>129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3.5253899999999998</v>
      </c>
      <c r="F143" s="5">
        <v>126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3.5318100000000001</v>
      </c>
      <c r="F144" s="5">
        <v>127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3.5293399999999999</v>
      </c>
      <c r="F145" s="5">
        <v>131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3.5188899999999999</v>
      </c>
      <c r="F146" s="5">
        <v>127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3.5222099999999998</v>
      </c>
      <c r="F147" s="5">
        <v>128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3.5282499999999999</v>
      </c>
      <c r="F148" s="5">
        <v>129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3.5212300000000001</v>
      </c>
      <c r="F149" s="5">
        <v>128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3.5141499999999999</v>
      </c>
      <c r="F150" s="5">
        <v>126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42986.802479999998</v>
      </c>
      <c r="E151" s="5">
        <v>4.9391100000000003</v>
      </c>
      <c r="F151" s="5">
        <v>42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42986.403050000001</v>
      </c>
      <c r="E152" s="5">
        <v>4.9273999999999996</v>
      </c>
      <c r="F152" s="5">
        <v>42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42986.403050000001</v>
      </c>
      <c r="E153" s="5">
        <v>4.9310799999999997</v>
      </c>
      <c r="F153" s="5">
        <v>42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42986.802479999998</v>
      </c>
      <c r="E154" s="5">
        <v>4.9396599999999999</v>
      </c>
      <c r="F154" s="5">
        <v>42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42986.802479999998</v>
      </c>
      <c r="E155" s="5">
        <v>4.9372999999999996</v>
      </c>
      <c r="F155" s="5">
        <v>42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42986.403050000001</v>
      </c>
      <c r="E156" s="5">
        <v>4.9101900000000001</v>
      </c>
      <c r="F156" s="5">
        <v>42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42986.673049999998</v>
      </c>
      <c r="E157" s="5">
        <v>4.93642</v>
      </c>
      <c r="F157" s="5">
        <v>42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42986.673049999998</v>
      </c>
      <c r="E158" s="5">
        <v>4.9414199999999999</v>
      </c>
      <c r="F158" s="5">
        <v>42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42986.802479999998</v>
      </c>
      <c r="E159" s="5">
        <v>4.8924899999999996</v>
      </c>
      <c r="F159" s="5">
        <v>41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42986.403050000001</v>
      </c>
      <c r="E160" s="5">
        <v>4.9334300000000004</v>
      </c>
      <c r="F160" s="5">
        <v>42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35644.7762</v>
      </c>
      <c r="E161" s="5">
        <v>12.792759999999999</v>
      </c>
      <c r="F161" s="5">
        <v>104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35809.137349999997</v>
      </c>
      <c r="E162" s="5">
        <v>12.78152</v>
      </c>
      <c r="F162" s="5">
        <v>103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35689.975449999998</v>
      </c>
      <c r="E163" s="5">
        <v>12.77406</v>
      </c>
      <c r="F163" s="5">
        <v>103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35673.394110000001</v>
      </c>
      <c r="E164" s="5">
        <v>12.743880000000001</v>
      </c>
      <c r="F164" s="5">
        <v>103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35698.865100000003</v>
      </c>
      <c r="E165" s="5">
        <v>12.725770000000001</v>
      </c>
      <c r="F165" s="5">
        <v>103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35568.929929999998</v>
      </c>
      <c r="E166" s="5">
        <v>12.710789999999999</v>
      </c>
      <c r="F166" s="5">
        <v>104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35769.849829999999</v>
      </c>
      <c r="E167" s="5">
        <v>12.794079999999999</v>
      </c>
      <c r="F167" s="5">
        <v>104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35363.460890000002</v>
      </c>
      <c r="E168" s="5">
        <v>12.757809999999999</v>
      </c>
      <c r="F168" s="5">
        <v>103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35650.840450000003</v>
      </c>
      <c r="E169" s="5">
        <v>12.76613</v>
      </c>
      <c r="F169" s="5">
        <v>104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35598.233959999998</v>
      </c>
      <c r="E170" s="5">
        <v>12.72092</v>
      </c>
      <c r="F170" s="5">
        <v>103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35322.74667</v>
      </c>
      <c r="E171" s="5">
        <v>28.5562</v>
      </c>
      <c r="F171" s="5">
        <v>234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35465.406669999997</v>
      </c>
      <c r="E172" s="5">
        <v>28.528390000000002</v>
      </c>
      <c r="F172" s="5">
        <v>235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35238.449999999997</v>
      </c>
      <c r="E173" s="5">
        <v>28.486170000000001</v>
      </c>
      <c r="F173" s="5">
        <v>239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35285.86333</v>
      </c>
      <c r="E174" s="5">
        <v>28.57208</v>
      </c>
      <c r="F174" s="5">
        <v>238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35240.353329999998</v>
      </c>
      <c r="E175" s="5">
        <v>28.48273</v>
      </c>
      <c r="F175" s="5">
        <v>242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35220.69268</v>
      </c>
      <c r="E176" s="5">
        <v>28.536439999999999</v>
      </c>
      <c r="F176" s="5">
        <v>242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35228.176390000001</v>
      </c>
      <c r="E177" s="5">
        <v>28.51952</v>
      </c>
      <c r="F177" s="5">
        <v>243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35276.72926</v>
      </c>
      <c r="E178" s="5">
        <v>28.547899999999998</v>
      </c>
      <c r="F178" s="5">
        <v>247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35221.372510000001</v>
      </c>
      <c r="E179" s="5">
        <v>28.50583</v>
      </c>
      <c r="F179" s="5">
        <v>244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35280.713329999999</v>
      </c>
      <c r="E180" s="5">
        <v>28.578440000000001</v>
      </c>
      <c r="F180" s="5">
        <v>238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0.73746</v>
      </c>
      <c r="F181" s="5">
        <v>55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0.73377000000000003</v>
      </c>
      <c r="F182" s="5">
        <v>57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0.73126999999999998</v>
      </c>
      <c r="F183" s="5">
        <v>57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0.73299999999999998</v>
      </c>
      <c r="F184" s="5">
        <v>57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0.73995</v>
      </c>
      <c r="F185" s="5">
        <v>52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0.73819999999999997</v>
      </c>
      <c r="F186" s="5">
        <v>57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0.73373999999999995</v>
      </c>
      <c r="F187" s="5">
        <v>58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0.73328000000000004</v>
      </c>
      <c r="F188" s="5">
        <v>55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0.73711000000000004</v>
      </c>
      <c r="F189" s="5">
        <v>56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0.73636999999999997</v>
      </c>
      <c r="F190" s="5">
        <v>49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675.36989000000005</v>
      </c>
      <c r="E191" s="5">
        <v>1.14571</v>
      </c>
      <c r="F191" s="5">
        <v>85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675.36581000000001</v>
      </c>
      <c r="E192" s="5">
        <v>1.1351800000000001</v>
      </c>
      <c r="F192" s="5">
        <v>81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675.36581000000001</v>
      </c>
      <c r="E193" s="5">
        <v>1.13872</v>
      </c>
      <c r="F193" s="5">
        <v>89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675.36581000000001</v>
      </c>
      <c r="E194" s="5">
        <v>1.1370199999999999</v>
      </c>
      <c r="F194" s="5">
        <v>88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675.36989000000005</v>
      </c>
      <c r="E195" s="5">
        <v>1.1402600000000001</v>
      </c>
      <c r="F195" s="5">
        <v>88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675.48396000000002</v>
      </c>
      <c r="E196" s="5">
        <v>1.1366799999999999</v>
      </c>
      <c r="F196" s="5">
        <v>81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675.36581000000001</v>
      </c>
      <c r="E197" s="5">
        <v>1.13503</v>
      </c>
      <c r="F197" s="5">
        <v>88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675.36581000000001</v>
      </c>
      <c r="E198" s="5">
        <v>1.1356900000000001</v>
      </c>
      <c r="F198" s="5">
        <v>89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675.36989000000005</v>
      </c>
      <c r="E199" s="5">
        <v>1.1527499999999999</v>
      </c>
      <c r="F199" s="5">
        <v>84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675.36581000000001</v>
      </c>
      <c r="E200" s="5">
        <v>1.14137</v>
      </c>
      <c r="F200" s="5">
        <v>88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657.32380999999998</v>
      </c>
      <c r="E201" s="5">
        <v>2.0671200000000001</v>
      </c>
      <c r="F201" s="5">
        <v>157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657.45713999999998</v>
      </c>
      <c r="E202" s="5">
        <v>2.0737399999999999</v>
      </c>
      <c r="F202" s="5">
        <v>151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658.23289</v>
      </c>
      <c r="E203" s="5">
        <v>2.0731899999999999</v>
      </c>
      <c r="F203" s="5">
        <v>156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655.43907999999999</v>
      </c>
      <c r="E204" s="5">
        <v>2.0695000000000001</v>
      </c>
      <c r="F204" s="5">
        <v>152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655.43907999999999</v>
      </c>
      <c r="E205" s="5">
        <v>2.0717599999999998</v>
      </c>
      <c r="F205" s="5">
        <v>158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655.46475999999996</v>
      </c>
      <c r="E206" s="5">
        <v>2.07538</v>
      </c>
      <c r="F206" s="5">
        <v>153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655.43295999999998</v>
      </c>
      <c r="E207" s="5">
        <v>2.0697899999999998</v>
      </c>
      <c r="F207" s="5">
        <v>153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655.43295999999998</v>
      </c>
      <c r="E208" s="5">
        <v>2.0731999999999999</v>
      </c>
      <c r="F208" s="5">
        <v>149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656.34204</v>
      </c>
      <c r="E209" s="5">
        <v>2.0754700000000001</v>
      </c>
      <c r="F209" s="5">
        <v>155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655.43295999999998</v>
      </c>
      <c r="E210" s="5">
        <v>2.0720800000000001</v>
      </c>
      <c r="F210" s="5">
        <v>151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1460.86608</v>
      </c>
      <c r="E211" s="5">
        <v>1.59782</v>
      </c>
      <c r="F211" s="5">
        <v>56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1459.9687899999999</v>
      </c>
      <c r="E212" s="5">
        <v>1.6026100000000001</v>
      </c>
      <c r="F212" s="5">
        <v>55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1459.9687899999999</v>
      </c>
      <c r="E213" s="5">
        <v>1.60988</v>
      </c>
      <c r="F213" s="5">
        <v>55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1483.36385</v>
      </c>
      <c r="E214" s="5">
        <v>1.5977699999999999</v>
      </c>
      <c r="F214" s="5">
        <v>56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1460.0209400000001</v>
      </c>
      <c r="E215" s="5">
        <v>1.59972</v>
      </c>
      <c r="F215" s="5">
        <v>52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1483.36385</v>
      </c>
      <c r="E216" s="5">
        <v>1.59199</v>
      </c>
      <c r="F216" s="5">
        <v>56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1483.36385</v>
      </c>
      <c r="E217" s="5">
        <v>1.5949899999999999</v>
      </c>
      <c r="F217" s="5">
        <v>57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1459.9687899999999</v>
      </c>
      <c r="E218" s="5">
        <v>1.6091500000000001</v>
      </c>
      <c r="F218" s="5">
        <v>54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1459.9687899999999</v>
      </c>
      <c r="E219" s="5">
        <v>1.5953999999999999</v>
      </c>
      <c r="F219" s="5">
        <v>56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1483.36385</v>
      </c>
      <c r="E220" s="5">
        <v>1.5980799999999999</v>
      </c>
      <c r="F220" s="5">
        <v>53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1012.78409</v>
      </c>
      <c r="E221" s="5">
        <v>4.5491799999999998</v>
      </c>
      <c r="F221" s="5">
        <v>158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1010.78252</v>
      </c>
      <c r="E222" s="5">
        <v>4.5603699999999998</v>
      </c>
      <c r="F222" s="5">
        <v>156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1014.1107500000001</v>
      </c>
      <c r="E223" s="5">
        <v>4.5569100000000002</v>
      </c>
      <c r="F223" s="5">
        <v>157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1016.268</v>
      </c>
      <c r="E224" s="5">
        <v>4.5413300000000003</v>
      </c>
      <c r="F224" s="5">
        <v>158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1015.5346</v>
      </c>
      <c r="E225" s="5">
        <v>4.5523899999999999</v>
      </c>
      <c r="F225" s="5">
        <v>156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1017.02876</v>
      </c>
      <c r="E226" s="5">
        <v>4.5455800000000002</v>
      </c>
      <c r="F226" s="5">
        <v>156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1015.6252500000001</v>
      </c>
      <c r="E227" s="5">
        <v>4.5422000000000002</v>
      </c>
      <c r="F227" s="5">
        <v>156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1018.95237</v>
      </c>
      <c r="E228" s="5">
        <v>4.5643099999999999</v>
      </c>
      <c r="F228" s="5">
        <v>156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1009.11991</v>
      </c>
      <c r="E229" s="5">
        <v>4.5446499999999999</v>
      </c>
      <c r="F229" s="5">
        <v>156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1013.03742</v>
      </c>
      <c r="E230" s="5">
        <v>4.5626600000000002</v>
      </c>
      <c r="F230" s="5">
        <v>159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994.19332999999995</v>
      </c>
      <c r="E231" s="5">
        <v>8.3924000000000003</v>
      </c>
      <c r="F231" s="5">
        <v>286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998.90125999999998</v>
      </c>
      <c r="E232" s="5">
        <v>8.4017499999999998</v>
      </c>
      <c r="F232" s="5">
        <v>283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993.18521999999996</v>
      </c>
      <c r="E233" s="5">
        <v>8.4032199999999992</v>
      </c>
      <c r="F233" s="5">
        <v>279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996.72718999999995</v>
      </c>
      <c r="E234" s="5">
        <v>8.3928600000000007</v>
      </c>
      <c r="F234" s="5">
        <v>283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995.10398999999995</v>
      </c>
      <c r="E235" s="5">
        <v>8.4087800000000001</v>
      </c>
      <c r="F235" s="5">
        <v>285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994.19332999999995</v>
      </c>
      <c r="E236" s="5">
        <v>8.4082500000000007</v>
      </c>
      <c r="F236" s="5">
        <v>288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991.72820000000002</v>
      </c>
      <c r="E237" s="5">
        <v>8.4058100000000007</v>
      </c>
      <c r="F237" s="5">
        <v>284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993</v>
      </c>
      <c r="E238" s="5">
        <v>8.407</v>
      </c>
      <c r="F238" s="5">
        <v>284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993.30530999999996</v>
      </c>
      <c r="E239" s="5">
        <v>8.3979700000000008</v>
      </c>
      <c r="F239" s="5">
        <v>281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994.54630999999995</v>
      </c>
      <c r="E240" s="5">
        <v>8.3952600000000004</v>
      </c>
      <c r="F240" s="5">
        <v>284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1825.6873499999999</v>
      </c>
      <c r="E241" s="5">
        <v>5.0785099999999996</v>
      </c>
      <c r="F241" s="5">
        <v>48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1802.04593</v>
      </c>
      <c r="E242" s="5">
        <v>5.1179199999999998</v>
      </c>
      <c r="F242" s="5">
        <v>48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1834.41391</v>
      </c>
      <c r="E243" s="5">
        <v>5.0424600000000002</v>
      </c>
      <c r="F243" s="5">
        <v>48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1815.3492200000001</v>
      </c>
      <c r="E244" s="5">
        <v>5.0619800000000001</v>
      </c>
      <c r="F244" s="5">
        <v>48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1786.3248599999999</v>
      </c>
      <c r="E245" s="5">
        <v>5.0464500000000001</v>
      </c>
      <c r="F245" s="5">
        <v>48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1811.1053899999999</v>
      </c>
      <c r="E246" s="5">
        <v>5.0724499999999999</v>
      </c>
      <c r="F246" s="5">
        <v>48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1824.57457</v>
      </c>
      <c r="E247" s="5">
        <v>5.0560299999999998</v>
      </c>
      <c r="F247" s="5">
        <v>48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1845.8854100000001</v>
      </c>
      <c r="E248" s="5">
        <v>5.1088800000000001</v>
      </c>
      <c r="F248" s="5">
        <v>48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1835.7342900000001</v>
      </c>
      <c r="E249" s="5">
        <v>5.0621900000000002</v>
      </c>
      <c r="F249" s="5">
        <v>48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1825.3070299999999</v>
      </c>
      <c r="E250" s="5">
        <v>5.0476200000000002</v>
      </c>
      <c r="F250" s="5">
        <v>48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1779.77458</v>
      </c>
      <c r="E251" s="5">
        <v>9.3791700000000002</v>
      </c>
      <c r="F251" s="5">
        <v>86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1794.8768</v>
      </c>
      <c r="E252" s="5">
        <v>9.3848000000000003</v>
      </c>
      <c r="F252" s="5">
        <v>86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1770.1566800000001</v>
      </c>
      <c r="E253" s="5">
        <v>9.42577</v>
      </c>
      <c r="F253" s="5">
        <v>88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1781.32329</v>
      </c>
      <c r="E254" s="5">
        <v>9.3754299999999997</v>
      </c>
      <c r="F254" s="5">
        <v>86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1781.87805</v>
      </c>
      <c r="E255" s="5">
        <v>9.4588699999999992</v>
      </c>
      <c r="F255" s="5">
        <v>86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1794.8083999999999</v>
      </c>
      <c r="E256" s="5">
        <v>9.4483999999999995</v>
      </c>
      <c r="F256" s="5">
        <v>86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1780.4704200000001</v>
      </c>
      <c r="E257" s="5">
        <v>9.3773700000000009</v>
      </c>
      <c r="F257" s="5">
        <v>86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1777.20192</v>
      </c>
      <c r="E258" s="5">
        <v>9.4497199999999992</v>
      </c>
      <c r="F258" s="5">
        <v>86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1776.3233299999999</v>
      </c>
      <c r="E259" s="5">
        <v>9.3734400000000004</v>
      </c>
      <c r="F259" s="5">
        <v>86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1773.1612500000001</v>
      </c>
      <c r="E260" s="5">
        <v>9.3799200000000003</v>
      </c>
      <c r="F260" s="5">
        <v>86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1756.64526</v>
      </c>
      <c r="E261" s="5">
        <v>15.348100000000001</v>
      </c>
      <c r="F261" s="5">
        <v>140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1757.72333</v>
      </c>
      <c r="E262" s="5">
        <v>15.39091</v>
      </c>
      <c r="F262" s="5">
        <v>139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1758.02667</v>
      </c>
      <c r="E263" s="5">
        <v>15.36769</v>
      </c>
      <c r="F263" s="5">
        <v>139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1758.2335399999999</v>
      </c>
      <c r="E264" s="5">
        <v>15.354749999999999</v>
      </c>
      <c r="F264" s="5">
        <v>140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1758</v>
      </c>
      <c r="E265" s="5">
        <v>15.34671</v>
      </c>
      <c r="F265" s="5">
        <v>138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1755.49818</v>
      </c>
      <c r="E266" s="5">
        <v>15.3706</v>
      </c>
      <c r="F266" s="5">
        <v>139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1755.5</v>
      </c>
      <c r="E267" s="5">
        <v>15.35436</v>
      </c>
      <c r="F267" s="5">
        <v>141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1757.2033300000001</v>
      </c>
      <c r="E268" s="5">
        <v>15.34929</v>
      </c>
      <c r="F268" s="5">
        <v>140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1756.5050000000001</v>
      </c>
      <c r="E269" s="5">
        <v>15.3972</v>
      </c>
      <c r="F269" s="5">
        <v>140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1755.9452000000001</v>
      </c>
      <c r="E270" s="5">
        <v>15.336309999999999</v>
      </c>
      <c r="F270" s="5">
        <v>141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41.318849999999998</v>
      </c>
      <c r="E271" s="5">
        <v>0.58923000000000003</v>
      </c>
      <c r="F271" s="5">
        <v>58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42.424349999999997</v>
      </c>
      <c r="E272" s="5">
        <v>0.59057999999999999</v>
      </c>
      <c r="F272" s="5">
        <v>55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42.424349999999997</v>
      </c>
      <c r="E273" s="5">
        <v>0.59167000000000003</v>
      </c>
      <c r="F273" s="5">
        <v>58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42.003050000000002</v>
      </c>
      <c r="E274" s="5">
        <v>0.58650999999999998</v>
      </c>
      <c r="F274" s="5">
        <v>56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41.318849999999998</v>
      </c>
      <c r="E275" s="5">
        <v>0.58699999999999997</v>
      </c>
      <c r="F275" s="5">
        <v>56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41.318849999999998</v>
      </c>
      <c r="E276" s="5">
        <v>0.58597999999999995</v>
      </c>
      <c r="F276" s="5">
        <v>55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41.318849999999998</v>
      </c>
      <c r="E277" s="5">
        <v>0.58694999999999997</v>
      </c>
      <c r="F277" s="5">
        <v>52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41.318849999999998</v>
      </c>
      <c r="E278" s="5">
        <v>0.58503000000000005</v>
      </c>
      <c r="F278" s="5">
        <v>56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42.424349999999997</v>
      </c>
      <c r="E279" s="5">
        <v>0.58974000000000004</v>
      </c>
      <c r="F279" s="5">
        <v>57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41.318849999999998</v>
      </c>
      <c r="E280" s="5">
        <v>0.59011999999999998</v>
      </c>
      <c r="F280" s="5">
        <v>58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0.89039999999999997</v>
      </c>
      <c r="F281" s="5">
        <v>83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0.87304000000000004</v>
      </c>
      <c r="F282" s="5">
        <v>92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28.65436</v>
      </c>
      <c r="E283" s="5">
        <v>0.87641999999999998</v>
      </c>
      <c r="F283" s="5">
        <v>91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0.88058999999999998</v>
      </c>
      <c r="F284" s="5">
        <v>92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0.88022999999999996</v>
      </c>
      <c r="F285" s="5">
        <v>93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28.65436</v>
      </c>
      <c r="E286" s="5">
        <v>0.87988999999999995</v>
      </c>
      <c r="F286" s="5">
        <v>80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28.682030000000001</v>
      </c>
      <c r="E287" s="5">
        <v>0.87502999999999997</v>
      </c>
      <c r="F287" s="5">
        <v>92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0.87395</v>
      </c>
      <c r="F288" s="5">
        <v>94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28.65624</v>
      </c>
      <c r="E289" s="5">
        <v>0.87766999999999995</v>
      </c>
      <c r="F289" s="5">
        <v>91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0.87614999999999998</v>
      </c>
      <c r="F290" s="5">
        <v>90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28.592030000000001</v>
      </c>
      <c r="E291" s="5">
        <v>1.13212</v>
      </c>
      <c r="F291" s="5">
        <v>114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28.592030000000001</v>
      </c>
      <c r="E292" s="5">
        <v>1.1337200000000001</v>
      </c>
      <c r="F292" s="5">
        <v>115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28.546240000000001</v>
      </c>
      <c r="E293" s="5">
        <v>1.13778</v>
      </c>
      <c r="F293" s="5">
        <v>108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28.592030000000001</v>
      </c>
      <c r="E294" s="5">
        <v>1.13714</v>
      </c>
      <c r="F294" s="5">
        <v>117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28.592030000000001</v>
      </c>
      <c r="E295" s="5">
        <v>1.1339399999999999</v>
      </c>
      <c r="F295" s="5">
        <v>117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28.602029999999999</v>
      </c>
      <c r="E296" s="5">
        <v>1.1335500000000001</v>
      </c>
      <c r="F296" s="5">
        <v>116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28.592030000000001</v>
      </c>
      <c r="E297" s="5">
        <v>1.13456</v>
      </c>
      <c r="F297" s="5">
        <v>107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28.592030000000001</v>
      </c>
      <c r="E298" s="5">
        <v>1.13727</v>
      </c>
      <c r="F298" s="5">
        <v>115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28.504100000000001</v>
      </c>
      <c r="E299" s="5">
        <v>1.1328100000000001</v>
      </c>
      <c r="F299" s="5">
        <v>118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28.602029999999999</v>
      </c>
      <c r="E300" s="5">
        <v>1.13714</v>
      </c>
      <c r="F300" s="5">
        <v>104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59.18618</v>
      </c>
      <c r="E301" s="5">
        <v>1.9262600000000001</v>
      </c>
      <c r="F301" s="5">
        <v>63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59.106180000000002</v>
      </c>
      <c r="E302" s="5">
        <v>1.9404699999999999</v>
      </c>
      <c r="F302" s="5">
        <v>66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56.901339999999998</v>
      </c>
      <c r="E303" s="5">
        <v>1.9341900000000001</v>
      </c>
      <c r="F303" s="5">
        <v>64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56.901339999999998</v>
      </c>
      <c r="E304" s="5">
        <v>1.92205</v>
      </c>
      <c r="F304" s="5">
        <v>66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59.081020000000002</v>
      </c>
      <c r="E305" s="5">
        <v>1.93557</v>
      </c>
      <c r="F305" s="5">
        <v>64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57.343380000000003</v>
      </c>
      <c r="E306" s="5">
        <v>1.9404600000000001</v>
      </c>
      <c r="F306" s="5">
        <v>66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59.059890000000003</v>
      </c>
      <c r="E307" s="5">
        <v>1.94482</v>
      </c>
      <c r="F307" s="5">
        <v>64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59.117330000000003</v>
      </c>
      <c r="E308" s="5">
        <v>1.9326000000000001</v>
      </c>
      <c r="F308" s="5">
        <v>66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56.901339999999998</v>
      </c>
      <c r="E309" s="5">
        <v>1.93658</v>
      </c>
      <c r="F309" s="5">
        <v>64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57.402329999999999</v>
      </c>
      <c r="E310" s="5">
        <v>1.93296</v>
      </c>
      <c r="F310" s="5">
        <v>66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53.828400000000002</v>
      </c>
      <c r="E311" s="5">
        <v>3.7604299999999999</v>
      </c>
      <c r="F311" s="5">
        <v>123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53.115070000000003</v>
      </c>
      <c r="E312" s="5">
        <v>3.7743899999999999</v>
      </c>
      <c r="F312" s="5">
        <v>127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53.315600000000003</v>
      </c>
      <c r="E313" s="5">
        <v>3.7699400000000001</v>
      </c>
      <c r="F313" s="5">
        <v>123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53.505070000000003</v>
      </c>
      <c r="E314" s="5">
        <v>3.7620900000000002</v>
      </c>
      <c r="F314" s="5">
        <v>123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53.636470000000003</v>
      </c>
      <c r="E315" s="5">
        <v>3.7703099999999998</v>
      </c>
      <c r="F315" s="5">
        <v>125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53.835070000000002</v>
      </c>
      <c r="E316" s="5">
        <v>3.7519100000000001</v>
      </c>
      <c r="F316" s="5">
        <v>124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53.505600000000001</v>
      </c>
      <c r="E317" s="5">
        <v>3.7601499999999999</v>
      </c>
      <c r="F317" s="5">
        <v>125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53.785519999999998</v>
      </c>
      <c r="E318" s="5">
        <v>3.75278</v>
      </c>
      <c r="F318" s="5">
        <v>123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53.625070000000001</v>
      </c>
      <c r="E319" s="5">
        <v>3.7614899999999998</v>
      </c>
      <c r="F319" s="5">
        <v>125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53.268729999999998</v>
      </c>
      <c r="E320" s="5">
        <v>3.75116</v>
      </c>
      <c r="F320" s="5">
        <v>123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53.267490000000002</v>
      </c>
      <c r="E321" s="5">
        <v>6.0893300000000004</v>
      </c>
      <c r="F321" s="5">
        <v>193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53.475520000000003</v>
      </c>
      <c r="E322" s="5">
        <v>6.09206</v>
      </c>
      <c r="F322" s="5">
        <v>192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53.067489999999999</v>
      </c>
      <c r="E323" s="5">
        <v>6.0992199999999999</v>
      </c>
      <c r="F323" s="5">
        <v>192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53.258769999999998</v>
      </c>
      <c r="E324" s="5">
        <v>6.0784500000000001</v>
      </c>
      <c r="F324" s="5">
        <v>193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53.472499999999997</v>
      </c>
      <c r="E325" s="5">
        <v>6.0934699999999999</v>
      </c>
      <c r="F325" s="5">
        <v>193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53.067489999999999</v>
      </c>
      <c r="E326" s="5">
        <v>6.0830299999999999</v>
      </c>
      <c r="F326" s="5">
        <v>199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53.155520000000003</v>
      </c>
      <c r="E327" s="5">
        <v>6.0867199999999997</v>
      </c>
      <c r="F327" s="5">
        <v>196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53.537489999999998</v>
      </c>
      <c r="E328" s="5">
        <v>6.0911200000000001</v>
      </c>
      <c r="F328" s="5">
        <v>194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53.38749</v>
      </c>
      <c r="E329" s="5">
        <v>6.0769599999999997</v>
      </c>
      <c r="F329" s="5">
        <v>194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53.557490000000001</v>
      </c>
      <c r="E330" s="5">
        <v>6.0801699999999999</v>
      </c>
      <c r="F330" s="5">
        <v>190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148.19963999999999</v>
      </c>
      <c r="E331" s="5">
        <v>7.0705299999999998</v>
      </c>
      <c r="F331" s="5">
        <v>63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148.21215000000001</v>
      </c>
      <c r="E332" s="5">
        <v>7.0709</v>
      </c>
      <c r="F332" s="5">
        <v>64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148.18145999999999</v>
      </c>
      <c r="E333" s="5">
        <v>7.11435</v>
      </c>
      <c r="F333" s="5">
        <v>65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148.21403000000001</v>
      </c>
      <c r="E334" s="5">
        <v>7.03681</v>
      </c>
      <c r="F334" s="5">
        <v>64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148.23819</v>
      </c>
      <c r="E335" s="5">
        <v>7.0744600000000002</v>
      </c>
      <c r="F335" s="5">
        <v>65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148.21449999999999</v>
      </c>
      <c r="E336" s="5">
        <v>7.0466300000000004</v>
      </c>
      <c r="F336" s="5">
        <v>65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148.23146</v>
      </c>
      <c r="E337" s="5">
        <v>7.0669000000000004</v>
      </c>
      <c r="F337" s="5">
        <v>65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148.19247999999999</v>
      </c>
      <c r="E338" s="5">
        <v>7.1116400000000004</v>
      </c>
      <c r="F338" s="5">
        <v>64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148.27421000000001</v>
      </c>
      <c r="E339" s="5">
        <v>7.03172</v>
      </c>
      <c r="F339" s="5">
        <v>63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148.22963999999999</v>
      </c>
      <c r="E340" s="5">
        <v>7.0458800000000004</v>
      </c>
      <c r="F340" s="5">
        <v>64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108.1233</v>
      </c>
      <c r="E341" s="5">
        <v>16.826080000000001</v>
      </c>
      <c r="F341" s="5">
        <v>147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108.34913</v>
      </c>
      <c r="E342" s="5">
        <v>16.869489999999999</v>
      </c>
      <c r="F342" s="5">
        <v>145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108.36335</v>
      </c>
      <c r="E343" s="5">
        <v>16.814129999999999</v>
      </c>
      <c r="F343" s="5">
        <v>146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107.35211</v>
      </c>
      <c r="E344" s="5">
        <v>16.803129999999999</v>
      </c>
      <c r="F344" s="5">
        <v>148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117.5809</v>
      </c>
      <c r="E345" s="5">
        <v>16.831810000000001</v>
      </c>
      <c r="F345" s="5">
        <v>148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107.65163</v>
      </c>
      <c r="E346" s="5">
        <v>16.8048</v>
      </c>
      <c r="F346" s="5">
        <v>145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108.23699999999999</v>
      </c>
      <c r="E347" s="5">
        <v>16.849989999999998</v>
      </c>
      <c r="F347" s="5">
        <v>148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108.2501</v>
      </c>
      <c r="E348" s="5">
        <v>16.787870000000002</v>
      </c>
      <c r="F348" s="5">
        <v>147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108.6995</v>
      </c>
      <c r="E349" s="5">
        <v>16.79813</v>
      </c>
      <c r="F349" s="5">
        <v>146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108.24928</v>
      </c>
      <c r="E350" s="5">
        <v>16.848050000000001</v>
      </c>
      <c r="F350" s="5">
        <v>146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103.81419</v>
      </c>
      <c r="E351" s="5">
        <v>29.42737</v>
      </c>
      <c r="F351" s="5">
        <v>249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103.92007</v>
      </c>
      <c r="E352" s="5">
        <v>29.359349999999999</v>
      </c>
      <c r="F352" s="5">
        <v>247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103.9984</v>
      </c>
      <c r="E353" s="5">
        <v>29.377790000000001</v>
      </c>
      <c r="F353" s="5">
        <v>242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103.85586000000001</v>
      </c>
      <c r="E354" s="5">
        <v>29.38129</v>
      </c>
      <c r="F354" s="5">
        <v>249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103.9658</v>
      </c>
      <c r="E355" s="5">
        <v>29.44013</v>
      </c>
      <c r="F355" s="5">
        <v>242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103.8858</v>
      </c>
      <c r="E356" s="5">
        <v>29.39808</v>
      </c>
      <c r="F356" s="5">
        <v>248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103.98918999999999</v>
      </c>
      <c r="E357" s="5">
        <v>29.460629999999998</v>
      </c>
      <c r="F357" s="5">
        <v>248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103.91007</v>
      </c>
      <c r="E358" s="5">
        <v>29.40316</v>
      </c>
      <c r="F358" s="5">
        <v>249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103.85253</v>
      </c>
      <c r="E359" s="5">
        <v>29.386880000000001</v>
      </c>
      <c r="F359" s="5">
        <v>249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103.9318</v>
      </c>
      <c r="E360" s="5">
        <v>29.404219999999999</v>
      </c>
      <c r="F360" s="5">
        <v>247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0.54430999999999996</v>
      </c>
      <c r="F361" s="5">
        <v>41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0.54713000000000001</v>
      </c>
      <c r="F362" s="5">
        <v>36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0.54379999999999995</v>
      </c>
      <c r="F363" s="5">
        <v>42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0.54608999999999996</v>
      </c>
      <c r="F364" s="5">
        <v>43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0.54454999999999998</v>
      </c>
      <c r="F365" s="5">
        <v>42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0.54390000000000005</v>
      </c>
      <c r="F366" s="5">
        <v>42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0.54591000000000001</v>
      </c>
      <c r="F367" s="5">
        <v>42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0.54408000000000001</v>
      </c>
      <c r="F368" s="5">
        <v>42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0.54901999999999995</v>
      </c>
      <c r="F369" s="5">
        <v>35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0.55096999999999996</v>
      </c>
      <c r="F370" s="5">
        <v>41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0.88077000000000005</v>
      </c>
      <c r="F371" s="5">
        <v>67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0.87794000000000005</v>
      </c>
      <c r="F372" s="5">
        <v>71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0.87234999999999996</v>
      </c>
      <c r="F373" s="5">
        <v>65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0.87824999999999998</v>
      </c>
      <c r="F374" s="5">
        <v>71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0.87509000000000003</v>
      </c>
      <c r="F375" s="5">
        <v>70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0.87558000000000002</v>
      </c>
      <c r="F376" s="5">
        <v>71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0.87158000000000002</v>
      </c>
      <c r="F377" s="5">
        <v>68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0.87368000000000001</v>
      </c>
      <c r="F378" s="5">
        <v>71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0.87934999999999997</v>
      </c>
      <c r="F379" s="5">
        <v>71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0.87721000000000005</v>
      </c>
      <c r="F380" s="5">
        <v>70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1.15072</v>
      </c>
      <c r="F381" s="5">
        <v>91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1.1536299999999999</v>
      </c>
      <c r="F382" s="5">
        <v>88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1.15754</v>
      </c>
      <c r="F383" s="5">
        <v>94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1.15723</v>
      </c>
      <c r="F384" s="5">
        <v>93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1.15724</v>
      </c>
      <c r="F385" s="5">
        <v>87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1.1492800000000001</v>
      </c>
      <c r="F386" s="5">
        <v>90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1.1525099999999999</v>
      </c>
      <c r="F387" s="5">
        <v>89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1.15493</v>
      </c>
      <c r="F388" s="5">
        <v>94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1.15072</v>
      </c>
      <c r="F389" s="5">
        <v>88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1.15716</v>
      </c>
      <c r="F390" s="5">
        <v>94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1.11975</v>
      </c>
      <c r="F391" s="5">
        <v>28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1.11538</v>
      </c>
      <c r="F392" s="5">
        <v>29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1.13029</v>
      </c>
      <c r="F393" s="5">
        <v>28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1.1334</v>
      </c>
      <c r="F394" s="5">
        <v>30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1.1168100000000001</v>
      </c>
      <c r="F395" s="5">
        <v>29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1.1362399999999999</v>
      </c>
      <c r="F396" s="5">
        <v>28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1.10768</v>
      </c>
      <c r="F397" s="5">
        <v>28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1.1190899999999999</v>
      </c>
      <c r="F398" s="5">
        <v>28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1.1357200000000001</v>
      </c>
      <c r="F399" s="5">
        <v>29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1.13252</v>
      </c>
      <c r="F400" s="5">
        <v>28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2.4979200000000001</v>
      </c>
      <c r="F401" s="5">
        <v>64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2.4881500000000001</v>
      </c>
      <c r="F402" s="5">
        <v>63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2.51431</v>
      </c>
      <c r="F403" s="5">
        <v>64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2.51912</v>
      </c>
      <c r="F404" s="5">
        <v>65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2.4990899999999998</v>
      </c>
      <c r="F405" s="5">
        <v>62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2.4911699999999999</v>
      </c>
      <c r="F406" s="5">
        <v>65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2.4927299999999999</v>
      </c>
      <c r="F407" s="5">
        <v>63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2.4909400000000002</v>
      </c>
      <c r="F408" s="5">
        <v>64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2.5094500000000002</v>
      </c>
      <c r="F409" s="5">
        <v>64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2.49796</v>
      </c>
      <c r="F410" s="5">
        <v>62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2.7357800000000001</v>
      </c>
      <c r="F411" s="5">
        <v>67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2.74518</v>
      </c>
      <c r="F412" s="5">
        <v>69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2.7492999999999999</v>
      </c>
      <c r="F413" s="5">
        <v>68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2.7479300000000002</v>
      </c>
      <c r="F414" s="5">
        <v>69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2.72282</v>
      </c>
      <c r="F415" s="5">
        <v>68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2.7361399999999998</v>
      </c>
      <c r="F416" s="5">
        <v>67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2.7402799999999998</v>
      </c>
      <c r="F417" s="5">
        <v>69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2.7342599999999999</v>
      </c>
      <c r="F418" s="5">
        <v>67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2.7367900000000001</v>
      </c>
      <c r="F419" s="5">
        <v>66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2.7505799999999998</v>
      </c>
      <c r="F420" s="5">
        <v>70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2.9993400000000001</v>
      </c>
      <c r="F421" s="5">
        <v>29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3.0047600000000001</v>
      </c>
      <c r="F422" s="5">
        <v>29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3.0294699999999999</v>
      </c>
      <c r="F423" s="5">
        <v>29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2.9762200000000001</v>
      </c>
      <c r="F424" s="5">
        <v>29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2.9937</v>
      </c>
      <c r="F425" s="5">
        <v>29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3.02569</v>
      </c>
      <c r="F426" s="5">
        <v>29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3.0216599999999998</v>
      </c>
      <c r="F427" s="5">
        <v>29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3.02535</v>
      </c>
      <c r="F428" s="5">
        <v>29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2.9754100000000001</v>
      </c>
      <c r="F429" s="5">
        <v>29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3.0134799999999999</v>
      </c>
      <c r="F430" s="5">
        <v>29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3.83168</v>
      </c>
      <c r="F431" s="5">
        <v>36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3.80043</v>
      </c>
      <c r="F432" s="5">
        <v>36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3.7773699999999999</v>
      </c>
      <c r="F433" s="5">
        <v>36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3.7891400000000002</v>
      </c>
      <c r="F434" s="5">
        <v>36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3.7759100000000001</v>
      </c>
      <c r="F435" s="5">
        <v>36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3.8285100000000001</v>
      </c>
      <c r="F436" s="5">
        <v>37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3.8429899999999999</v>
      </c>
      <c r="F437" s="5">
        <v>37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3.8309799999999998</v>
      </c>
      <c r="F438" s="5">
        <v>37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3.7974700000000001</v>
      </c>
      <c r="F439" s="5">
        <v>36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3.8250199999999999</v>
      </c>
      <c r="F440" s="5">
        <v>36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5.4573400000000003</v>
      </c>
      <c r="F441" s="5">
        <v>49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5.4675000000000002</v>
      </c>
      <c r="F442" s="5">
        <v>49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5.54514</v>
      </c>
      <c r="F443" s="5">
        <v>51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5.4844099999999996</v>
      </c>
      <c r="F444" s="5">
        <v>50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5.5032100000000002</v>
      </c>
      <c r="F445" s="5">
        <v>50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5.5049799999999998</v>
      </c>
      <c r="F446" s="5">
        <v>50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5.53484</v>
      </c>
      <c r="F447" s="5">
        <v>51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5.4881200000000003</v>
      </c>
      <c r="F448" s="5">
        <v>50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5.5151300000000001</v>
      </c>
      <c r="F449" s="5">
        <v>46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5.46441</v>
      </c>
      <c r="F450" s="5">
        <v>45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Y1"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0.54998999999999998</v>
      </c>
      <c r="F1" s="5">
        <v>32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0.54735</v>
      </c>
      <c r="F2" s="5">
        <v>30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0.58533999999999997</v>
      </c>
      <c r="F3" s="5">
        <v>33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170.35004000000001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0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0.55198000000000003</v>
      </c>
      <c r="F4" s="5">
        <v>31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0.55281999999999998</v>
      </c>
      <c r="F5" s="5">
        <v>25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0.56371000000000004</v>
      </c>
      <c r="F6" s="5">
        <v>23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0.55435999999999996</v>
      </c>
      <c r="F7" s="5">
        <v>26</v>
      </c>
      <c r="H7" s="5" t="s">
        <v>27</v>
      </c>
      <c r="I7" s="5">
        <v>50</v>
      </c>
      <c r="J7" s="5">
        <v>1</v>
      </c>
      <c r="L7" s="5">
        <f t="shared" ca="1" si="11"/>
        <v>180.05332999999999</v>
      </c>
      <c r="M7" s="5">
        <f t="shared" ca="1" si="0"/>
        <v>180.05332999999999</v>
      </c>
      <c r="N7" s="5">
        <f t="shared" ca="1" si="0"/>
        <v>181.40834000000001</v>
      </c>
      <c r="O7" s="5">
        <f t="shared" ca="1" si="0"/>
        <v>182.34583000000001</v>
      </c>
      <c r="P7" s="5">
        <f t="shared" ca="1" si="0"/>
        <v>183.57</v>
      </c>
      <c r="Q7" s="5">
        <f t="shared" ca="1" si="0"/>
        <v>180.05332999999999</v>
      </c>
      <c r="R7" s="5">
        <f t="shared" ca="1" si="0"/>
        <v>181.40834000000001</v>
      </c>
      <c r="S7" s="5">
        <f t="shared" ca="1" si="0"/>
        <v>181.62333000000001</v>
      </c>
      <c r="T7" s="5">
        <f t="shared" ca="1" si="0"/>
        <v>181.15</v>
      </c>
      <c r="U7" s="5">
        <f t="shared" ca="1" si="0"/>
        <v>180.05332999999999</v>
      </c>
      <c r="W7" s="5">
        <f t="shared" ca="1" si="12"/>
        <v>181.17191599999998</v>
      </c>
      <c r="Y7" s="5">
        <f ca="1">Total!E7</f>
        <v>179.67332999999999</v>
      </c>
      <c r="AB7" s="5">
        <f t="shared" ca="1" si="1"/>
        <v>2.1149493917655754E-3</v>
      </c>
      <c r="AC7" s="5">
        <f t="shared" ca="1" si="2"/>
        <v>2.1149493917655754E-3</v>
      </c>
      <c r="AD7" s="5">
        <f t="shared" ca="1" si="3"/>
        <v>9.6564693268612369E-3</v>
      </c>
      <c r="AE7" s="5">
        <f t="shared" ca="1" si="4"/>
        <v>1.4874216446035779E-2</v>
      </c>
      <c r="AF7" s="5">
        <f t="shared" ca="1" si="5"/>
        <v>2.1687525911608586E-2</v>
      </c>
      <c r="AG7" s="5">
        <f t="shared" ca="1" si="6"/>
        <v>2.1149493917655754E-3</v>
      </c>
      <c r="AH7" s="5">
        <f t="shared" ca="1" si="7"/>
        <v>9.6564693268612369E-3</v>
      </c>
      <c r="AI7" s="5">
        <f t="shared" ca="1" si="8"/>
        <v>1.0853029773534098E-2</v>
      </c>
      <c r="AJ7" s="5">
        <f t="shared" ca="1" si="9"/>
        <v>8.2186376798382543E-3</v>
      </c>
      <c r="AK7" s="5">
        <f t="shared" ca="1" si="10"/>
        <v>2.1149493917655754E-3</v>
      </c>
      <c r="AM7" s="5">
        <f t="shared" ca="1" si="13"/>
        <v>8.3406146031801492E-2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0.54818999999999996</v>
      </c>
      <c r="F8" s="5">
        <v>30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0.54805000000000004</v>
      </c>
      <c r="F9" s="5">
        <v>34</v>
      </c>
      <c r="H9" s="5" t="s">
        <v>27</v>
      </c>
      <c r="I9" s="5">
        <v>100</v>
      </c>
      <c r="J9" s="5">
        <v>0.7</v>
      </c>
      <c r="L9" s="5">
        <f t="shared" ca="1" si="11"/>
        <v>255.82518999999999</v>
      </c>
      <c r="M9" s="5">
        <f t="shared" ca="1" si="0"/>
        <v>258.90071</v>
      </c>
      <c r="N9" s="5">
        <f t="shared" ca="1" si="0"/>
        <v>256.82071000000002</v>
      </c>
      <c r="O9" s="5">
        <f t="shared" ca="1" si="0"/>
        <v>259.64337999999998</v>
      </c>
      <c r="P9" s="5">
        <f t="shared" ca="1" si="0"/>
        <v>255.96994000000001</v>
      </c>
      <c r="Q9" s="5">
        <f t="shared" ca="1" si="0"/>
        <v>256.98696999999999</v>
      </c>
      <c r="R9" s="5">
        <f t="shared" ca="1" si="0"/>
        <v>257.13519000000002</v>
      </c>
      <c r="S9" s="5">
        <f t="shared" ca="1" si="0"/>
        <v>257.65129000000002</v>
      </c>
      <c r="T9" s="5">
        <f t="shared" ca="1" si="0"/>
        <v>258.32272</v>
      </c>
      <c r="U9" s="5">
        <f t="shared" ca="1" si="0"/>
        <v>259.33337999999998</v>
      </c>
      <c r="W9" s="5">
        <f t="shared" ca="1" si="12"/>
        <v>257.65894800000001</v>
      </c>
      <c r="Y9" s="5">
        <f ca="1">Total!E9</f>
        <v>255.18879999999999</v>
      </c>
      <c r="AB9" s="5">
        <f t="shared" ca="1" si="1"/>
        <v>2.4938006683679135E-3</v>
      </c>
      <c r="AC9" s="5">
        <f t="shared" ca="1" si="2"/>
        <v>1.454574025192335E-2</v>
      </c>
      <c r="AD9" s="5">
        <f t="shared" ca="1" si="3"/>
        <v>6.394912315901142E-3</v>
      </c>
      <c r="AE9" s="5">
        <f t="shared" ca="1" si="4"/>
        <v>1.7456016878483669E-2</v>
      </c>
      <c r="AF9" s="5">
        <f t="shared" ca="1" si="5"/>
        <v>3.0610277567041421E-3</v>
      </c>
      <c r="AG9" s="5">
        <f t="shared" ca="1" si="6"/>
        <v>7.0464299373640188E-3</v>
      </c>
      <c r="AH9" s="5">
        <f t="shared" ca="1" si="7"/>
        <v>7.6272548011512911E-3</v>
      </c>
      <c r="AI9" s="5">
        <f t="shared" ca="1" si="8"/>
        <v>9.6496789827767958E-3</v>
      </c>
      <c r="AJ9" s="5">
        <f t="shared" ca="1" si="9"/>
        <v>1.2280789752528394E-2</v>
      </c>
      <c r="AK9" s="5">
        <f t="shared" ca="1" si="10"/>
        <v>1.6241230022634185E-2</v>
      </c>
      <c r="AM9" s="5">
        <f t="shared" ca="1" si="13"/>
        <v>9.6796881367834889E-2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0.5494</v>
      </c>
      <c r="F10" s="5">
        <v>29</v>
      </c>
      <c r="H10" s="5" t="s">
        <v>27</v>
      </c>
      <c r="I10" s="5">
        <v>100</v>
      </c>
      <c r="J10" s="5">
        <v>1</v>
      </c>
      <c r="L10" s="5">
        <f t="shared" ca="1" si="11"/>
        <v>239.88</v>
      </c>
      <c r="M10" s="5">
        <f t="shared" ca="1" si="0"/>
        <v>240.68222</v>
      </c>
      <c r="N10" s="5">
        <f t="shared" ca="1" si="0"/>
        <v>241.01085</v>
      </c>
      <c r="O10" s="5">
        <f t="shared" ca="1" si="0"/>
        <v>239.70955000000001</v>
      </c>
      <c r="P10" s="5">
        <f t="shared" ca="1" si="0"/>
        <v>239.02663999999999</v>
      </c>
      <c r="Q10" s="5">
        <f t="shared" ca="1" si="0"/>
        <v>240.73333</v>
      </c>
      <c r="R10" s="5">
        <f t="shared" ca="1" si="0"/>
        <v>240.82029</v>
      </c>
      <c r="S10" s="5">
        <f t="shared" ca="1" si="0"/>
        <v>239.71</v>
      </c>
      <c r="T10" s="5">
        <f t="shared" ca="1" si="0"/>
        <v>240.18257</v>
      </c>
      <c r="U10" s="5">
        <f t="shared" ca="1" si="0"/>
        <v>239.54667000000001</v>
      </c>
      <c r="W10" s="5">
        <f t="shared" ca="1" si="12"/>
        <v>240.13021200000003</v>
      </c>
      <c r="Y10" s="5">
        <f ca="1">Total!E10</f>
        <v>238.77667</v>
      </c>
      <c r="AB10" s="5">
        <f t="shared" ca="1" si="1"/>
        <v>4.6207613164217414E-3</v>
      </c>
      <c r="AC10" s="5">
        <f t="shared" ca="1" si="2"/>
        <v>7.9804697837523465E-3</v>
      </c>
      <c r="AD10" s="5">
        <f t="shared" ca="1" si="3"/>
        <v>9.3567767738783232E-3</v>
      </c>
      <c r="AE10" s="5">
        <f t="shared" ca="1" si="4"/>
        <v>3.9069143564151873E-3</v>
      </c>
      <c r="AF10" s="5">
        <f t="shared" ca="1" si="5"/>
        <v>1.0468778210199114E-3</v>
      </c>
      <c r="AG10" s="5">
        <f t="shared" ca="1" si="6"/>
        <v>8.1945191714081593E-3</v>
      </c>
      <c r="AH10" s="5">
        <f t="shared" ca="1" si="7"/>
        <v>8.5587088554338418E-3</v>
      </c>
      <c r="AI10" s="5">
        <f t="shared" ca="1" si="8"/>
        <v>3.9087989626457736E-3</v>
      </c>
      <c r="AJ10" s="5">
        <f t="shared" ca="1" si="9"/>
        <v>5.8879286657276967E-3</v>
      </c>
      <c r="AK10" s="5">
        <f t="shared" ca="1" si="10"/>
        <v>3.2247706612208399E-3</v>
      </c>
      <c r="AM10" s="5">
        <f t="shared" ca="1" si="13"/>
        <v>5.6686526367923817E-2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1.42947</v>
      </c>
      <c r="F11" s="5">
        <v>109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1.4260699999999999</v>
      </c>
      <c r="F12" s="5">
        <v>116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1.42726</v>
      </c>
      <c r="F13" s="5">
        <v>115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1.4300999999999999</v>
      </c>
      <c r="F14" s="5">
        <v>115</v>
      </c>
      <c r="H14" s="5" t="s">
        <v>2</v>
      </c>
      <c r="I14" s="5">
        <v>47</v>
      </c>
      <c r="J14" s="5">
        <v>0.4</v>
      </c>
      <c r="L14" s="5">
        <f t="shared" ca="1" si="11"/>
        <v>4348.0289499999999</v>
      </c>
      <c r="M14" s="5">
        <f t="shared" ca="1" si="0"/>
        <v>4348.0289499999999</v>
      </c>
      <c r="N14" s="5">
        <f t="shared" ca="1" si="0"/>
        <v>4348.0289499999999</v>
      </c>
      <c r="O14" s="5">
        <f t="shared" ca="1" si="0"/>
        <v>4348.0289499999999</v>
      </c>
      <c r="P14" s="5">
        <f t="shared" ca="1" si="0"/>
        <v>4348.0289499999999</v>
      </c>
      <c r="Q14" s="5">
        <f t="shared" ca="1" si="0"/>
        <v>4348.0289499999999</v>
      </c>
      <c r="R14" s="5">
        <f t="shared" ca="1" si="0"/>
        <v>4348.0289499999999</v>
      </c>
      <c r="S14" s="5">
        <f t="shared" ca="1" si="0"/>
        <v>4348.0289499999999</v>
      </c>
      <c r="T14" s="5">
        <f t="shared" ca="1" si="0"/>
        <v>4348.0289499999999</v>
      </c>
      <c r="U14" s="5">
        <f t="shared" ca="1" si="0"/>
        <v>4348.0289499999999</v>
      </c>
      <c r="W14" s="5">
        <f t="shared" ca="1" si="12"/>
        <v>4348.0289499999999</v>
      </c>
      <c r="Y14" s="5">
        <f ca="1">Total!E14</f>
        <v>4348.0289499999999</v>
      </c>
      <c r="AB14" s="5">
        <f t="shared" ca="1" si="1"/>
        <v>0</v>
      </c>
      <c r="AC14" s="5">
        <f t="shared" ca="1" si="2"/>
        <v>0</v>
      </c>
      <c r="AD14" s="5">
        <f t="shared" ca="1" si="3"/>
        <v>0</v>
      </c>
      <c r="AE14" s="5">
        <f t="shared" ca="1" si="4"/>
        <v>0</v>
      </c>
      <c r="AF14" s="5">
        <f t="shared" ca="1" si="5"/>
        <v>0</v>
      </c>
      <c r="AG14" s="5">
        <f t="shared" ca="1" si="6"/>
        <v>0</v>
      </c>
      <c r="AH14" s="5">
        <f t="shared" ca="1" si="7"/>
        <v>0</v>
      </c>
      <c r="AI14" s="5">
        <f t="shared" ca="1" si="8"/>
        <v>0</v>
      </c>
      <c r="AJ14" s="5">
        <f t="shared" ca="1" si="9"/>
        <v>0</v>
      </c>
      <c r="AK14" s="5">
        <f t="shared" ca="1" si="10"/>
        <v>0</v>
      </c>
      <c r="AM14" s="5">
        <f t="shared" ca="1" si="13"/>
        <v>0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1.4215899999999999</v>
      </c>
      <c r="F15" s="5">
        <v>117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1.4224699999999999</v>
      </c>
      <c r="F16" s="5">
        <v>106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1.43079</v>
      </c>
      <c r="F17" s="5">
        <v>117</v>
      </c>
      <c r="H17" s="5" t="s">
        <v>2</v>
      </c>
      <c r="I17" s="5">
        <v>100</v>
      </c>
      <c r="J17" s="5">
        <v>0.4</v>
      </c>
      <c r="L17" s="5">
        <f t="shared" ca="1" si="11"/>
        <v>42986.403050000001</v>
      </c>
      <c r="M17" s="5">
        <f t="shared" ca="1" si="0"/>
        <v>42986.403050000001</v>
      </c>
      <c r="N17" s="5">
        <f t="shared" ca="1" si="0"/>
        <v>42986.57692</v>
      </c>
      <c r="O17" s="5">
        <f t="shared" ca="1" si="0"/>
        <v>42986.403050000001</v>
      </c>
      <c r="P17" s="5">
        <f t="shared" ca="1" si="0"/>
        <v>42986.345820000002</v>
      </c>
      <c r="Q17" s="5">
        <f t="shared" ca="1" si="0"/>
        <v>42986.797890000002</v>
      </c>
      <c r="R17" s="5">
        <f t="shared" ca="1" si="0"/>
        <v>42986.673049999998</v>
      </c>
      <c r="S17" s="5">
        <f t="shared" ca="1" si="0"/>
        <v>42986.403050000001</v>
      </c>
      <c r="T17" s="5">
        <f t="shared" ca="1" si="0"/>
        <v>42986.836920000002</v>
      </c>
      <c r="U17" s="5">
        <f t="shared" ca="1" si="0"/>
        <v>42986.673049999998</v>
      </c>
      <c r="W17" s="5">
        <f t="shared" ca="1" si="12"/>
        <v>42986.551584999994</v>
      </c>
      <c r="Y17" s="5">
        <f ca="1">Total!E17</f>
        <v>42986.193919999998</v>
      </c>
      <c r="AB17" s="5">
        <f t="shared" ca="1" si="1"/>
        <v>4.8650504018131747E-6</v>
      </c>
      <c r="AC17" s="5">
        <f t="shared" ca="1" si="2"/>
        <v>4.8650504018131747E-6</v>
      </c>
      <c r="AD17" s="5">
        <f t="shared" ca="1" si="3"/>
        <v>8.9098374402352728E-6</v>
      </c>
      <c r="AE17" s="5">
        <f t="shared" ca="1" si="4"/>
        <v>4.8650504018131747E-6</v>
      </c>
      <c r="AF17" s="5">
        <f t="shared" ca="1" si="5"/>
        <v>3.5336927081072652E-6</v>
      </c>
      <c r="AG17" s="5">
        <f t="shared" ca="1" si="6"/>
        <v>1.4050325114332792E-5</v>
      </c>
      <c r="AH17" s="5">
        <f t="shared" ca="1" si="7"/>
        <v>1.1146136847830832E-5</v>
      </c>
      <c r="AI17" s="5">
        <f t="shared" ca="1" si="8"/>
        <v>4.8650504018131747E-6</v>
      </c>
      <c r="AJ17" s="5">
        <f t="shared" ca="1" si="9"/>
        <v>1.4958291055038052E-5</v>
      </c>
      <c r="AK17" s="5">
        <f t="shared" ca="1" si="10"/>
        <v>1.1146136847830832E-5</v>
      </c>
      <c r="AM17" s="5">
        <f t="shared" ca="1" si="13"/>
        <v>8.3204621620627746E-5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1.42214</v>
      </c>
      <c r="F18" s="5">
        <v>114</v>
      </c>
      <c r="H18" s="5" t="s">
        <v>2</v>
      </c>
      <c r="I18" s="5">
        <v>100</v>
      </c>
      <c r="J18" s="5">
        <v>0.7</v>
      </c>
      <c r="L18" s="5">
        <f t="shared" ca="1" si="11"/>
        <v>35715.804600000003</v>
      </c>
      <c r="M18" s="5">
        <f t="shared" ca="1" si="11"/>
        <v>35631.807520000002</v>
      </c>
      <c r="N18" s="5">
        <f t="shared" ca="1" si="11"/>
        <v>35784.755770000003</v>
      </c>
      <c r="O18" s="5">
        <f t="shared" ca="1" si="11"/>
        <v>35668.804750000003</v>
      </c>
      <c r="P18" s="5">
        <f t="shared" ca="1" si="11"/>
        <v>35680.957779999997</v>
      </c>
      <c r="Q18" s="5">
        <f t="shared" ca="1" si="11"/>
        <v>35540.3246</v>
      </c>
      <c r="R18" s="5">
        <f t="shared" ca="1" si="11"/>
        <v>35655.330829999999</v>
      </c>
      <c r="S18" s="5">
        <f t="shared" ca="1" si="11"/>
        <v>35600.626459999999</v>
      </c>
      <c r="T18" s="5">
        <f t="shared" ca="1" si="11"/>
        <v>35682.175080000001</v>
      </c>
      <c r="U18" s="5">
        <f t="shared" ca="1" si="11"/>
        <v>35654.073689999997</v>
      </c>
      <c r="W18" s="5">
        <f t="shared" ca="1" si="12"/>
        <v>35661.466108000001</v>
      </c>
      <c r="Y18" s="5">
        <f ca="1">Total!E18</f>
        <v>35336.072039999999</v>
      </c>
      <c r="AB18" s="5">
        <f t="shared" ca="1" si="1"/>
        <v>1.0746314971572149E-2</v>
      </c>
      <c r="AC18" s="5">
        <f t="shared" ca="1" si="2"/>
        <v>8.3692233722309061E-3</v>
      </c>
      <c r="AD18" s="5">
        <f t="shared" ca="1" si="3"/>
        <v>1.2697611932987339E-2</v>
      </c>
      <c r="AE18" s="5">
        <f t="shared" ca="1" si="4"/>
        <v>9.4162336329673118E-3</v>
      </c>
      <c r="AF18" s="5">
        <f t="shared" ca="1" si="5"/>
        <v>9.760160654234332E-3</v>
      </c>
      <c r="AG18" s="5">
        <f t="shared" ca="1" si="6"/>
        <v>5.780284797042224E-3</v>
      </c>
      <c r="AH18" s="5">
        <f t="shared" ca="1" si="7"/>
        <v>9.0349258298602873E-3</v>
      </c>
      <c r="AI18" s="5">
        <f t="shared" ca="1" si="8"/>
        <v>7.4868089384843919E-3</v>
      </c>
      <c r="AJ18" s="5">
        <f t="shared" ca="1" si="9"/>
        <v>9.7946098708486164E-3</v>
      </c>
      <c r="AK18" s="5">
        <f t="shared" ca="1" si="10"/>
        <v>8.9993491534663041E-3</v>
      </c>
      <c r="AM18" s="5">
        <f t="shared" ca="1" si="13"/>
        <v>9.2085523153693866E-2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1.4226000000000001</v>
      </c>
      <c r="F19" s="5">
        <v>105</v>
      </c>
      <c r="H19" s="5" t="s">
        <v>2</v>
      </c>
      <c r="I19" s="5">
        <v>100</v>
      </c>
      <c r="J19" s="5">
        <v>1</v>
      </c>
      <c r="L19" s="5">
        <f t="shared" ca="1" si="11"/>
        <v>35272.716670000002</v>
      </c>
      <c r="M19" s="5">
        <f t="shared" ca="1" si="11"/>
        <v>35223.636330000001</v>
      </c>
      <c r="N19" s="5">
        <f t="shared" ca="1" si="11"/>
        <v>35284.835249999996</v>
      </c>
      <c r="O19" s="5">
        <f t="shared" ca="1" si="11"/>
        <v>35278.221539999999</v>
      </c>
      <c r="P19" s="5">
        <f t="shared" ca="1" si="11"/>
        <v>35344.896289999997</v>
      </c>
      <c r="Q19" s="5">
        <f t="shared" ca="1" si="11"/>
        <v>35320.899669999999</v>
      </c>
      <c r="R19" s="5">
        <f t="shared" ca="1" si="11"/>
        <v>35241.784480000002</v>
      </c>
      <c r="S19" s="5">
        <f t="shared" ca="1" si="11"/>
        <v>35207.4</v>
      </c>
      <c r="T19" s="5">
        <f t="shared" ca="1" si="11"/>
        <v>35238.142979999997</v>
      </c>
      <c r="U19" s="5">
        <f t="shared" ca="1" si="11"/>
        <v>35311.980300000003</v>
      </c>
      <c r="W19" s="5">
        <f t="shared" ca="1" si="12"/>
        <v>35272.451351000003</v>
      </c>
      <c r="Y19" s="5">
        <f ca="1">Total!E19</f>
        <v>35203.853329999998</v>
      </c>
      <c r="AB19" s="5">
        <f t="shared" ca="1" si="1"/>
        <v>1.9561307495085944E-3</v>
      </c>
      <c r="AC19" s="5">
        <f t="shared" ca="1" si="2"/>
        <v>5.6195552840644354E-4</v>
      </c>
      <c r="AD19" s="5">
        <f t="shared" ca="1" si="3"/>
        <v>2.3003709065844572E-3</v>
      </c>
      <c r="AE19" s="5">
        <f t="shared" ca="1" si="4"/>
        <v>2.1125019838844029E-3</v>
      </c>
      <c r="AF19" s="5">
        <f t="shared" ca="1" si="5"/>
        <v>4.0064636867409324E-3</v>
      </c>
      <c r="AG19" s="5">
        <f t="shared" ca="1" si="6"/>
        <v>3.3248161473351072E-3</v>
      </c>
      <c r="AH19" s="5">
        <f t="shared" ca="1" si="7"/>
        <v>1.0774715382557238E-3</v>
      </c>
      <c r="AI19" s="5">
        <f t="shared" ca="1" si="8"/>
        <v>1.0074664175983714E-4</v>
      </c>
      <c r="AJ19" s="5">
        <f t="shared" ca="1" si="9"/>
        <v>9.7403115728748554E-4</v>
      </c>
      <c r="AK19" s="5">
        <f t="shared" ca="1" si="10"/>
        <v>3.0714526897503355E-3</v>
      </c>
      <c r="AM19" s="5">
        <f t="shared" ca="1" si="13"/>
        <v>1.9485941029513322E-2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1.4278599999999999</v>
      </c>
      <c r="F20" s="5">
        <v>115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1.7714700000000001</v>
      </c>
      <c r="F21" s="5">
        <v>133</v>
      </c>
      <c r="H21" s="5" t="s">
        <v>1</v>
      </c>
      <c r="I21" s="5">
        <v>30</v>
      </c>
      <c r="J21" s="5">
        <v>0.7</v>
      </c>
      <c r="L21" s="5">
        <f t="shared" ca="1" si="11"/>
        <v>675.36989000000005</v>
      </c>
      <c r="M21" s="5">
        <f t="shared" ca="1" si="11"/>
        <v>675.36989000000005</v>
      </c>
      <c r="N21" s="5">
        <f t="shared" ca="1" si="11"/>
        <v>675.36989000000005</v>
      </c>
      <c r="O21" s="5">
        <f t="shared" ca="1" si="11"/>
        <v>675.36989000000005</v>
      </c>
      <c r="P21" s="5">
        <f t="shared" ca="1" si="11"/>
        <v>675.36989000000005</v>
      </c>
      <c r="Q21" s="5">
        <f t="shared" ca="1" si="11"/>
        <v>675.36989000000005</v>
      </c>
      <c r="R21" s="5">
        <f t="shared" ca="1" si="11"/>
        <v>675.36989000000005</v>
      </c>
      <c r="S21" s="5">
        <f t="shared" ca="1" si="11"/>
        <v>675.36581000000001</v>
      </c>
      <c r="T21" s="5">
        <f t="shared" ca="1" si="11"/>
        <v>675.36989000000005</v>
      </c>
      <c r="U21" s="5">
        <f t="shared" ca="1" si="11"/>
        <v>675.36989000000005</v>
      </c>
      <c r="W21" s="5">
        <f t="shared" ca="1" si="12"/>
        <v>675.36948200000006</v>
      </c>
      <c r="Y21" s="5">
        <f ca="1">Total!E21</f>
        <v>675.36581000000001</v>
      </c>
      <c r="AB21" s="5">
        <f t="shared" ca="1" si="1"/>
        <v>6.0411704881010963E-6</v>
      </c>
      <c r="AC21" s="5">
        <f t="shared" ca="1" si="2"/>
        <v>6.0411704881010963E-6</v>
      </c>
      <c r="AD21" s="5">
        <f t="shared" ca="1" si="3"/>
        <v>6.0411704881010963E-6</v>
      </c>
      <c r="AE21" s="5">
        <f t="shared" ca="1" si="4"/>
        <v>6.0411704881010963E-6</v>
      </c>
      <c r="AF21" s="5">
        <f t="shared" ca="1" si="5"/>
        <v>6.0411704881010963E-6</v>
      </c>
      <c r="AG21" s="5">
        <f t="shared" ca="1" si="6"/>
        <v>6.0411704881010963E-6</v>
      </c>
      <c r="AH21" s="5">
        <f t="shared" ca="1" si="7"/>
        <v>6.0411704881010963E-6</v>
      </c>
      <c r="AI21" s="5">
        <f t="shared" ca="1" si="8"/>
        <v>0</v>
      </c>
      <c r="AJ21" s="5">
        <f t="shared" ca="1" si="9"/>
        <v>6.0411704881010963E-6</v>
      </c>
      <c r="AK21" s="5">
        <f t="shared" ca="1" si="10"/>
        <v>6.0411704881010963E-6</v>
      </c>
      <c r="AM21" s="5">
        <f t="shared" ca="1" si="13"/>
        <v>5.437053439290987E-5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1.7779700000000001</v>
      </c>
      <c r="F22" s="5">
        <v>136</v>
      </c>
      <c r="H22" s="5" t="s">
        <v>1</v>
      </c>
      <c r="I22" s="5">
        <v>30</v>
      </c>
      <c r="J22" s="5">
        <v>1</v>
      </c>
      <c r="L22" s="5">
        <f t="shared" ca="1" si="11"/>
        <v>655.43295999999998</v>
      </c>
      <c r="M22" s="5">
        <f t="shared" ca="1" si="11"/>
        <v>655.43295999999998</v>
      </c>
      <c r="N22" s="5">
        <f t="shared" ca="1" si="11"/>
        <v>659.84542999999996</v>
      </c>
      <c r="O22" s="5">
        <f t="shared" ca="1" si="11"/>
        <v>655.43295999999998</v>
      </c>
      <c r="P22" s="5">
        <f t="shared" ca="1" si="11"/>
        <v>657.95457999999996</v>
      </c>
      <c r="Q22" s="5">
        <f t="shared" ca="1" si="11"/>
        <v>657.95457999999996</v>
      </c>
      <c r="R22" s="5">
        <f t="shared" ca="1" si="11"/>
        <v>655.43295999999998</v>
      </c>
      <c r="S22" s="5">
        <f t="shared" ca="1" si="11"/>
        <v>657.95457999999996</v>
      </c>
      <c r="T22" s="5">
        <f t="shared" ca="1" si="11"/>
        <v>655.43295999999998</v>
      </c>
      <c r="U22" s="5">
        <f t="shared" ca="1" si="11"/>
        <v>655.43295999999998</v>
      </c>
      <c r="W22" s="5">
        <f t="shared" ca="1" si="12"/>
        <v>656.63069299999995</v>
      </c>
      <c r="Y22" s="5">
        <f ca="1">Total!E22</f>
        <v>655.43295999999998</v>
      </c>
      <c r="AB22" s="5">
        <f t="shared" ca="1" si="1"/>
        <v>0</v>
      </c>
      <c r="AC22" s="5">
        <f t="shared" ca="1" si="2"/>
        <v>0</v>
      </c>
      <c r="AD22" s="5">
        <f t="shared" ca="1" si="3"/>
        <v>6.7321454203340412E-3</v>
      </c>
      <c r="AE22" s="5">
        <f t="shared" ca="1" si="4"/>
        <v>0</v>
      </c>
      <c r="AF22" s="5">
        <f t="shared" ca="1" si="5"/>
        <v>3.847258459507414E-3</v>
      </c>
      <c r="AG22" s="5">
        <f t="shared" ca="1" si="6"/>
        <v>3.847258459507414E-3</v>
      </c>
      <c r="AH22" s="5">
        <f t="shared" ca="1" si="7"/>
        <v>0</v>
      </c>
      <c r="AI22" s="5">
        <f t="shared" ca="1" si="8"/>
        <v>3.847258459507414E-3</v>
      </c>
      <c r="AJ22" s="5">
        <f t="shared" ca="1" si="9"/>
        <v>0</v>
      </c>
      <c r="AK22" s="5">
        <f t="shared" ca="1" si="10"/>
        <v>0</v>
      </c>
      <c r="AM22" s="5">
        <f t="shared" ca="1" si="13"/>
        <v>1.8273920798856282E-2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1.7700800000000001</v>
      </c>
      <c r="F23" s="5">
        <v>141</v>
      </c>
      <c r="H23" s="5" t="s">
        <v>1</v>
      </c>
      <c r="I23" s="5">
        <v>50</v>
      </c>
      <c r="J23" s="5">
        <v>0.4</v>
      </c>
      <c r="L23" s="5">
        <f t="shared" ca="1" si="11"/>
        <v>1459.9687899999999</v>
      </c>
      <c r="M23" s="5">
        <f t="shared" ca="1" si="11"/>
        <v>1459.9687899999999</v>
      </c>
      <c r="N23" s="5">
        <f t="shared" ca="1" si="11"/>
        <v>1459.9687899999999</v>
      </c>
      <c r="O23" s="5">
        <f t="shared" ca="1" si="11"/>
        <v>1459.9687899999999</v>
      </c>
      <c r="P23" s="5">
        <f t="shared" ca="1" si="11"/>
        <v>1459.9687899999999</v>
      </c>
      <c r="Q23" s="5">
        <f t="shared" ca="1" si="11"/>
        <v>1459.9687899999999</v>
      </c>
      <c r="R23" s="5">
        <f t="shared" ca="1" si="11"/>
        <v>1459.9687899999999</v>
      </c>
      <c r="S23" s="5">
        <f t="shared" ca="1" si="11"/>
        <v>1459.9687899999999</v>
      </c>
      <c r="T23" s="5">
        <f t="shared" ca="1" si="11"/>
        <v>1459.9687899999999</v>
      </c>
      <c r="U23" s="5">
        <f t="shared" ca="1" si="11"/>
        <v>1460.0209400000001</v>
      </c>
      <c r="W23" s="5">
        <f t="shared" ca="1" si="12"/>
        <v>1459.9740049999998</v>
      </c>
      <c r="Y23" s="5">
        <f ca="1">Total!E23</f>
        <v>1459.9687899999999</v>
      </c>
      <c r="AB23" s="5">
        <f t="shared" ca="1" si="1"/>
        <v>0</v>
      </c>
      <c r="AC23" s="5">
        <f t="shared" ca="1" si="2"/>
        <v>0</v>
      </c>
      <c r="AD23" s="5">
        <f t="shared" ca="1" si="3"/>
        <v>0</v>
      </c>
      <c r="AE23" s="5">
        <f t="shared" ca="1" si="4"/>
        <v>0</v>
      </c>
      <c r="AF23" s="5">
        <f t="shared" ca="1" si="5"/>
        <v>0</v>
      </c>
      <c r="AG23" s="5">
        <f t="shared" ca="1" si="6"/>
        <v>0</v>
      </c>
      <c r="AH23" s="5">
        <f t="shared" ca="1" si="7"/>
        <v>0</v>
      </c>
      <c r="AI23" s="5">
        <f t="shared" ca="1" si="8"/>
        <v>0</v>
      </c>
      <c r="AJ23" s="5">
        <f t="shared" ca="1" si="9"/>
        <v>0</v>
      </c>
      <c r="AK23" s="5">
        <f t="shared" ca="1" si="10"/>
        <v>3.5719941657253266E-5</v>
      </c>
      <c r="AM23" s="5">
        <f t="shared" ca="1" si="13"/>
        <v>3.5719941657253266E-5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1.7736400000000001</v>
      </c>
      <c r="F24" s="5">
        <v>132</v>
      </c>
      <c r="H24" s="5" t="s">
        <v>1</v>
      </c>
      <c r="I24" s="5">
        <v>50</v>
      </c>
      <c r="J24" s="5">
        <v>0.7</v>
      </c>
      <c r="L24" s="5">
        <f t="shared" ca="1" si="11"/>
        <v>1010.23572</v>
      </c>
      <c r="M24" s="5">
        <f t="shared" ca="1" si="11"/>
        <v>1019.60473</v>
      </c>
      <c r="N24" s="5">
        <f t="shared" ca="1" si="11"/>
        <v>1014.12845</v>
      </c>
      <c r="O24" s="5">
        <f t="shared" ca="1" si="11"/>
        <v>1010.04126</v>
      </c>
      <c r="P24" s="5">
        <f t="shared" ca="1" si="11"/>
        <v>1015.84737</v>
      </c>
      <c r="Q24" s="5">
        <f t="shared" ca="1" si="11"/>
        <v>1015.95348</v>
      </c>
      <c r="R24" s="5">
        <f t="shared" ca="1" si="11"/>
        <v>1010.48679</v>
      </c>
      <c r="S24" s="5">
        <f t="shared" ca="1" si="11"/>
        <v>1012.89572</v>
      </c>
      <c r="T24" s="5">
        <f t="shared" ca="1" si="11"/>
        <v>1015.34628</v>
      </c>
      <c r="U24" s="5">
        <f t="shared" ca="1" si="11"/>
        <v>1011.67791</v>
      </c>
      <c r="W24" s="5">
        <f t="shared" ca="1" si="12"/>
        <v>1013.6217710000001</v>
      </c>
      <c r="Y24" s="5">
        <f ca="1">Total!E24</f>
        <v>1005.95063</v>
      </c>
      <c r="AB24" s="5">
        <f t="shared" ca="1" si="1"/>
        <v>4.2597418523411708E-3</v>
      </c>
      <c r="AC24" s="5">
        <f t="shared" ca="1" si="2"/>
        <v>1.3573330134501701E-2</v>
      </c>
      <c r="AD24" s="5">
        <f t="shared" ca="1" si="3"/>
        <v>8.1294446825884454E-3</v>
      </c>
      <c r="AE24" s="5">
        <f t="shared" ca="1" si="4"/>
        <v>4.0664321667554593E-3</v>
      </c>
      <c r="AF24" s="5">
        <f t="shared" ca="1" si="5"/>
        <v>9.8381965325673171E-3</v>
      </c>
      <c r="AG24" s="5">
        <f t="shared" ca="1" si="6"/>
        <v>9.943678846346532E-3</v>
      </c>
      <c r="AH24" s="5">
        <f t="shared" ca="1" si="7"/>
        <v>4.5093266654646809E-3</v>
      </c>
      <c r="AI24" s="5">
        <f t="shared" ca="1" si="8"/>
        <v>6.9040068099564056E-3</v>
      </c>
      <c r="AJ24" s="5">
        <f t="shared" ca="1" si="9"/>
        <v>9.3400706951194332E-3</v>
      </c>
      <c r="AK24" s="5">
        <f t="shared" ca="1" si="10"/>
        <v>5.6934006791167779E-3</v>
      </c>
      <c r="AM24" s="5">
        <f t="shared" ca="1" si="13"/>
        <v>7.6257629064757915E-2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1.7779199999999999</v>
      </c>
      <c r="F25" s="5">
        <v>137</v>
      </c>
      <c r="H25" s="5" t="s">
        <v>1</v>
      </c>
      <c r="I25" s="5">
        <v>50</v>
      </c>
      <c r="J25" s="5">
        <v>1</v>
      </c>
      <c r="L25" s="5">
        <f t="shared" ca="1" si="11"/>
        <v>994.40593000000001</v>
      </c>
      <c r="M25" s="5">
        <f t="shared" ca="1" si="11"/>
        <v>995.64332999999999</v>
      </c>
      <c r="N25" s="5">
        <f t="shared" ca="1" si="11"/>
        <v>996.28423999999995</v>
      </c>
      <c r="O25" s="5">
        <f t="shared" ca="1" si="11"/>
        <v>998.04965000000004</v>
      </c>
      <c r="P25" s="5">
        <f t="shared" ca="1" si="11"/>
        <v>993.06426999999996</v>
      </c>
      <c r="Q25" s="5">
        <f t="shared" ca="1" si="11"/>
        <v>997.72071000000005</v>
      </c>
      <c r="R25" s="5">
        <f t="shared" ca="1" si="11"/>
        <v>1001.28333</v>
      </c>
      <c r="S25" s="5">
        <f t="shared" ca="1" si="11"/>
        <v>998.43808999999999</v>
      </c>
      <c r="T25" s="5">
        <f t="shared" ca="1" si="11"/>
        <v>996.50724000000002</v>
      </c>
      <c r="U25" s="5">
        <f t="shared" ca="1" si="11"/>
        <v>994.12287000000003</v>
      </c>
      <c r="W25" s="5">
        <f t="shared" ca="1" si="12"/>
        <v>996.55196599999999</v>
      </c>
      <c r="Y25" s="5">
        <f ca="1">Total!E25</f>
        <v>990.69820000000004</v>
      </c>
      <c r="AB25" s="5">
        <f t="shared" ca="1" si="1"/>
        <v>3.7425423807169221E-3</v>
      </c>
      <c r="AC25" s="5">
        <f t="shared" ca="1" si="2"/>
        <v>4.9915604974349898E-3</v>
      </c>
      <c r="AD25" s="5">
        <f t="shared" ca="1" si="3"/>
        <v>5.6384880885015348E-3</v>
      </c>
      <c r="AE25" s="5">
        <f t="shared" ca="1" si="4"/>
        <v>7.4204737628472519E-3</v>
      </c>
      <c r="AF25" s="5">
        <f t="shared" ca="1" si="5"/>
        <v>2.3882853526936078E-3</v>
      </c>
      <c r="AG25" s="5">
        <f t="shared" ca="1" si="6"/>
        <v>7.0884453004961658E-3</v>
      </c>
      <c r="AH25" s="5">
        <f t="shared" ca="1" si="7"/>
        <v>1.068451522370782E-2</v>
      </c>
      <c r="AI25" s="5">
        <f t="shared" ca="1" si="8"/>
        <v>7.8125608787822012E-3</v>
      </c>
      <c r="AJ25" s="5">
        <f t="shared" ca="1" si="9"/>
        <v>5.8635818657992731E-3</v>
      </c>
      <c r="AK25" s="5">
        <f t="shared" ca="1" si="10"/>
        <v>3.4568246919192865E-3</v>
      </c>
      <c r="AM25" s="5">
        <f t="shared" ca="1" si="13"/>
        <v>5.9087278042899052E-2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1.7757700000000001</v>
      </c>
      <c r="F26" s="5">
        <v>134</v>
      </c>
      <c r="H26" s="5" t="s">
        <v>1</v>
      </c>
      <c r="I26" s="5">
        <v>100</v>
      </c>
      <c r="J26" s="5">
        <v>0.4</v>
      </c>
      <c r="L26" s="5">
        <f t="shared" ca="1" si="11"/>
        <v>1821.16776</v>
      </c>
      <c r="M26" s="5">
        <f t="shared" ca="1" si="11"/>
        <v>1833.0111400000001</v>
      </c>
      <c r="N26" s="5">
        <f t="shared" ca="1" si="11"/>
        <v>1842.0982300000001</v>
      </c>
      <c r="O26" s="5">
        <f t="shared" ca="1" si="11"/>
        <v>1806.2641699999999</v>
      </c>
      <c r="P26" s="5">
        <f t="shared" ca="1" si="11"/>
        <v>1816.84502</v>
      </c>
      <c r="Q26" s="5">
        <f t="shared" ca="1" si="11"/>
        <v>1841.00352</v>
      </c>
      <c r="R26" s="5">
        <f t="shared" ca="1" si="11"/>
        <v>1821.2801099999999</v>
      </c>
      <c r="S26" s="5">
        <f t="shared" ca="1" si="11"/>
        <v>1865.8075799999999</v>
      </c>
      <c r="T26" s="5">
        <f t="shared" ca="1" si="11"/>
        <v>1804.0914</v>
      </c>
      <c r="U26" s="5">
        <f t="shared" ca="1" si="11"/>
        <v>1836.9483399999999</v>
      </c>
      <c r="W26" s="5">
        <f t="shared" ca="1" si="12"/>
        <v>1828.851727</v>
      </c>
      <c r="Y26" s="5">
        <f ca="1">Total!E26</f>
        <v>1786.3248599999999</v>
      </c>
      <c r="AB26" s="5">
        <f t="shared" ca="1" si="1"/>
        <v>1.9505354697913178E-2</v>
      </c>
      <c r="AC26" s="5">
        <f t="shared" ca="1" si="2"/>
        <v>2.6135380548866192E-2</v>
      </c>
      <c r="AD26" s="5">
        <f t="shared" ca="1" si="3"/>
        <v>3.1222411583075722E-2</v>
      </c>
      <c r="AE26" s="5">
        <f t="shared" ca="1" si="4"/>
        <v>1.1162197003740954E-2</v>
      </c>
      <c r="AF26" s="5">
        <f t="shared" ca="1" si="5"/>
        <v>1.7085447716380119E-2</v>
      </c>
      <c r="AG26" s="5">
        <f t="shared" ca="1" si="6"/>
        <v>3.0609583522226768E-2</v>
      </c>
      <c r="AH26" s="5">
        <f t="shared" ca="1" si="7"/>
        <v>1.9568249192926743E-2</v>
      </c>
      <c r="AI26" s="5">
        <f t="shared" ca="1" si="8"/>
        <v>4.4495109361015091E-2</v>
      </c>
      <c r="AJ26" s="5">
        <f t="shared" ca="1" si="9"/>
        <v>9.9458616950558916E-3</v>
      </c>
      <c r="AK26" s="5">
        <f t="shared" ca="1" si="10"/>
        <v>2.8339458926860579E-2</v>
      </c>
      <c r="AM26" s="5">
        <f t="shared" ca="1" si="13"/>
        <v>0.23806905424806121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1.77942</v>
      </c>
      <c r="F27" s="5">
        <v>141</v>
      </c>
      <c r="H27" s="5" t="s">
        <v>1</v>
      </c>
      <c r="I27" s="5">
        <v>100</v>
      </c>
      <c r="J27" s="5">
        <v>0.7</v>
      </c>
      <c r="L27" s="5">
        <f t="shared" ca="1" si="11"/>
        <v>1779.59791</v>
      </c>
      <c r="M27" s="5">
        <f t="shared" ca="1" si="11"/>
        <v>1782.78</v>
      </c>
      <c r="N27" s="5">
        <f t="shared" ca="1" si="11"/>
        <v>1779.34907</v>
      </c>
      <c r="O27" s="5">
        <f t="shared" ca="1" si="11"/>
        <v>1779.4351999999999</v>
      </c>
      <c r="P27" s="5">
        <f t="shared" ca="1" si="11"/>
        <v>1786.2534599999999</v>
      </c>
      <c r="Q27" s="5">
        <f t="shared" ca="1" si="11"/>
        <v>1780.6433300000001</v>
      </c>
      <c r="R27" s="5">
        <f t="shared" ca="1" si="11"/>
        <v>1770.5655400000001</v>
      </c>
      <c r="S27" s="5">
        <f t="shared" ca="1" si="11"/>
        <v>1789.3141700000001</v>
      </c>
      <c r="T27" s="5">
        <f t="shared" ca="1" si="11"/>
        <v>1773.8486600000001</v>
      </c>
      <c r="U27" s="5">
        <f t="shared" ca="1" si="11"/>
        <v>1787.52667</v>
      </c>
      <c r="W27" s="5">
        <f t="shared" ca="1" si="12"/>
        <v>1780.9314009999998</v>
      </c>
      <c r="Y27" s="5">
        <f ca="1">Total!E27</f>
        <v>1761.02206</v>
      </c>
      <c r="AB27" s="5">
        <f t="shared" ca="1" si="1"/>
        <v>1.0548334641531943E-2</v>
      </c>
      <c r="AC27" s="5">
        <f t="shared" ca="1" si="2"/>
        <v>1.2355290995048614E-2</v>
      </c>
      <c r="AD27" s="5">
        <f t="shared" ca="1" si="3"/>
        <v>1.04070303355541E-2</v>
      </c>
      <c r="AE27" s="5">
        <f t="shared" ca="1" si="4"/>
        <v>1.0455939433262911E-2</v>
      </c>
      <c r="AF27" s="5">
        <f t="shared" ca="1" si="5"/>
        <v>1.4327702402546789E-2</v>
      </c>
      <c r="AG27" s="5">
        <f t="shared" ca="1" si="6"/>
        <v>1.1141978539439816E-2</v>
      </c>
      <c r="AH27" s="5">
        <f t="shared" ca="1" si="7"/>
        <v>5.4192847533097027E-3</v>
      </c>
      <c r="AI27" s="5">
        <f t="shared" ca="1" si="8"/>
        <v>1.6065732873329307E-2</v>
      </c>
      <c r="AJ27" s="5">
        <f t="shared" ca="1" si="9"/>
        <v>7.2836112001913814E-3</v>
      </c>
      <c r="AK27" s="5">
        <f t="shared" ca="1" si="10"/>
        <v>1.5050697320622978E-2</v>
      </c>
      <c r="AM27" s="5">
        <f t="shared" ca="1" si="13"/>
        <v>0.11305560249483754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1.77746</v>
      </c>
      <c r="F28" s="5">
        <v>142</v>
      </c>
      <c r="H28" s="5" t="s">
        <v>1</v>
      </c>
      <c r="I28" s="5">
        <v>100</v>
      </c>
      <c r="J28" s="5">
        <v>1</v>
      </c>
      <c r="L28" s="5">
        <f t="shared" ca="1" si="11"/>
        <v>1757.1933300000001</v>
      </c>
      <c r="M28" s="5">
        <f t="shared" ca="1" si="11"/>
        <v>1756.9791600000001</v>
      </c>
      <c r="N28" s="5">
        <f t="shared" ca="1" si="11"/>
        <v>1757.6585299999999</v>
      </c>
      <c r="O28" s="5">
        <f t="shared" ca="1" si="11"/>
        <v>1756.0139200000001</v>
      </c>
      <c r="P28" s="5">
        <f t="shared" ca="1" si="11"/>
        <v>1757.2750100000001</v>
      </c>
      <c r="Q28" s="5">
        <f t="shared" ca="1" si="11"/>
        <v>1757.6533300000001</v>
      </c>
      <c r="R28" s="5">
        <f t="shared" ca="1" si="11"/>
        <v>1756.17</v>
      </c>
      <c r="S28" s="5">
        <f t="shared" ca="1" si="11"/>
        <v>1757.86</v>
      </c>
      <c r="T28" s="5">
        <f t="shared" ca="1" si="11"/>
        <v>1758.6133299999999</v>
      </c>
      <c r="U28" s="5">
        <f t="shared" ca="1" si="11"/>
        <v>1754.6466700000001</v>
      </c>
      <c r="W28" s="5">
        <f t="shared" ca="1" si="12"/>
        <v>1757.0063280000002</v>
      </c>
      <c r="Y28" s="5">
        <f ca="1">Total!E28</f>
        <v>1753.1198199999999</v>
      </c>
      <c r="AB28" s="5">
        <f t="shared" ca="1" si="1"/>
        <v>2.3235776320184262E-3</v>
      </c>
      <c r="AC28" s="5">
        <f t="shared" ca="1" si="2"/>
        <v>2.2014125651720726E-3</v>
      </c>
      <c r="AD28" s="5">
        <f t="shared" ca="1" si="3"/>
        <v>2.5889331397782257E-3</v>
      </c>
      <c r="AE28" s="5">
        <f t="shared" ca="1" si="4"/>
        <v>1.6508284071537153E-3</v>
      </c>
      <c r="AF28" s="5">
        <f t="shared" ca="1" si="5"/>
        <v>2.3701688570266551E-3</v>
      </c>
      <c r="AG28" s="5">
        <f t="shared" ca="1" si="6"/>
        <v>2.5859669991068869E-3</v>
      </c>
      <c r="AH28" s="5">
        <f t="shared" ca="1" si="7"/>
        <v>1.7398582602301436E-3</v>
      </c>
      <c r="AI28" s="5">
        <f t="shared" ca="1" si="8"/>
        <v>2.7038539784462706E-3</v>
      </c>
      <c r="AJ28" s="5">
        <f t="shared" ca="1" si="9"/>
        <v>3.1335621999870008E-3</v>
      </c>
      <c r="AK28" s="5">
        <f t="shared" ca="1" si="10"/>
        <v>8.7093305465007814E-4</v>
      </c>
      <c r="AM28" s="5">
        <f t="shared" ca="1" si="13"/>
        <v>2.2169095093569475E-2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1.7722899999999999</v>
      </c>
      <c r="F29" s="5">
        <v>137</v>
      </c>
      <c r="H29" s="5" t="s">
        <v>0</v>
      </c>
      <c r="I29" s="5">
        <v>25</v>
      </c>
      <c r="J29" s="5">
        <v>0.4</v>
      </c>
      <c r="L29" s="5">
        <f t="shared" ca="1" si="11"/>
        <v>42.424349999999997</v>
      </c>
      <c r="M29" s="5">
        <f t="shared" ca="1" si="11"/>
        <v>42.424349999999997</v>
      </c>
      <c r="N29" s="5">
        <f t="shared" ca="1" si="11"/>
        <v>42.424349999999997</v>
      </c>
      <c r="O29" s="5">
        <f t="shared" ca="1" si="11"/>
        <v>42.424349999999997</v>
      </c>
      <c r="P29" s="5">
        <f t="shared" ca="1" si="11"/>
        <v>41.318849999999998</v>
      </c>
      <c r="Q29" s="5">
        <f t="shared" ca="1" si="11"/>
        <v>41.318849999999998</v>
      </c>
      <c r="R29" s="5">
        <f t="shared" ca="1" si="11"/>
        <v>42.424349999999997</v>
      </c>
      <c r="S29" s="5">
        <f t="shared" ca="1" si="11"/>
        <v>41.318849999999998</v>
      </c>
      <c r="T29" s="5">
        <f t="shared" ca="1" si="11"/>
        <v>42.424349999999997</v>
      </c>
      <c r="U29" s="5">
        <f t="shared" ca="1" si="11"/>
        <v>42.173929999999999</v>
      </c>
      <c r="W29" s="5">
        <f t="shared" ca="1" si="12"/>
        <v>42.067657999999994</v>
      </c>
      <c r="Y29" s="5">
        <f ca="1">Total!E29</f>
        <v>40.897550000000003</v>
      </c>
      <c r="AB29" s="5">
        <f t="shared" ca="1" si="1"/>
        <v>3.7332309637129711E-2</v>
      </c>
      <c r="AC29" s="5">
        <f t="shared" ca="1" si="2"/>
        <v>3.7332309637129711E-2</v>
      </c>
      <c r="AD29" s="5">
        <f t="shared" ca="1" si="3"/>
        <v>3.7332309637129711E-2</v>
      </c>
      <c r="AE29" s="5">
        <f t="shared" ca="1" si="4"/>
        <v>3.7332309637129711E-2</v>
      </c>
      <c r="AF29" s="5">
        <f t="shared" ca="1" si="5"/>
        <v>1.0301350569899543E-2</v>
      </c>
      <c r="AG29" s="5">
        <f t="shared" ca="1" si="6"/>
        <v>1.0301350569899543E-2</v>
      </c>
      <c r="AH29" s="5">
        <f t="shared" ca="1" si="7"/>
        <v>3.7332309637129711E-2</v>
      </c>
      <c r="AI29" s="5">
        <f t="shared" ca="1" si="8"/>
        <v>1.0301350569899543E-2</v>
      </c>
      <c r="AJ29" s="5">
        <f t="shared" ca="1" si="9"/>
        <v>3.7332309637129711E-2</v>
      </c>
      <c r="AK29" s="5">
        <f t="shared" ca="1" si="10"/>
        <v>3.1209204463347951E-2</v>
      </c>
      <c r="AM29" s="5">
        <f t="shared" ca="1" si="13"/>
        <v>0.28610711399582484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1.7718100000000001</v>
      </c>
      <c r="F30" s="5">
        <v>137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1"/>
        <v>28.65436</v>
      </c>
      <c r="N30" s="5">
        <f t="shared" ca="1" si="11"/>
        <v>28.65436</v>
      </c>
      <c r="O30" s="5">
        <f t="shared" ca="1" si="11"/>
        <v>28.65436</v>
      </c>
      <c r="P30" s="5">
        <f t="shared" ca="1" si="11"/>
        <v>28.65436</v>
      </c>
      <c r="Q30" s="5">
        <f t="shared" ca="1" si="11"/>
        <v>28.65436</v>
      </c>
      <c r="R30" s="5">
        <f t="shared" ca="1" si="11"/>
        <v>28.65436</v>
      </c>
      <c r="S30" s="5">
        <f t="shared" ca="1" si="11"/>
        <v>28.65436</v>
      </c>
      <c r="T30" s="5">
        <f t="shared" ca="1" si="11"/>
        <v>28.65436</v>
      </c>
      <c r="U30" s="5">
        <f t="shared" ca="1" si="11"/>
        <v>28.65624</v>
      </c>
      <c r="W30" s="5">
        <f t="shared" ca="1" si="12"/>
        <v>28.654548000000005</v>
      </c>
      <c r="Y30" s="5">
        <f ca="1">Total!E30</f>
        <v>28.65436</v>
      </c>
      <c r="AB30" s="5">
        <f t="shared" ca="1" si="1"/>
        <v>0</v>
      </c>
      <c r="AC30" s="5">
        <f t="shared" ca="1" si="2"/>
        <v>0</v>
      </c>
      <c r="AD30" s="5">
        <f t="shared" ca="1" si="3"/>
        <v>0</v>
      </c>
      <c r="AE30" s="5">
        <f t="shared" ca="1" si="4"/>
        <v>0</v>
      </c>
      <c r="AF30" s="5">
        <f t="shared" ca="1" si="5"/>
        <v>0</v>
      </c>
      <c r="AG30" s="5">
        <f t="shared" ca="1" si="6"/>
        <v>0</v>
      </c>
      <c r="AH30" s="5">
        <f t="shared" ca="1" si="7"/>
        <v>0</v>
      </c>
      <c r="AI30" s="5">
        <f t="shared" ca="1" si="8"/>
        <v>0</v>
      </c>
      <c r="AJ30" s="5">
        <f t="shared" ca="1" si="9"/>
        <v>0</v>
      </c>
      <c r="AK30" s="5">
        <f t="shared" ca="1" si="10"/>
        <v>6.5609561686245368E-5</v>
      </c>
      <c r="AM30" s="5">
        <f t="shared" ca="1" si="13"/>
        <v>6.5609561686245368E-5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1.2257800000000001</v>
      </c>
      <c r="F31" s="5">
        <v>29</v>
      </c>
      <c r="H31" s="5" t="s">
        <v>0</v>
      </c>
      <c r="I31" s="5">
        <v>25</v>
      </c>
      <c r="J31" s="5">
        <v>1</v>
      </c>
      <c r="L31" s="5">
        <f t="shared" ca="1" si="11"/>
        <v>28.587009999999999</v>
      </c>
      <c r="M31" s="5">
        <f t="shared" ca="1" si="11"/>
        <v>28.592030000000001</v>
      </c>
      <c r="N31" s="5">
        <f t="shared" ca="1" si="11"/>
        <v>28.592030000000001</v>
      </c>
      <c r="O31" s="5">
        <f t="shared" ca="1" si="11"/>
        <v>28.602029999999999</v>
      </c>
      <c r="P31" s="5">
        <f t="shared" ca="1" si="11"/>
        <v>28.592030000000001</v>
      </c>
      <c r="Q31" s="5">
        <f t="shared" ca="1" si="11"/>
        <v>28.504100000000001</v>
      </c>
      <c r="R31" s="5">
        <f t="shared" ca="1" si="11"/>
        <v>28.60624</v>
      </c>
      <c r="S31" s="5">
        <f t="shared" ca="1" si="11"/>
        <v>28.546240000000001</v>
      </c>
      <c r="T31" s="5">
        <f t="shared" ca="1" si="11"/>
        <v>28.592030000000001</v>
      </c>
      <c r="U31" s="5">
        <f t="shared" ca="1" si="11"/>
        <v>28.592030000000001</v>
      </c>
      <c r="W31" s="5">
        <f t="shared" ca="1" si="12"/>
        <v>28.580577000000005</v>
      </c>
      <c r="Y31" s="5">
        <f ca="1">Total!E31</f>
        <v>28.504100000000001</v>
      </c>
      <c r="AB31" s="5">
        <f t="shared" ca="1" si="1"/>
        <v>2.9087043618285882E-3</v>
      </c>
      <c r="AC31" s="5">
        <f t="shared" ca="1" si="2"/>
        <v>3.0848193768615766E-3</v>
      </c>
      <c r="AD31" s="5">
        <f t="shared" ca="1" si="3"/>
        <v>3.0848193768615766E-3</v>
      </c>
      <c r="AE31" s="5">
        <f t="shared" ca="1" si="4"/>
        <v>3.4356461000346642E-3</v>
      </c>
      <c r="AF31" s="5">
        <f t="shared" ca="1" si="5"/>
        <v>3.0848193768615766E-3</v>
      </c>
      <c r="AG31" s="5">
        <f t="shared" ca="1" si="6"/>
        <v>0</v>
      </c>
      <c r="AH31" s="5">
        <f t="shared" ca="1" si="7"/>
        <v>3.5833441504905805E-3</v>
      </c>
      <c r="AI31" s="5">
        <f t="shared" ca="1" si="8"/>
        <v>1.4783838114516804E-3</v>
      </c>
      <c r="AJ31" s="5">
        <f t="shared" ca="1" si="9"/>
        <v>3.0848193768615766E-3</v>
      </c>
      <c r="AK31" s="5">
        <f t="shared" ca="1" si="10"/>
        <v>3.0848193768615766E-3</v>
      </c>
      <c r="AM31" s="5">
        <f t="shared" ca="1" si="13"/>
        <v>2.6830175308113394E-2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1.21591</v>
      </c>
      <c r="F32" s="5">
        <v>32</v>
      </c>
      <c r="H32" s="5" t="s">
        <v>0</v>
      </c>
      <c r="I32" s="5">
        <v>50</v>
      </c>
      <c r="J32" s="5">
        <v>0.4</v>
      </c>
      <c r="L32" s="5">
        <f t="shared" ca="1" si="11"/>
        <v>58.857329999999997</v>
      </c>
      <c r="M32" s="5">
        <f t="shared" ca="1" si="11"/>
        <v>57.455959999999997</v>
      </c>
      <c r="N32" s="5">
        <f t="shared" ca="1" si="11"/>
        <v>56.901339999999998</v>
      </c>
      <c r="O32" s="5">
        <f t="shared" ca="1" si="11"/>
        <v>59.12285</v>
      </c>
      <c r="P32" s="5">
        <f t="shared" ca="1" si="11"/>
        <v>56.539569999999998</v>
      </c>
      <c r="Q32" s="5">
        <f t="shared" ca="1" si="11"/>
        <v>56.78134</v>
      </c>
      <c r="R32" s="5">
        <f t="shared" ca="1" si="11"/>
        <v>57.093910000000001</v>
      </c>
      <c r="S32" s="5">
        <f t="shared" ca="1" si="11"/>
        <v>59.09102</v>
      </c>
      <c r="T32" s="5">
        <f t="shared" ca="1" si="11"/>
        <v>56.901339999999998</v>
      </c>
      <c r="U32" s="5">
        <f t="shared" ca="1" si="11"/>
        <v>56.901339999999998</v>
      </c>
      <c r="W32" s="5">
        <f t="shared" ca="1" si="12"/>
        <v>57.564599999999999</v>
      </c>
      <c r="Y32" s="5">
        <f ca="1">Total!E32</f>
        <v>56.511339999999997</v>
      </c>
      <c r="AB32" s="5">
        <f t="shared" ca="1" si="1"/>
        <v>4.1513614789527212E-2</v>
      </c>
      <c r="AC32" s="5">
        <f t="shared" ca="1" si="2"/>
        <v>1.6715583102435733E-2</v>
      </c>
      <c r="AD32" s="5">
        <f t="shared" ca="1" si="3"/>
        <v>6.901269727456482E-3</v>
      </c>
      <c r="AE32" s="5">
        <f t="shared" ca="1" si="4"/>
        <v>4.6212140784486842E-2</v>
      </c>
      <c r="AF32" s="5">
        <f t="shared" ca="1" si="5"/>
        <v>4.995457548874375E-4</v>
      </c>
      <c r="AG32" s="5">
        <f t="shared" ca="1" si="6"/>
        <v>4.7778021190083824E-3</v>
      </c>
      <c r="AH32" s="5">
        <f t="shared" ca="1" si="7"/>
        <v>1.0308904372113705E-2</v>
      </c>
      <c r="AI32" s="5">
        <f t="shared" ca="1" si="8"/>
        <v>4.5648891001345983E-2</v>
      </c>
      <c r="AJ32" s="5">
        <f t="shared" ca="1" si="9"/>
        <v>6.901269727456482E-3</v>
      </c>
      <c r="AK32" s="5">
        <f t="shared" ca="1" si="10"/>
        <v>6.901269727456482E-3</v>
      </c>
      <c r="AM32" s="5">
        <f t="shared" ca="1" si="13"/>
        <v>0.18638029110617471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1.2197100000000001</v>
      </c>
      <c r="F33" s="5">
        <v>32</v>
      </c>
      <c r="H33" s="5" t="s">
        <v>0</v>
      </c>
      <c r="I33" s="5">
        <v>50</v>
      </c>
      <c r="J33" s="5">
        <v>0.7</v>
      </c>
      <c r="L33" s="5">
        <f t="shared" ca="1" si="11"/>
        <v>53.642659999999999</v>
      </c>
      <c r="M33" s="5">
        <f t="shared" ca="1" si="11"/>
        <v>53.496079999999999</v>
      </c>
      <c r="N33" s="5">
        <f t="shared" ca="1" si="11"/>
        <v>53.644979999999997</v>
      </c>
      <c r="O33" s="5">
        <f t="shared" ca="1" si="11"/>
        <v>53.712299999999999</v>
      </c>
      <c r="P33" s="5">
        <f t="shared" ca="1" si="11"/>
        <v>53.472749999999998</v>
      </c>
      <c r="Q33" s="5">
        <f t="shared" ca="1" si="11"/>
        <v>53.7956</v>
      </c>
      <c r="R33" s="5">
        <f t="shared" ca="1" si="11"/>
        <v>53.495600000000003</v>
      </c>
      <c r="S33" s="5">
        <f t="shared" ca="1" si="11"/>
        <v>53.575069999999997</v>
      </c>
      <c r="T33" s="5">
        <f t="shared" ca="1" si="11"/>
        <v>53.692659999999997</v>
      </c>
      <c r="U33" s="5">
        <f t="shared" ca="1" si="11"/>
        <v>53.595739999999999</v>
      </c>
      <c r="W33" s="5">
        <f t="shared" ca="1" si="12"/>
        <v>53.612343999999993</v>
      </c>
      <c r="Y33" s="5">
        <f ca="1">Total!E33</f>
        <v>53.115070000000003</v>
      </c>
      <c r="AB33" s="5">
        <f t="shared" ca="1" si="1"/>
        <v>9.932962528336994E-3</v>
      </c>
      <c r="AC33" s="5">
        <f t="shared" ca="1" si="2"/>
        <v>7.1732937563670027E-3</v>
      </c>
      <c r="AD33" s="5">
        <f t="shared" ca="1" si="3"/>
        <v>9.9766412809018951E-3</v>
      </c>
      <c r="AE33" s="5">
        <f t="shared" ca="1" si="4"/>
        <v>1.1244078187226263E-2</v>
      </c>
      <c r="AF33" s="5">
        <f t="shared" ca="1" si="5"/>
        <v>6.7340587144099568E-3</v>
      </c>
      <c r="AG33" s="5">
        <f t="shared" ca="1" si="6"/>
        <v>1.2812371328890225E-2</v>
      </c>
      <c r="AH33" s="5">
        <f t="shared" ca="1" si="7"/>
        <v>7.1642567730777771E-3</v>
      </c>
      <c r="AI33" s="5">
        <f t="shared" ca="1" si="8"/>
        <v>8.6604423189123869E-3</v>
      </c>
      <c r="AJ33" s="5">
        <f t="shared" ca="1" si="9"/>
        <v>1.0874314954305691E-2</v>
      </c>
      <c r="AK33" s="5">
        <f t="shared" ca="1" si="10"/>
        <v>9.0495974118079171E-3</v>
      </c>
      <c r="AM33" s="5">
        <f t="shared" ca="1" si="13"/>
        <v>9.3622017254236106E-2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1.2014199999999999</v>
      </c>
      <c r="F34" s="5">
        <v>30</v>
      </c>
      <c r="H34" s="5" t="s">
        <v>0</v>
      </c>
      <c r="I34" s="5">
        <v>50</v>
      </c>
      <c r="J34" s="5">
        <v>1</v>
      </c>
      <c r="L34" s="5">
        <f t="shared" ca="1" si="11"/>
        <v>53.387569999999997</v>
      </c>
      <c r="M34" s="5">
        <f t="shared" ca="1" si="11"/>
        <v>53.262410000000003</v>
      </c>
      <c r="N34" s="5">
        <f t="shared" ca="1" si="11"/>
        <v>53.107489999999999</v>
      </c>
      <c r="O34" s="5">
        <f t="shared" ca="1" si="11"/>
        <v>53.187489999999997</v>
      </c>
      <c r="P34" s="5">
        <f t="shared" ca="1" si="11"/>
        <v>53.13241</v>
      </c>
      <c r="Q34" s="5">
        <f t="shared" ca="1" si="11"/>
        <v>53.127569999999999</v>
      </c>
      <c r="R34" s="5">
        <f t="shared" ca="1" si="11"/>
        <v>53.155070000000002</v>
      </c>
      <c r="S34" s="5">
        <f t="shared" ca="1" si="11"/>
        <v>53.279530000000001</v>
      </c>
      <c r="T34" s="5">
        <f t="shared" ca="1" si="11"/>
        <v>53.325519999999997</v>
      </c>
      <c r="U34" s="5">
        <f t="shared" ca="1" si="11"/>
        <v>53.317570000000003</v>
      </c>
      <c r="W34" s="5">
        <f t="shared" ca="1" si="12"/>
        <v>53.228263000000005</v>
      </c>
      <c r="Y34" s="5">
        <f ca="1">Total!E34</f>
        <v>53.003740000000001</v>
      </c>
      <c r="AB34" s="5">
        <f t="shared" ca="1" si="1"/>
        <v>7.2415644631868637E-3</v>
      </c>
      <c r="AC34" s="5">
        <f t="shared" ca="1" si="2"/>
        <v>4.8802216598300835E-3</v>
      </c>
      <c r="AD34" s="5">
        <f t="shared" ca="1" si="3"/>
        <v>1.9574090432108756E-3</v>
      </c>
      <c r="AE34" s="5">
        <f t="shared" ca="1" si="4"/>
        <v>3.4667364982168486E-3</v>
      </c>
      <c r="AF34" s="5">
        <f t="shared" ca="1" si="5"/>
        <v>2.4275645454452763E-3</v>
      </c>
      <c r="AG34" s="5">
        <f t="shared" ca="1" si="6"/>
        <v>2.3362502344173846E-3</v>
      </c>
      <c r="AH34" s="5">
        <f t="shared" ca="1" si="7"/>
        <v>2.8550815470757634E-3</v>
      </c>
      <c r="AI34" s="5">
        <f t="shared" ca="1" si="8"/>
        <v>5.2032177352013395E-3</v>
      </c>
      <c r="AJ34" s="5">
        <f t="shared" ca="1" si="9"/>
        <v>6.0708923558978447E-3</v>
      </c>
      <c r="AK34" s="5">
        <f t="shared" ca="1" si="10"/>
        <v>5.9209029400567378E-3</v>
      </c>
      <c r="AM34" s="5">
        <f t="shared" ca="1" si="13"/>
        <v>4.2359841022539022E-2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1.2121299999999999</v>
      </c>
      <c r="F35" s="5">
        <v>32</v>
      </c>
      <c r="H35" s="5" t="s">
        <v>0</v>
      </c>
      <c r="I35" s="5">
        <v>100</v>
      </c>
      <c r="J35" s="5">
        <v>0.4</v>
      </c>
      <c r="L35" s="5">
        <f t="shared" ca="1" si="11"/>
        <v>148.18153000000001</v>
      </c>
      <c r="M35" s="5">
        <f t="shared" ca="1" si="11"/>
        <v>148.21464</v>
      </c>
      <c r="N35" s="5">
        <f t="shared" ca="1" si="11"/>
        <v>148.21312</v>
      </c>
      <c r="O35" s="5">
        <f t="shared" ca="1" si="11"/>
        <v>148.31746999999999</v>
      </c>
      <c r="P35" s="5">
        <f t="shared" ca="1" si="11"/>
        <v>148.31782999999999</v>
      </c>
      <c r="Q35" s="5">
        <f t="shared" ca="1" si="11"/>
        <v>148.17949999999999</v>
      </c>
      <c r="R35" s="5">
        <f t="shared" ca="1" si="11"/>
        <v>148.23079999999999</v>
      </c>
      <c r="S35" s="5">
        <f t="shared" ca="1" si="11"/>
        <v>148.32401999999999</v>
      </c>
      <c r="T35" s="5">
        <f t="shared" ca="1" si="11"/>
        <v>148.29496</v>
      </c>
      <c r="U35" s="5">
        <f t="shared" ca="1" si="11"/>
        <v>148.17617000000001</v>
      </c>
      <c r="W35" s="5">
        <f t="shared" ca="1" si="12"/>
        <v>148.24500399999997</v>
      </c>
      <c r="Y35" s="5">
        <f ca="1">Total!E35</f>
        <v>147.96312</v>
      </c>
      <c r="AB35" s="5">
        <f t="shared" ca="1" si="1"/>
        <v>1.4761110741650066E-3</v>
      </c>
      <c r="AC35" s="5">
        <f t="shared" ca="1" si="2"/>
        <v>1.6998830519388839E-3</v>
      </c>
      <c r="AD35" s="5">
        <f t="shared" ca="1" si="3"/>
        <v>1.6896102217904029E-3</v>
      </c>
      <c r="AE35" s="5">
        <f t="shared" ca="1" si="4"/>
        <v>2.394853528365598E-3</v>
      </c>
      <c r="AF35" s="5">
        <f t="shared" ca="1" si="5"/>
        <v>2.3972865670849803E-3</v>
      </c>
      <c r="AG35" s="5">
        <f t="shared" ca="1" si="6"/>
        <v>1.4623914391639395E-3</v>
      </c>
      <c r="AH35" s="5">
        <f t="shared" ca="1" si="7"/>
        <v>1.8090994566753145E-3</v>
      </c>
      <c r="AI35" s="5">
        <f t="shared" ca="1" si="8"/>
        <v>2.4391213161765357E-3</v>
      </c>
      <c r="AJ35" s="5">
        <f t="shared" ca="1" si="9"/>
        <v>2.2427210239957069E-3</v>
      </c>
      <c r="AK35" s="5">
        <f t="shared" ca="1" si="10"/>
        <v>1.439885831009847E-3</v>
      </c>
      <c r="AM35" s="5">
        <f t="shared" ca="1" si="13"/>
        <v>1.9050963510366215E-2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1.2222999999999999</v>
      </c>
      <c r="F36" s="5">
        <v>31</v>
      </c>
      <c r="H36" s="5" t="s">
        <v>0</v>
      </c>
      <c r="I36" s="5">
        <v>100</v>
      </c>
      <c r="J36" s="5">
        <v>0.7</v>
      </c>
      <c r="L36" s="5">
        <f t="shared" ca="1" si="11"/>
        <v>107.96080000000001</v>
      </c>
      <c r="M36" s="5">
        <f t="shared" ca="1" si="11"/>
        <v>107.68253</v>
      </c>
      <c r="N36" s="5">
        <f t="shared" ca="1" si="11"/>
        <v>108.19586</v>
      </c>
      <c r="O36" s="5">
        <f t="shared" ca="1" si="11"/>
        <v>107.96747000000001</v>
      </c>
      <c r="P36" s="5">
        <f t="shared" ca="1" si="11"/>
        <v>108.24419</v>
      </c>
      <c r="Q36" s="5">
        <f t="shared" ca="1" si="11"/>
        <v>107.93071</v>
      </c>
      <c r="R36" s="5">
        <f t="shared" ca="1" si="11"/>
        <v>107.84747</v>
      </c>
      <c r="S36" s="5">
        <f t="shared" ca="1" si="11"/>
        <v>107.69419000000001</v>
      </c>
      <c r="T36" s="5">
        <f t="shared" ca="1" si="11"/>
        <v>108.03033000000001</v>
      </c>
      <c r="U36" s="5">
        <f t="shared" ca="1" si="11"/>
        <v>108.2701</v>
      </c>
      <c r="W36" s="5">
        <f t="shared" ca="1" si="12"/>
        <v>107.982365</v>
      </c>
      <c r="Y36" s="5">
        <f ca="1">Total!E36</f>
        <v>107.28163000000001</v>
      </c>
      <c r="AB36" s="5">
        <f t="shared" ca="1" si="1"/>
        <v>6.3307203665716036E-3</v>
      </c>
      <c r="AC36" s="5">
        <f t="shared" ca="1" si="2"/>
        <v>3.7368932593585024E-3</v>
      </c>
      <c r="AD36" s="5">
        <f t="shared" ca="1" si="3"/>
        <v>8.5217758156730956E-3</v>
      </c>
      <c r="AE36" s="5">
        <f t="shared" ca="1" si="4"/>
        <v>6.3928931728572625E-3</v>
      </c>
      <c r="AF36" s="5">
        <f t="shared" ca="1" si="5"/>
        <v>8.9722723265856074E-3</v>
      </c>
      <c r="AG36" s="5">
        <f t="shared" ca="1" si="6"/>
        <v>6.0502436437626633E-3</v>
      </c>
      <c r="AH36" s="5">
        <f t="shared" ca="1" si="7"/>
        <v>5.2743419353340768E-3</v>
      </c>
      <c r="AI36" s="5">
        <f t="shared" ca="1" si="8"/>
        <v>3.8455791546045592E-3</v>
      </c>
      <c r="AJ36" s="5">
        <f t="shared" ca="1" si="9"/>
        <v>6.9788275961131406E-3</v>
      </c>
      <c r="AK36" s="5">
        <f t="shared" ca="1" si="10"/>
        <v>9.2137861812874432E-3</v>
      </c>
      <c r="AM36" s="5">
        <f t="shared" ca="1" si="13"/>
        <v>6.5317333452147949E-2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1.2186699999999999</v>
      </c>
      <c r="F37" s="5">
        <v>32</v>
      </c>
      <c r="H37" s="5" t="s">
        <v>0</v>
      </c>
      <c r="I37" s="5">
        <v>100</v>
      </c>
      <c r="J37" s="5">
        <v>1</v>
      </c>
      <c r="L37" s="5">
        <f t="shared" ca="1" si="11"/>
        <v>103.79163</v>
      </c>
      <c r="M37" s="5">
        <f t="shared" ca="1" si="11"/>
        <v>103.77329</v>
      </c>
      <c r="N37" s="5">
        <f t="shared" ca="1" si="11"/>
        <v>103.89579999999999</v>
      </c>
      <c r="O37" s="5">
        <f t="shared" ca="1" si="11"/>
        <v>104.10413</v>
      </c>
      <c r="P37" s="5">
        <f t="shared" ca="1" si="11"/>
        <v>103.81674</v>
      </c>
      <c r="Q37" s="5">
        <f t="shared" ca="1" si="11"/>
        <v>103.98829000000001</v>
      </c>
      <c r="R37" s="5">
        <f t="shared" ca="1" si="11"/>
        <v>103.37412999999999</v>
      </c>
      <c r="S37" s="5">
        <f t="shared" ca="1" si="11"/>
        <v>104.06247</v>
      </c>
      <c r="T37" s="5">
        <f t="shared" ca="1" si="11"/>
        <v>103.73996</v>
      </c>
      <c r="U37" s="5">
        <f t="shared" ca="1" si="11"/>
        <v>103.91329</v>
      </c>
      <c r="W37" s="5">
        <f t="shared" ca="1" si="12"/>
        <v>103.845973</v>
      </c>
      <c r="Y37" s="5">
        <f ca="1">Total!E37</f>
        <v>103.21266</v>
      </c>
      <c r="AB37" s="5">
        <f t="shared" ca="1" si="1"/>
        <v>5.6094862781367926E-3</v>
      </c>
      <c r="AC37" s="5">
        <f t="shared" ca="1" si="2"/>
        <v>5.4317948980290142E-3</v>
      </c>
      <c r="AD37" s="5">
        <f t="shared" ca="1" si="3"/>
        <v>6.6187616906685145E-3</v>
      </c>
      <c r="AE37" s="5">
        <f t="shared" ca="1" si="4"/>
        <v>8.637215628392857E-3</v>
      </c>
      <c r="AF37" s="5">
        <f t="shared" ca="1" si="5"/>
        <v>5.8527703868885483E-3</v>
      </c>
      <c r="AG37" s="5">
        <f t="shared" ca="1" si="6"/>
        <v>7.5148726910052189E-3</v>
      </c>
      <c r="AH37" s="5">
        <f t="shared" ca="1" si="7"/>
        <v>1.564439866194653E-3</v>
      </c>
      <c r="AI37" s="5">
        <f t="shared" ca="1" si="8"/>
        <v>8.2335829732515867E-3</v>
      </c>
      <c r="AJ37" s="5">
        <f t="shared" ca="1" si="9"/>
        <v>5.1088693964480405E-3</v>
      </c>
      <c r="AK37" s="5">
        <f t="shared" ca="1" si="10"/>
        <v>6.7882176469437356E-3</v>
      </c>
      <c r="AM37" s="5">
        <f t="shared" ca="1" si="13"/>
        <v>6.1360011455958957E-2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1.20299</v>
      </c>
      <c r="F38" s="5">
        <v>31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1.21645</v>
      </c>
      <c r="F39" s="5">
        <v>30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1.20994</v>
      </c>
      <c r="F40" s="5">
        <v>32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2.8944999999999999</v>
      </c>
      <c r="F41" s="5">
        <v>90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2.9138299999999999</v>
      </c>
      <c r="F42" s="5">
        <v>93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2.9039299999999999</v>
      </c>
      <c r="F43" s="5">
        <v>91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2.8960499999999998</v>
      </c>
      <c r="F44" s="5">
        <v>89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2.8929100000000001</v>
      </c>
      <c r="F45" s="5">
        <v>93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2.8927900000000002</v>
      </c>
      <c r="F46" s="5">
        <v>91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2.8995099999999998</v>
      </c>
      <c r="F47" s="5">
        <v>89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2.92082</v>
      </c>
      <c r="F48" s="5">
        <v>92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2.8906000000000001</v>
      </c>
      <c r="F49" s="5">
        <v>93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2.89425</v>
      </c>
      <c r="F50" s="5">
        <v>90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180.05332999999999</v>
      </c>
      <c r="E51" s="5">
        <v>4.6127500000000001</v>
      </c>
      <c r="F51" s="5">
        <v>140</v>
      </c>
    </row>
    <row r="52" spans="1:6" x14ac:dyDescent="0.25">
      <c r="A52" s="5" t="s">
        <v>27</v>
      </c>
      <c r="B52" s="5">
        <v>50</v>
      </c>
      <c r="C52" s="5">
        <v>1</v>
      </c>
      <c r="D52" s="5">
        <v>180.05332999999999</v>
      </c>
      <c r="E52" s="5">
        <v>4.6062500000000002</v>
      </c>
      <c r="F52" s="5">
        <v>142</v>
      </c>
    </row>
    <row r="53" spans="1:6" x14ac:dyDescent="0.25">
      <c r="A53" s="5" t="s">
        <v>27</v>
      </c>
      <c r="B53" s="5">
        <v>50</v>
      </c>
      <c r="C53" s="5">
        <v>1</v>
      </c>
      <c r="D53" s="5">
        <v>181.40834000000001</v>
      </c>
      <c r="E53" s="5">
        <v>4.59999</v>
      </c>
      <c r="F53" s="5">
        <v>142</v>
      </c>
    </row>
    <row r="54" spans="1:6" x14ac:dyDescent="0.25">
      <c r="A54" s="5" t="s">
        <v>27</v>
      </c>
      <c r="B54" s="5">
        <v>50</v>
      </c>
      <c r="C54" s="5">
        <v>1</v>
      </c>
      <c r="D54" s="5">
        <v>182.34583000000001</v>
      </c>
      <c r="E54" s="5">
        <v>4.5939199999999998</v>
      </c>
      <c r="F54" s="5">
        <v>142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183.57</v>
      </c>
      <c r="E55" s="5">
        <v>4.6164899999999998</v>
      </c>
      <c r="F55" s="5">
        <v>141</v>
      </c>
    </row>
    <row r="56" spans="1:6" x14ac:dyDescent="0.25">
      <c r="A56" s="5" t="s">
        <v>27</v>
      </c>
      <c r="B56" s="5">
        <v>50</v>
      </c>
      <c r="C56" s="5">
        <v>1</v>
      </c>
      <c r="D56" s="5">
        <v>180.05332999999999</v>
      </c>
      <c r="E56" s="5">
        <v>4.6159699999999999</v>
      </c>
      <c r="F56" s="5">
        <v>141</v>
      </c>
    </row>
    <row r="57" spans="1:6" x14ac:dyDescent="0.25">
      <c r="A57" s="5" t="s">
        <v>27</v>
      </c>
      <c r="B57" s="5">
        <v>50</v>
      </c>
      <c r="C57" s="5">
        <v>1</v>
      </c>
      <c r="D57" s="5">
        <v>181.40834000000001</v>
      </c>
      <c r="E57" s="5">
        <v>4.6109</v>
      </c>
      <c r="F57" s="5">
        <v>141</v>
      </c>
    </row>
    <row r="58" spans="1:6" x14ac:dyDescent="0.25">
      <c r="A58" s="5" t="s">
        <v>27</v>
      </c>
      <c r="B58" s="5">
        <v>50</v>
      </c>
      <c r="C58" s="5">
        <v>1</v>
      </c>
      <c r="D58" s="5">
        <v>181.62333000000001</v>
      </c>
      <c r="E58" s="5">
        <v>4.6029600000000004</v>
      </c>
      <c r="F58" s="5">
        <v>140</v>
      </c>
    </row>
    <row r="59" spans="1:6" x14ac:dyDescent="0.25">
      <c r="A59" s="5" t="s">
        <v>27</v>
      </c>
      <c r="B59" s="5">
        <v>50</v>
      </c>
      <c r="C59" s="5">
        <v>1</v>
      </c>
      <c r="D59" s="5">
        <v>181.15</v>
      </c>
      <c r="E59" s="5">
        <v>4.6050300000000002</v>
      </c>
      <c r="F59" s="5">
        <v>139</v>
      </c>
    </row>
    <row r="60" spans="1:6" x14ac:dyDescent="0.25">
      <c r="A60" s="5" t="s">
        <v>27</v>
      </c>
      <c r="B60" s="5">
        <v>50</v>
      </c>
      <c r="C60" s="5">
        <v>1</v>
      </c>
      <c r="D60" s="5">
        <v>180.05332999999999</v>
      </c>
      <c r="E60" s="5">
        <v>4.5940399999999997</v>
      </c>
      <c r="F60" s="5">
        <v>141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5.5987799999999996</v>
      </c>
      <c r="F61" s="5">
        <v>49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5.6383999999999999</v>
      </c>
      <c r="F62" s="5">
        <v>49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5.6004500000000004</v>
      </c>
      <c r="F63" s="5">
        <v>49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5.6051700000000002</v>
      </c>
      <c r="F64" s="5">
        <v>49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5.6564199999999998</v>
      </c>
      <c r="F65" s="5">
        <v>49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5.6044</v>
      </c>
      <c r="F66" s="5">
        <v>49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5.5934900000000001</v>
      </c>
      <c r="F67" s="5">
        <v>49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5.6414</v>
      </c>
      <c r="F68" s="5">
        <v>49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5.6106400000000001</v>
      </c>
      <c r="F69" s="5">
        <v>49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5.60581</v>
      </c>
      <c r="F70" s="5">
        <v>49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255.82518999999999</v>
      </c>
      <c r="E71" s="5">
        <v>11.656940000000001</v>
      </c>
      <c r="F71" s="5">
        <v>95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258.90071</v>
      </c>
      <c r="E72" s="5">
        <v>11.697010000000001</v>
      </c>
      <c r="F72" s="5">
        <v>97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256.82071000000002</v>
      </c>
      <c r="E73" s="5">
        <v>11.709289999999999</v>
      </c>
      <c r="F73" s="5">
        <v>96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259.64337999999998</v>
      </c>
      <c r="E74" s="5">
        <v>11.70388</v>
      </c>
      <c r="F74" s="5">
        <v>95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255.96994000000001</v>
      </c>
      <c r="E75" s="5">
        <v>11.64846</v>
      </c>
      <c r="F75" s="5">
        <v>95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256.98696999999999</v>
      </c>
      <c r="E76" s="5">
        <v>11.681330000000001</v>
      </c>
      <c r="F76" s="5">
        <v>98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257.13519000000002</v>
      </c>
      <c r="E77" s="5">
        <v>11.724460000000001</v>
      </c>
      <c r="F77" s="5">
        <v>96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257.65129000000002</v>
      </c>
      <c r="E78" s="5">
        <v>11.73536</v>
      </c>
      <c r="F78" s="5">
        <v>97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258.32272</v>
      </c>
      <c r="E79" s="5">
        <v>11.68853</v>
      </c>
      <c r="F79" s="5">
        <v>97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259.33337999999998</v>
      </c>
      <c r="E80" s="5">
        <v>11.717370000000001</v>
      </c>
      <c r="F80" s="5">
        <v>97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239.88</v>
      </c>
      <c r="E81" s="5">
        <v>30.130980000000001</v>
      </c>
      <c r="F81" s="5">
        <v>239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240.68222</v>
      </c>
      <c r="E82" s="5">
        <v>30.214120000000001</v>
      </c>
      <c r="F82" s="5">
        <v>240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241.01085</v>
      </c>
      <c r="E83" s="5">
        <v>30.139150000000001</v>
      </c>
      <c r="F83" s="5">
        <v>239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239.70955000000001</v>
      </c>
      <c r="E84" s="5">
        <v>30.18168</v>
      </c>
      <c r="F84" s="5">
        <v>243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239.02663999999999</v>
      </c>
      <c r="E85" s="5">
        <v>30.148160000000001</v>
      </c>
      <c r="F85" s="5">
        <v>241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240.73333</v>
      </c>
      <c r="E86" s="5">
        <v>30.177289999999999</v>
      </c>
      <c r="F86" s="5">
        <v>241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240.82029</v>
      </c>
      <c r="E87" s="5">
        <v>30.129529999999999</v>
      </c>
      <c r="F87" s="5">
        <v>241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239.71</v>
      </c>
      <c r="E88" s="5">
        <v>30.138030000000001</v>
      </c>
      <c r="F88" s="5">
        <v>240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240.18257</v>
      </c>
      <c r="E89" s="5">
        <v>30.20937</v>
      </c>
      <c r="F89" s="5">
        <v>240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239.54667000000001</v>
      </c>
      <c r="E90" s="5">
        <v>30.214849999999998</v>
      </c>
      <c r="F90" s="5">
        <v>241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0.58613000000000004</v>
      </c>
      <c r="F91" s="5">
        <v>69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0.58318000000000003</v>
      </c>
      <c r="F92" s="5">
        <v>65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0.58603000000000005</v>
      </c>
      <c r="F93" s="5">
        <v>71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0.58277999999999996</v>
      </c>
      <c r="F94" s="5">
        <v>72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0.58379999999999999</v>
      </c>
      <c r="F95" s="5">
        <v>71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0.58123000000000002</v>
      </c>
      <c r="F96" s="5">
        <v>71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0.58579000000000003</v>
      </c>
      <c r="F97" s="5">
        <v>62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0.58113000000000004</v>
      </c>
      <c r="F98" s="5">
        <v>71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0.58411999999999997</v>
      </c>
      <c r="F99" s="5">
        <v>72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0.58555999999999997</v>
      </c>
      <c r="F100" s="5">
        <v>71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0.74048999999999998</v>
      </c>
      <c r="F101" s="5">
        <v>77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0.73921000000000003</v>
      </c>
      <c r="F102" s="5">
        <v>89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0.73546</v>
      </c>
      <c r="F103" s="5">
        <v>89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0.73411999999999999</v>
      </c>
      <c r="F104" s="5">
        <v>89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0.73829999999999996</v>
      </c>
      <c r="F105" s="5">
        <v>89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0.73497000000000001</v>
      </c>
      <c r="F106" s="5">
        <v>79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0.73862000000000005</v>
      </c>
      <c r="F107" s="5">
        <v>88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0.73423000000000005</v>
      </c>
      <c r="F108" s="5">
        <v>89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0.73914000000000002</v>
      </c>
      <c r="F109" s="5">
        <v>90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0.73541000000000001</v>
      </c>
      <c r="F110" s="5">
        <v>91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1.2759400000000001</v>
      </c>
      <c r="F111" s="5">
        <v>140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1.27765</v>
      </c>
      <c r="F112" s="5">
        <v>146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1.2742500000000001</v>
      </c>
      <c r="F113" s="5">
        <v>140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1.27762</v>
      </c>
      <c r="F114" s="5">
        <v>148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1.27969</v>
      </c>
      <c r="F115" s="5">
        <v>148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1.2761899999999999</v>
      </c>
      <c r="F116" s="5">
        <v>137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1.2804199999999999</v>
      </c>
      <c r="F117" s="5">
        <v>147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1.27559</v>
      </c>
      <c r="F118" s="5">
        <v>146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1.2765599999999999</v>
      </c>
      <c r="F119" s="5">
        <v>139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1.2778499999999999</v>
      </c>
      <c r="F120" s="5">
        <v>150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4348.0289499999999</v>
      </c>
      <c r="E121" s="5">
        <v>1.99482</v>
      </c>
      <c r="F121" s="5">
        <v>76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4348.0289499999999</v>
      </c>
      <c r="E122" s="5">
        <v>2.00204</v>
      </c>
      <c r="F122" s="5">
        <v>78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4348.0289499999999</v>
      </c>
      <c r="E123" s="5">
        <v>1.9915499999999999</v>
      </c>
      <c r="F123" s="5">
        <v>76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4348.0289499999999</v>
      </c>
      <c r="E124" s="5">
        <v>2.0002499999999999</v>
      </c>
      <c r="F124" s="5">
        <v>75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4348.0289499999999</v>
      </c>
      <c r="E125" s="5">
        <v>1.99221</v>
      </c>
      <c r="F125" s="5">
        <v>76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4348.0289499999999</v>
      </c>
      <c r="E126" s="5">
        <v>2.00888</v>
      </c>
      <c r="F126" s="5">
        <v>76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1.9971000000000001</v>
      </c>
      <c r="F127" s="5">
        <v>78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2.0018099999999999</v>
      </c>
      <c r="F128" s="5">
        <v>77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1.9930600000000001</v>
      </c>
      <c r="F129" s="5">
        <v>78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4348.0289499999999</v>
      </c>
      <c r="E130" s="5">
        <v>2.0018799999999999</v>
      </c>
      <c r="F130" s="5">
        <v>76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2.87907</v>
      </c>
      <c r="F131" s="5">
        <v>108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2.8693</v>
      </c>
      <c r="F132" s="5">
        <v>106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2.8783500000000002</v>
      </c>
      <c r="F133" s="5">
        <v>110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2.86633</v>
      </c>
      <c r="F134" s="5">
        <v>107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2.8748</v>
      </c>
      <c r="F135" s="5">
        <v>105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2.8789400000000001</v>
      </c>
      <c r="F136" s="5">
        <v>110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2.8768699999999998</v>
      </c>
      <c r="F137" s="5">
        <v>106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2.8721999999999999</v>
      </c>
      <c r="F138" s="5">
        <v>107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2.8659400000000002</v>
      </c>
      <c r="F139" s="5">
        <v>107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2.8687</v>
      </c>
      <c r="F140" s="5">
        <v>106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3.51356</v>
      </c>
      <c r="F141" s="5">
        <v>132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3.528</v>
      </c>
      <c r="F142" s="5">
        <v>132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3.5260199999999999</v>
      </c>
      <c r="F143" s="5">
        <v>132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3.5155500000000002</v>
      </c>
      <c r="F144" s="5">
        <v>131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3.5232299999999999</v>
      </c>
      <c r="F145" s="5">
        <v>133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3.5314199999999998</v>
      </c>
      <c r="F146" s="5">
        <v>131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3.5229499999999998</v>
      </c>
      <c r="F147" s="5">
        <v>131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3.5270999999999999</v>
      </c>
      <c r="F148" s="5">
        <v>135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3.5137299999999998</v>
      </c>
      <c r="F149" s="5">
        <v>132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3.5225</v>
      </c>
      <c r="F150" s="5">
        <v>132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42986.403050000001</v>
      </c>
      <c r="E151" s="5">
        <v>4.94984</v>
      </c>
      <c r="F151" s="5">
        <v>45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42986.403050000001</v>
      </c>
      <c r="E152" s="5">
        <v>4.9259199999999996</v>
      </c>
      <c r="F152" s="5">
        <v>45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42986.57692</v>
      </c>
      <c r="E153" s="5">
        <v>4.9460600000000001</v>
      </c>
      <c r="F153" s="5">
        <v>45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42986.403050000001</v>
      </c>
      <c r="E154" s="5">
        <v>4.8878899999999996</v>
      </c>
      <c r="F154" s="5">
        <v>44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42986.345820000002</v>
      </c>
      <c r="E155" s="5">
        <v>4.9268999999999998</v>
      </c>
      <c r="F155" s="5">
        <v>45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42986.797890000002</v>
      </c>
      <c r="E156" s="5">
        <v>4.8990200000000002</v>
      </c>
      <c r="F156" s="5">
        <v>45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42986.673049999998</v>
      </c>
      <c r="E157" s="5">
        <v>4.9365399999999999</v>
      </c>
      <c r="F157" s="5">
        <v>45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42986.403050000001</v>
      </c>
      <c r="E158" s="5">
        <v>4.9221899999999996</v>
      </c>
      <c r="F158" s="5">
        <v>45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42986.836920000002</v>
      </c>
      <c r="E159" s="5">
        <v>4.9279900000000003</v>
      </c>
      <c r="F159" s="5">
        <v>44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42986.673049999998</v>
      </c>
      <c r="E160" s="5">
        <v>4.9805000000000001</v>
      </c>
      <c r="F160" s="5">
        <v>45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35715.804600000003</v>
      </c>
      <c r="E161" s="5">
        <v>12.812480000000001</v>
      </c>
      <c r="F161" s="5">
        <v>108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35631.807520000002</v>
      </c>
      <c r="E162" s="5">
        <v>12.777100000000001</v>
      </c>
      <c r="F162" s="5">
        <v>108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35784.755770000003</v>
      </c>
      <c r="E163" s="5">
        <v>12.71349</v>
      </c>
      <c r="F163" s="5">
        <v>107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35668.804750000003</v>
      </c>
      <c r="E164" s="5">
        <v>12.75531</v>
      </c>
      <c r="F164" s="5">
        <v>107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35680.957779999997</v>
      </c>
      <c r="E165" s="5">
        <v>12.74615</v>
      </c>
      <c r="F165" s="5">
        <v>107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35540.3246</v>
      </c>
      <c r="E166" s="5">
        <v>12.75042</v>
      </c>
      <c r="F166" s="5">
        <v>107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35655.330829999999</v>
      </c>
      <c r="E167" s="5">
        <v>12.73335</v>
      </c>
      <c r="F167" s="5">
        <v>107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35600.626459999999</v>
      </c>
      <c r="E168" s="5">
        <v>12.798590000000001</v>
      </c>
      <c r="F168" s="5">
        <v>107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35682.175080000001</v>
      </c>
      <c r="E169" s="5">
        <v>12.737679999999999</v>
      </c>
      <c r="F169" s="5">
        <v>107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35654.073689999997</v>
      </c>
      <c r="E170" s="5">
        <v>12.736140000000001</v>
      </c>
      <c r="F170" s="5">
        <v>107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35272.716670000002</v>
      </c>
      <c r="E171" s="5">
        <v>28.566490000000002</v>
      </c>
      <c r="F171" s="5">
        <v>258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35223.636330000001</v>
      </c>
      <c r="E172" s="5">
        <v>28.568090000000002</v>
      </c>
      <c r="F172" s="5">
        <v>254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35284.835249999996</v>
      </c>
      <c r="E173" s="5">
        <v>28.55959</v>
      </c>
      <c r="F173" s="5">
        <v>258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35278.221539999999</v>
      </c>
      <c r="E174" s="5">
        <v>28.49314</v>
      </c>
      <c r="F174" s="5">
        <v>253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35344.896289999997</v>
      </c>
      <c r="E175" s="5">
        <v>28.586510000000001</v>
      </c>
      <c r="F175" s="5">
        <v>244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35320.899669999999</v>
      </c>
      <c r="E176" s="5">
        <v>28.559609999999999</v>
      </c>
      <c r="F176" s="5">
        <v>243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35241.784480000002</v>
      </c>
      <c r="E177" s="5">
        <v>28.48441</v>
      </c>
      <c r="F177" s="5">
        <v>250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35207.4</v>
      </c>
      <c r="E178" s="5">
        <v>28.542480000000001</v>
      </c>
      <c r="F178" s="5">
        <v>254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35238.142979999997</v>
      </c>
      <c r="E179" s="5">
        <v>28.493749999999999</v>
      </c>
      <c r="F179" s="5">
        <v>254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35311.980300000003</v>
      </c>
      <c r="E180" s="5">
        <v>28.51521</v>
      </c>
      <c r="F180" s="5">
        <v>252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0.73443999999999998</v>
      </c>
      <c r="F181" s="5">
        <v>58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0.73728000000000005</v>
      </c>
      <c r="F182" s="5">
        <v>61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0.73972000000000004</v>
      </c>
      <c r="F183" s="5">
        <v>61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0.73821999999999999</v>
      </c>
      <c r="F184" s="5">
        <v>58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0.73287999999999998</v>
      </c>
      <c r="F185" s="5">
        <v>60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0.73438999999999999</v>
      </c>
      <c r="F186" s="5">
        <v>53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0.73316999999999999</v>
      </c>
      <c r="F187" s="5">
        <v>60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0.73392000000000002</v>
      </c>
      <c r="F188" s="5">
        <v>60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0.73245000000000005</v>
      </c>
      <c r="F189" s="5">
        <v>60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0.73580999999999996</v>
      </c>
      <c r="F190" s="5">
        <v>55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675.36989000000005</v>
      </c>
      <c r="E191" s="5">
        <v>1.1426000000000001</v>
      </c>
      <c r="F191" s="5">
        <v>93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675.36989000000005</v>
      </c>
      <c r="E192" s="5">
        <v>1.1384399999999999</v>
      </c>
      <c r="F192" s="5">
        <v>96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675.36989000000005</v>
      </c>
      <c r="E193" s="5">
        <v>1.13991</v>
      </c>
      <c r="F193" s="5">
        <v>89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675.36989000000005</v>
      </c>
      <c r="E194" s="5">
        <v>1.1358999999999999</v>
      </c>
      <c r="F194" s="5">
        <v>95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675.36989000000005</v>
      </c>
      <c r="E195" s="5">
        <v>1.1390199999999999</v>
      </c>
      <c r="F195" s="5">
        <v>97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675.36989000000005</v>
      </c>
      <c r="E196" s="5">
        <v>1.14008</v>
      </c>
      <c r="F196" s="5">
        <v>95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675.36989000000005</v>
      </c>
      <c r="E197" s="5">
        <v>1.13944</v>
      </c>
      <c r="F197" s="5">
        <v>91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675.36581000000001</v>
      </c>
      <c r="E198" s="5">
        <v>1.14249</v>
      </c>
      <c r="F198" s="5">
        <v>98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675.36989000000005</v>
      </c>
      <c r="E199" s="5">
        <v>1.1434500000000001</v>
      </c>
      <c r="F199" s="5">
        <v>96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675.36989000000005</v>
      </c>
      <c r="E200" s="5">
        <v>1.1420999999999999</v>
      </c>
      <c r="F200" s="5">
        <v>88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655.43295999999998</v>
      </c>
      <c r="E201" s="5">
        <v>2.0684</v>
      </c>
      <c r="F201" s="5">
        <v>167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655.43295999999998</v>
      </c>
      <c r="E202" s="5">
        <v>2.0739200000000002</v>
      </c>
      <c r="F202" s="5">
        <v>162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659.84542999999996</v>
      </c>
      <c r="E203" s="5">
        <v>2.0702199999999999</v>
      </c>
      <c r="F203" s="5">
        <v>169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655.43295999999998</v>
      </c>
      <c r="E204" s="5">
        <v>2.0723699999999998</v>
      </c>
      <c r="F204" s="5">
        <v>160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657.95457999999996</v>
      </c>
      <c r="E205" s="5">
        <v>2.0725500000000001</v>
      </c>
      <c r="F205" s="5">
        <v>169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657.95457999999996</v>
      </c>
      <c r="E206" s="5">
        <v>2.07056</v>
      </c>
      <c r="F206" s="5">
        <v>162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655.43295999999998</v>
      </c>
      <c r="E207" s="5">
        <v>2.0685899999999999</v>
      </c>
      <c r="F207" s="5">
        <v>168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657.95457999999996</v>
      </c>
      <c r="E208" s="5">
        <v>2.0665100000000001</v>
      </c>
      <c r="F208" s="5">
        <v>163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655.43295999999998</v>
      </c>
      <c r="E209" s="5">
        <v>2.0712199999999998</v>
      </c>
      <c r="F209" s="5">
        <v>171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655.43295999999998</v>
      </c>
      <c r="E210" s="5">
        <v>2.0676999999999999</v>
      </c>
      <c r="F210" s="5">
        <v>162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1459.9687899999999</v>
      </c>
      <c r="E211" s="5">
        <v>1.59674</v>
      </c>
      <c r="F211" s="5">
        <v>56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1459.9687899999999</v>
      </c>
      <c r="E212" s="5">
        <v>1.5877600000000001</v>
      </c>
      <c r="F212" s="5">
        <v>58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1459.9687899999999</v>
      </c>
      <c r="E213" s="5">
        <v>1.59388</v>
      </c>
      <c r="F213" s="5">
        <v>56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1459.9687899999999</v>
      </c>
      <c r="E214" s="5">
        <v>1.58883</v>
      </c>
      <c r="F214" s="5">
        <v>58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1459.9687899999999</v>
      </c>
      <c r="E215" s="5">
        <v>1.6036300000000001</v>
      </c>
      <c r="F215" s="5">
        <v>57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1459.9687899999999</v>
      </c>
      <c r="E216" s="5">
        <v>1.60944</v>
      </c>
      <c r="F216" s="5">
        <v>58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1459.9687899999999</v>
      </c>
      <c r="E217" s="5">
        <v>1.60385</v>
      </c>
      <c r="F217" s="5">
        <v>59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1459.9687899999999</v>
      </c>
      <c r="E218" s="5">
        <v>1.59674</v>
      </c>
      <c r="F218" s="5">
        <v>56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1459.9687899999999</v>
      </c>
      <c r="E219" s="5">
        <v>1.58965</v>
      </c>
      <c r="F219" s="5">
        <v>59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1460.0209400000001</v>
      </c>
      <c r="E220" s="5">
        <v>1.5952500000000001</v>
      </c>
      <c r="F220" s="5">
        <v>59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1010.23572</v>
      </c>
      <c r="E221" s="5">
        <v>4.55037</v>
      </c>
      <c r="F221" s="5">
        <v>163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1019.60473</v>
      </c>
      <c r="E222" s="5">
        <v>4.5509199999999996</v>
      </c>
      <c r="F222" s="5">
        <v>158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1014.12845</v>
      </c>
      <c r="E223" s="5">
        <v>4.5519400000000001</v>
      </c>
      <c r="F223" s="5">
        <v>164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1010.04126</v>
      </c>
      <c r="E224" s="5">
        <v>4.5541700000000001</v>
      </c>
      <c r="F224" s="5">
        <v>163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1015.84737</v>
      </c>
      <c r="E225" s="5">
        <v>4.54657</v>
      </c>
      <c r="F225" s="5">
        <v>164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1015.95348</v>
      </c>
      <c r="E226" s="5">
        <v>4.54908</v>
      </c>
      <c r="F226" s="5">
        <v>164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1010.48679</v>
      </c>
      <c r="E227" s="5">
        <v>4.5456799999999999</v>
      </c>
      <c r="F227" s="5">
        <v>163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1012.89572</v>
      </c>
      <c r="E228" s="5">
        <v>4.5515999999999996</v>
      </c>
      <c r="F228" s="5">
        <v>162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1015.34628</v>
      </c>
      <c r="E229" s="5">
        <v>4.5576299999999996</v>
      </c>
      <c r="F229" s="5">
        <v>159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1011.67791</v>
      </c>
      <c r="E230" s="5">
        <v>4.5493399999999999</v>
      </c>
      <c r="F230" s="5">
        <v>158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994.40593000000001</v>
      </c>
      <c r="E231" s="5">
        <v>8.4011999999999993</v>
      </c>
      <c r="F231" s="5">
        <v>294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995.64332999999999</v>
      </c>
      <c r="E232" s="5">
        <v>8.3947699999999994</v>
      </c>
      <c r="F232" s="5">
        <v>300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996.28423999999995</v>
      </c>
      <c r="E233" s="5">
        <v>8.3945900000000009</v>
      </c>
      <c r="F233" s="5">
        <v>296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998.04965000000004</v>
      </c>
      <c r="E234" s="5">
        <v>8.3978800000000007</v>
      </c>
      <c r="F234" s="5">
        <v>299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993.06426999999996</v>
      </c>
      <c r="E235" s="5">
        <v>8.3946000000000005</v>
      </c>
      <c r="F235" s="5">
        <v>296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997.72071000000005</v>
      </c>
      <c r="E236" s="5">
        <v>8.3986999999999998</v>
      </c>
      <c r="F236" s="5">
        <v>295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1001.28333</v>
      </c>
      <c r="E237" s="5">
        <v>8.4058499999999992</v>
      </c>
      <c r="F237" s="5">
        <v>293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998.43808999999999</v>
      </c>
      <c r="E238" s="5">
        <v>8.4010899999999999</v>
      </c>
      <c r="F238" s="5">
        <v>292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996.50724000000002</v>
      </c>
      <c r="E239" s="5">
        <v>8.4001800000000006</v>
      </c>
      <c r="F239" s="5">
        <v>292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994.12287000000003</v>
      </c>
      <c r="E240" s="5">
        <v>8.3989499999999992</v>
      </c>
      <c r="F240" s="5">
        <v>290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1821.16776</v>
      </c>
      <c r="E241" s="5">
        <v>5.0390199999999998</v>
      </c>
      <c r="F241" s="5">
        <v>50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1833.0111400000001</v>
      </c>
      <c r="E242" s="5">
        <v>5.0541299999999998</v>
      </c>
      <c r="F242" s="5">
        <v>51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1842.0982300000001</v>
      </c>
      <c r="E243" s="5">
        <v>5.0783100000000001</v>
      </c>
      <c r="F243" s="5">
        <v>51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1806.2641699999999</v>
      </c>
      <c r="E244" s="5">
        <v>5.0474100000000002</v>
      </c>
      <c r="F244" s="5">
        <v>52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1816.84502</v>
      </c>
      <c r="E245" s="5">
        <v>5.0814199999999996</v>
      </c>
      <c r="F245" s="5">
        <v>51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1841.00352</v>
      </c>
      <c r="E246" s="5">
        <v>5.1169099999999998</v>
      </c>
      <c r="F246" s="5">
        <v>52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1821.2801099999999</v>
      </c>
      <c r="E247" s="5">
        <v>5.0586099999999998</v>
      </c>
      <c r="F247" s="5">
        <v>51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1865.8075799999999</v>
      </c>
      <c r="E248" s="5">
        <v>5.0445900000000004</v>
      </c>
      <c r="F248" s="5">
        <v>51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1804.0914</v>
      </c>
      <c r="E249" s="5">
        <v>5.1143299999999998</v>
      </c>
      <c r="F249" s="5">
        <v>52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1836.9483399999999</v>
      </c>
      <c r="E250" s="5">
        <v>5.1184799999999999</v>
      </c>
      <c r="F250" s="5">
        <v>51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1779.59791</v>
      </c>
      <c r="E251" s="5">
        <v>9.3723500000000008</v>
      </c>
      <c r="F251" s="5">
        <v>91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1782.78</v>
      </c>
      <c r="E252" s="5">
        <v>9.4000500000000002</v>
      </c>
      <c r="F252" s="5">
        <v>91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1779.34907</v>
      </c>
      <c r="E253" s="5">
        <v>9.3745600000000007</v>
      </c>
      <c r="F253" s="5">
        <v>91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1779.4351999999999</v>
      </c>
      <c r="E254" s="5">
        <v>9.3953100000000003</v>
      </c>
      <c r="F254" s="5">
        <v>91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1786.2534599999999</v>
      </c>
      <c r="E255" s="5">
        <v>9.4317100000000007</v>
      </c>
      <c r="F255" s="5">
        <v>92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1780.6433300000001</v>
      </c>
      <c r="E256" s="5">
        <v>9.43614</v>
      </c>
      <c r="F256" s="5">
        <v>90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1770.5655400000001</v>
      </c>
      <c r="E257" s="5">
        <v>9.4388799999999993</v>
      </c>
      <c r="F257" s="5">
        <v>92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1789.3141700000001</v>
      </c>
      <c r="E258" s="5">
        <v>9.4580599999999997</v>
      </c>
      <c r="F258" s="5">
        <v>92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1773.8486600000001</v>
      </c>
      <c r="E259" s="5">
        <v>9.3984900000000007</v>
      </c>
      <c r="F259" s="5">
        <v>92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1787.52667</v>
      </c>
      <c r="E260" s="5">
        <v>9.4053900000000006</v>
      </c>
      <c r="F260" s="5">
        <v>90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1757.1933300000001</v>
      </c>
      <c r="E261" s="5">
        <v>15.361499999999999</v>
      </c>
      <c r="F261" s="5">
        <v>148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1756.9791600000001</v>
      </c>
      <c r="E262" s="5">
        <v>15.36922</v>
      </c>
      <c r="F262" s="5">
        <v>149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1757.6585299999999</v>
      </c>
      <c r="E263" s="5">
        <v>15.338240000000001</v>
      </c>
      <c r="F263" s="5">
        <v>148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1756.0139200000001</v>
      </c>
      <c r="E264" s="5">
        <v>15.338699999999999</v>
      </c>
      <c r="F264" s="5">
        <v>148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1757.2750100000001</v>
      </c>
      <c r="E265" s="5">
        <v>15.438129999999999</v>
      </c>
      <c r="F265" s="5">
        <v>147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1757.6533300000001</v>
      </c>
      <c r="E266" s="5">
        <v>15.38968</v>
      </c>
      <c r="F266" s="5">
        <v>149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1756.17</v>
      </c>
      <c r="E267" s="5">
        <v>15.40268</v>
      </c>
      <c r="F267" s="5">
        <v>149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1757.86</v>
      </c>
      <c r="E268" s="5">
        <v>15.421580000000001</v>
      </c>
      <c r="F268" s="5">
        <v>147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1758.6133299999999</v>
      </c>
      <c r="E269" s="5">
        <v>15.38531</v>
      </c>
      <c r="F269" s="5">
        <v>148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1754.6466700000001</v>
      </c>
      <c r="E270" s="5">
        <v>15.37336</v>
      </c>
      <c r="F270" s="5">
        <v>145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42.424349999999997</v>
      </c>
      <c r="E271" s="5">
        <v>0.58620000000000005</v>
      </c>
      <c r="F271" s="5">
        <v>56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42.424349999999997</v>
      </c>
      <c r="E272" s="5">
        <v>0.59235000000000004</v>
      </c>
      <c r="F272" s="5">
        <v>54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42.424349999999997</v>
      </c>
      <c r="E273" s="5">
        <v>0.59865000000000002</v>
      </c>
      <c r="F273" s="5">
        <v>50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42.424349999999997</v>
      </c>
      <c r="E274" s="5">
        <v>0.58665</v>
      </c>
      <c r="F274" s="5">
        <v>56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41.318849999999998</v>
      </c>
      <c r="E275" s="5">
        <v>0.58716999999999997</v>
      </c>
      <c r="F275" s="5">
        <v>57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41.318849999999998</v>
      </c>
      <c r="E276" s="5">
        <v>0.58835999999999999</v>
      </c>
      <c r="F276" s="5">
        <v>55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42.424349999999997</v>
      </c>
      <c r="E277" s="5">
        <v>0.59070999999999996</v>
      </c>
      <c r="F277" s="5">
        <v>57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41.318849999999998</v>
      </c>
      <c r="E278" s="5">
        <v>0.58831999999999995</v>
      </c>
      <c r="F278" s="5">
        <v>57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42.424349999999997</v>
      </c>
      <c r="E279" s="5">
        <v>0.59008000000000005</v>
      </c>
      <c r="F279" s="5">
        <v>57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42.173929999999999</v>
      </c>
      <c r="E280" s="5">
        <v>0.59196000000000004</v>
      </c>
      <c r="F280" s="5">
        <v>48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0.87483</v>
      </c>
      <c r="F281" s="5">
        <v>79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0.88046000000000002</v>
      </c>
      <c r="F282" s="5">
        <v>89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28.65436</v>
      </c>
      <c r="E283" s="5">
        <v>0.87822999999999996</v>
      </c>
      <c r="F283" s="5">
        <v>91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0.87516000000000005</v>
      </c>
      <c r="F284" s="5">
        <v>93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0.88112000000000001</v>
      </c>
      <c r="F285" s="5">
        <v>87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28.65436</v>
      </c>
      <c r="E286" s="5">
        <v>0.88012999999999997</v>
      </c>
      <c r="F286" s="5">
        <v>89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28.65436</v>
      </c>
      <c r="E287" s="5">
        <v>0.87624000000000002</v>
      </c>
      <c r="F287" s="5">
        <v>93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0.88029999999999997</v>
      </c>
      <c r="F288" s="5">
        <v>94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28.65436</v>
      </c>
      <c r="E289" s="5">
        <v>0.87456999999999996</v>
      </c>
      <c r="F289" s="5">
        <v>92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28.65624</v>
      </c>
      <c r="E290" s="5">
        <v>0.87773999999999996</v>
      </c>
      <c r="F290" s="5">
        <v>87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28.587009999999999</v>
      </c>
      <c r="E291" s="5">
        <v>1.1390499999999999</v>
      </c>
      <c r="F291" s="5">
        <v>102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28.592030000000001</v>
      </c>
      <c r="E292" s="5">
        <v>1.1342099999999999</v>
      </c>
      <c r="F292" s="5">
        <v>108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28.592030000000001</v>
      </c>
      <c r="E293" s="5">
        <v>1.1374299999999999</v>
      </c>
      <c r="F293" s="5">
        <v>113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28.602029999999999</v>
      </c>
      <c r="E294" s="5">
        <v>1.13212</v>
      </c>
      <c r="F294" s="5">
        <v>103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28.592030000000001</v>
      </c>
      <c r="E295" s="5">
        <v>1.13212</v>
      </c>
      <c r="F295" s="5">
        <v>113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28.504100000000001</v>
      </c>
      <c r="E296" s="5">
        <v>1.1382699999999999</v>
      </c>
      <c r="F296" s="5">
        <v>114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28.60624</v>
      </c>
      <c r="E297" s="5">
        <v>1.1377200000000001</v>
      </c>
      <c r="F297" s="5">
        <v>114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28.546240000000001</v>
      </c>
      <c r="E298" s="5">
        <v>1.13324</v>
      </c>
      <c r="F298" s="5">
        <v>103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28.592030000000001</v>
      </c>
      <c r="E299" s="5">
        <v>1.1326000000000001</v>
      </c>
      <c r="F299" s="5">
        <v>113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28.592030000000001</v>
      </c>
      <c r="E300" s="5">
        <v>1.1372800000000001</v>
      </c>
      <c r="F300" s="5">
        <v>114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58.857329999999997</v>
      </c>
      <c r="E301" s="5">
        <v>1.92408</v>
      </c>
      <c r="F301" s="5">
        <v>64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57.455959999999997</v>
      </c>
      <c r="E302" s="5">
        <v>1.93055</v>
      </c>
      <c r="F302" s="5">
        <v>68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56.901339999999998</v>
      </c>
      <c r="E303" s="5">
        <v>1.96204</v>
      </c>
      <c r="F303" s="5">
        <v>68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59.12285</v>
      </c>
      <c r="E304" s="5">
        <v>1.9447700000000001</v>
      </c>
      <c r="F304" s="5">
        <v>69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56.539569999999998</v>
      </c>
      <c r="E305" s="5">
        <v>1.9396</v>
      </c>
      <c r="F305" s="5">
        <v>69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56.78134</v>
      </c>
      <c r="E306" s="5">
        <v>1.9421600000000001</v>
      </c>
      <c r="F306" s="5">
        <v>68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57.093910000000001</v>
      </c>
      <c r="E307" s="5">
        <v>1.9379900000000001</v>
      </c>
      <c r="F307" s="5">
        <v>68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59.09102</v>
      </c>
      <c r="E308" s="5">
        <v>1.9406399999999999</v>
      </c>
      <c r="F308" s="5">
        <v>67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56.901339999999998</v>
      </c>
      <c r="E309" s="5">
        <v>1.9349799999999999</v>
      </c>
      <c r="F309" s="5">
        <v>69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56.901339999999998</v>
      </c>
      <c r="E310" s="5">
        <v>1.9250700000000001</v>
      </c>
      <c r="F310" s="5">
        <v>65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53.642659999999999</v>
      </c>
      <c r="E311" s="5">
        <v>3.7543299999999999</v>
      </c>
      <c r="F311" s="5">
        <v>127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53.496079999999999</v>
      </c>
      <c r="E312" s="5">
        <v>3.75088</v>
      </c>
      <c r="F312" s="5">
        <v>129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53.644979999999997</v>
      </c>
      <c r="E313" s="5">
        <v>3.7656399999999999</v>
      </c>
      <c r="F313" s="5">
        <v>130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53.712299999999999</v>
      </c>
      <c r="E314" s="5">
        <v>3.7806700000000002</v>
      </c>
      <c r="F314" s="5">
        <v>128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53.472749999999998</v>
      </c>
      <c r="E315" s="5">
        <v>3.7517200000000002</v>
      </c>
      <c r="F315" s="5">
        <v>133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53.7956</v>
      </c>
      <c r="E316" s="5">
        <v>3.7557800000000001</v>
      </c>
      <c r="F316" s="5">
        <v>128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53.495600000000003</v>
      </c>
      <c r="E317" s="5">
        <v>3.7677800000000001</v>
      </c>
      <c r="F317" s="5">
        <v>130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53.575069999999997</v>
      </c>
      <c r="E318" s="5">
        <v>3.7534999999999998</v>
      </c>
      <c r="F318" s="5">
        <v>129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53.692659999999997</v>
      </c>
      <c r="E319" s="5">
        <v>3.7679900000000002</v>
      </c>
      <c r="F319" s="5">
        <v>127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53.595739999999999</v>
      </c>
      <c r="E320" s="5">
        <v>3.7594099999999999</v>
      </c>
      <c r="F320" s="5">
        <v>129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53.387569999999997</v>
      </c>
      <c r="E321" s="5">
        <v>6.0965100000000003</v>
      </c>
      <c r="F321" s="5">
        <v>200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53.262410000000003</v>
      </c>
      <c r="E322" s="5">
        <v>6.0779500000000004</v>
      </c>
      <c r="F322" s="5">
        <v>195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53.107489999999999</v>
      </c>
      <c r="E323" s="5">
        <v>6.07822</v>
      </c>
      <c r="F323" s="5">
        <v>200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53.187489999999997</v>
      </c>
      <c r="E324" s="5">
        <v>6.0795899999999996</v>
      </c>
      <c r="F324" s="5">
        <v>198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53.13241</v>
      </c>
      <c r="E325" s="5">
        <v>6.0854200000000001</v>
      </c>
      <c r="F325" s="5">
        <v>202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53.127569999999999</v>
      </c>
      <c r="E326" s="5">
        <v>6.0927499999999997</v>
      </c>
      <c r="F326" s="5">
        <v>200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53.155070000000002</v>
      </c>
      <c r="E327" s="5">
        <v>6.0776700000000003</v>
      </c>
      <c r="F327" s="5">
        <v>200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53.279530000000001</v>
      </c>
      <c r="E328" s="5">
        <v>6.0867699999999996</v>
      </c>
      <c r="F328" s="5">
        <v>197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53.325519999999997</v>
      </c>
      <c r="E329" s="5">
        <v>6.0884999999999998</v>
      </c>
      <c r="F329" s="5">
        <v>196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53.317570000000003</v>
      </c>
      <c r="E330" s="5">
        <v>6.0926299999999998</v>
      </c>
      <c r="F330" s="5">
        <v>198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148.18153000000001</v>
      </c>
      <c r="E331" s="5">
        <v>7.1078400000000004</v>
      </c>
      <c r="F331" s="5">
        <v>70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148.21464</v>
      </c>
      <c r="E332" s="5">
        <v>7.0750500000000001</v>
      </c>
      <c r="F332" s="5">
        <v>70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148.21312</v>
      </c>
      <c r="E333" s="5">
        <v>7.0748100000000003</v>
      </c>
      <c r="F333" s="5">
        <v>69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148.31746999999999</v>
      </c>
      <c r="E334" s="5">
        <v>7.0432399999999999</v>
      </c>
      <c r="F334" s="5">
        <v>69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148.31782999999999</v>
      </c>
      <c r="E335" s="5">
        <v>7.0766</v>
      </c>
      <c r="F335" s="5">
        <v>68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148.17949999999999</v>
      </c>
      <c r="E336" s="5">
        <v>7.11477</v>
      </c>
      <c r="F336" s="5">
        <v>70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148.23079999999999</v>
      </c>
      <c r="E337" s="5">
        <v>7.1114699999999997</v>
      </c>
      <c r="F337" s="5">
        <v>69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148.32401999999999</v>
      </c>
      <c r="E338" s="5">
        <v>7.0360899999999997</v>
      </c>
      <c r="F338" s="5">
        <v>69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148.29496</v>
      </c>
      <c r="E339" s="5">
        <v>7.0902500000000002</v>
      </c>
      <c r="F339" s="5">
        <v>69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148.17617000000001</v>
      </c>
      <c r="E340" s="5">
        <v>7.0728799999999996</v>
      </c>
      <c r="F340" s="5">
        <v>70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107.96080000000001</v>
      </c>
      <c r="E341" s="5">
        <v>16.86439</v>
      </c>
      <c r="F341" s="5">
        <v>158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107.68253</v>
      </c>
      <c r="E342" s="5">
        <v>16.866240000000001</v>
      </c>
      <c r="F342" s="5">
        <v>158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108.19586</v>
      </c>
      <c r="E343" s="5">
        <v>16.872240000000001</v>
      </c>
      <c r="F343" s="5">
        <v>157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107.96747000000001</v>
      </c>
      <c r="E344" s="5">
        <v>16.798729999999999</v>
      </c>
      <c r="F344" s="5">
        <v>157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108.24419</v>
      </c>
      <c r="E345" s="5">
        <v>16.825330000000001</v>
      </c>
      <c r="F345" s="5">
        <v>156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107.93071</v>
      </c>
      <c r="E346" s="5">
        <v>16.81203</v>
      </c>
      <c r="F346" s="5">
        <v>158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107.84747</v>
      </c>
      <c r="E347" s="5">
        <v>16.868449999999999</v>
      </c>
      <c r="F347" s="5">
        <v>159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107.69419000000001</v>
      </c>
      <c r="E348" s="5">
        <v>16.882370000000002</v>
      </c>
      <c r="F348" s="5">
        <v>157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108.03033000000001</v>
      </c>
      <c r="E349" s="5">
        <v>16.86233</v>
      </c>
      <c r="F349" s="5">
        <v>158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108.2701</v>
      </c>
      <c r="E350" s="5">
        <v>16.901789999999998</v>
      </c>
      <c r="F350" s="5">
        <v>157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103.79163</v>
      </c>
      <c r="E351" s="5">
        <v>29.403600000000001</v>
      </c>
      <c r="F351" s="5">
        <v>266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103.77329</v>
      </c>
      <c r="E352" s="5">
        <v>29.400659999999998</v>
      </c>
      <c r="F352" s="5">
        <v>268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103.89579999999999</v>
      </c>
      <c r="E353" s="5">
        <v>29.361830000000001</v>
      </c>
      <c r="F353" s="5">
        <v>261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104.10413</v>
      </c>
      <c r="E354" s="5">
        <v>29.410360000000001</v>
      </c>
      <c r="F354" s="5">
        <v>261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103.81674</v>
      </c>
      <c r="E355" s="5">
        <v>29.420670000000001</v>
      </c>
      <c r="F355" s="5">
        <v>263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103.98829000000001</v>
      </c>
      <c r="E356" s="5">
        <v>29.385190000000001</v>
      </c>
      <c r="F356" s="5">
        <v>264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103.37412999999999</v>
      </c>
      <c r="E357" s="5">
        <v>29.336690000000001</v>
      </c>
      <c r="F357" s="5">
        <v>265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104.06247</v>
      </c>
      <c r="E358" s="5">
        <v>29.418800000000001</v>
      </c>
      <c r="F358" s="5">
        <v>262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103.73996</v>
      </c>
      <c r="E359" s="5">
        <v>29.423819999999999</v>
      </c>
      <c r="F359" s="5">
        <v>264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103.91329</v>
      </c>
      <c r="E360" s="5">
        <v>29.356179999999998</v>
      </c>
      <c r="F360" s="5">
        <v>263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0.54827999999999999</v>
      </c>
      <c r="F361" s="5">
        <v>47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0.54354000000000002</v>
      </c>
      <c r="F362" s="5">
        <v>42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0.54301999999999995</v>
      </c>
      <c r="F363" s="5">
        <v>48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0.54651000000000005</v>
      </c>
      <c r="F364" s="5">
        <v>48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0.54922000000000004</v>
      </c>
      <c r="F365" s="5">
        <v>49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0.54278000000000004</v>
      </c>
      <c r="F366" s="5">
        <v>41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0.54783999999999999</v>
      </c>
      <c r="F367" s="5">
        <v>49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0.54737999999999998</v>
      </c>
      <c r="F368" s="5">
        <v>49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0.55025000000000002</v>
      </c>
      <c r="F369" s="5">
        <v>49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0.54845999999999995</v>
      </c>
      <c r="F370" s="5">
        <v>49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0.87517999999999996</v>
      </c>
      <c r="F371" s="5">
        <v>74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0.87804000000000004</v>
      </c>
      <c r="F372" s="5">
        <v>70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0.87890999999999997</v>
      </c>
      <c r="F373" s="5">
        <v>78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0.87833000000000006</v>
      </c>
      <c r="F374" s="5">
        <v>79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0.87319000000000002</v>
      </c>
      <c r="F375" s="5">
        <v>77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0.87294000000000005</v>
      </c>
      <c r="F376" s="5">
        <v>78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0.87143999999999999</v>
      </c>
      <c r="F377" s="5">
        <v>70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0.87611000000000006</v>
      </c>
      <c r="F378" s="5">
        <v>78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0.87111000000000005</v>
      </c>
      <c r="F379" s="5">
        <v>79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0.87827999999999995</v>
      </c>
      <c r="F380" s="5">
        <v>78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1.1535299999999999</v>
      </c>
      <c r="F381" s="5">
        <v>97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1.1550400000000001</v>
      </c>
      <c r="F382" s="5">
        <v>99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1.1556999999999999</v>
      </c>
      <c r="F383" s="5">
        <v>101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1.15367</v>
      </c>
      <c r="F384" s="5">
        <v>103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1.1500300000000001</v>
      </c>
      <c r="F385" s="5">
        <v>103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1.1521699999999999</v>
      </c>
      <c r="F386" s="5">
        <v>94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1.14907</v>
      </c>
      <c r="F387" s="5">
        <v>100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1.15723</v>
      </c>
      <c r="F388" s="5">
        <v>99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1.1567099999999999</v>
      </c>
      <c r="F389" s="5">
        <v>103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1.1537900000000001</v>
      </c>
      <c r="F390" s="5">
        <v>96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1.10819</v>
      </c>
      <c r="F391" s="5">
        <v>30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1.11964</v>
      </c>
      <c r="F392" s="5">
        <v>31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1.1334200000000001</v>
      </c>
      <c r="F393" s="5">
        <v>30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1.1115699999999999</v>
      </c>
      <c r="F394" s="5">
        <v>31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1.13893</v>
      </c>
      <c r="F395" s="5">
        <v>33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1.12534</v>
      </c>
      <c r="F396" s="5">
        <v>32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1.1270199999999999</v>
      </c>
      <c r="F397" s="5">
        <v>31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1.1117600000000001</v>
      </c>
      <c r="F398" s="5">
        <v>32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1.1107100000000001</v>
      </c>
      <c r="F399" s="5">
        <v>31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1.1285400000000001</v>
      </c>
      <c r="F400" s="5">
        <v>31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2.5034200000000002</v>
      </c>
      <c r="F401" s="5">
        <v>68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2.5030600000000001</v>
      </c>
      <c r="F402" s="5">
        <v>68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2.5094099999999999</v>
      </c>
      <c r="F403" s="5">
        <v>68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2.5097900000000002</v>
      </c>
      <c r="F404" s="5">
        <v>69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2.5131700000000001</v>
      </c>
      <c r="F405" s="5">
        <v>68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2.51545</v>
      </c>
      <c r="F406" s="5">
        <v>70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2.5091600000000001</v>
      </c>
      <c r="F407" s="5">
        <v>68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2.4938099999999999</v>
      </c>
      <c r="F408" s="5">
        <v>67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2.5001500000000001</v>
      </c>
      <c r="F409" s="5">
        <v>69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2.4946899999999999</v>
      </c>
      <c r="F410" s="5">
        <v>67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2.7419699999999998</v>
      </c>
      <c r="F411" s="5">
        <v>72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2.7441399999999998</v>
      </c>
      <c r="F412" s="5">
        <v>73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2.7498399999999998</v>
      </c>
      <c r="F413" s="5">
        <v>74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2.7466400000000002</v>
      </c>
      <c r="F414" s="5">
        <v>73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2.7359200000000001</v>
      </c>
      <c r="F415" s="5">
        <v>72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2.7349600000000001</v>
      </c>
      <c r="F416" s="5">
        <v>75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2.7446799999999998</v>
      </c>
      <c r="F417" s="5">
        <v>74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2.7529599999999999</v>
      </c>
      <c r="F418" s="5">
        <v>73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2.7438099999999999</v>
      </c>
      <c r="F419" s="5">
        <v>74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2.7309899999999998</v>
      </c>
      <c r="F420" s="5">
        <v>73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3.02677</v>
      </c>
      <c r="F421" s="5">
        <v>31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3.0429200000000001</v>
      </c>
      <c r="F422" s="5">
        <v>32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3.0204300000000002</v>
      </c>
      <c r="F423" s="5">
        <v>32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3.0507399999999998</v>
      </c>
      <c r="F424" s="5">
        <v>32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3.0028899999999998</v>
      </c>
      <c r="F425" s="5">
        <v>31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2.9826600000000001</v>
      </c>
      <c r="F426" s="5">
        <v>32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3.0241799999999999</v>
      </c>
      <c r="F427" s="5">
        <v>32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3.0137100000000001</v>
      </c>
      <c r="F428" s="5">
        <v>31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2.9998</v>
      </c>
      <c r="F429" s="5">
        <v>31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3.0752899999999999</v>
      </c>
      <c r="F430" s="5">
        <v>32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3.7750599999999999</v>
      </c>
      <c r="F431" s="5">
        <v>39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3.8188499999999999</v>
      </c>
      <c r="F432" s="5">
        <v>40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3.8282500000000002</v>
      </c>
      <c r="F433" s="5">
        <v>40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3.8430200000000001</v>
      </c>
      <c r="F434" s="5">
        <v>40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3.8323499999999999</v>
      </c>
      <c r="F435" s="5">
        <v>40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3.8263099999999999</v>
      </c>
      <c r="F436" s="5">
        <v>40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3.7793700000000001</v>
      </c>
      <c r="F437" s="5">
        <v>39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3.8382700000000001</v>
      </c>
      <c r="F438" s="5">
        <v>40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3.7706300000000001</v>
      </c>
      <c r="F439" s="5">
        <v>39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3.7738800000000001</v>
      </c>
      <c r="F440" s="5">
        <v>39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5.4892200000000004</v>
      </c>
      <c r="F441" s="5">
        <v>46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5.5583799999999997</v>
      </c>
      <c r="F442" s="5">
        <v>43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5.4764900000000001</v>
      </c>
      <c r="F443" s="5">
        <v>48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5.5346799999999998</v>
      </c>
      <c r="F444" s="5">
        <v>49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5.4954400000000003</v>
      </c>
      <c r="F445" s="5">
        <v>47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5.5178599999999998</v>
      </c>
      <c r="F446" s="5">
        <v>48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5.5211899999999998</v>
      </c>
      <c r="F447" s="5">
        <v>50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5.50976</v>
      </c>
      <c r="F448" s="5">
        <v>48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5.4837300000000004</v>
      </c>
      <c r="F449" s="5">
        <v>44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5.5805400000000001</v>
      </c>
      <c r="F450" s="5">
        <v>40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V1"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0.55195000000000005</v>
      </c>
      <c r="F1" s="5">
        <v>22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0.55720000000000003</v>
      </c>
      <c r="F2" s="5">
        <v>21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0.60614000000000001</v>
      </c>
      <c r="F3" s="5">
        <v>22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170.35004000000001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0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0.55425999999999997</v>
      </c>
      <c r="F4" s="5">
        <v>19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0.54786000000000001</v>
      </c>
      <c r="F5" s="5">
        <v>20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0.55544000000000004</v>
      </c>
      <c r="F6" s="5">
        <v>24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0.54823999999999995</v>
      </c>
      <c r="F7" s="5">
        <v>24</v>
      </c>
      <c r="H7" s="5" t="s">
        <v>27</v>
      </c>
      <c r="I7" s="5">
        <v>50</v>
      </c>
      <c r="J7" s="5">
        <v>1</v>
      </c>
      <c r="L7" s="5">
        <f t="shared" ca="1" si="11"/>
        <v>180.03666999999999</v>
      </c>
      <c r="M7" s="5">
        <f t="shared" ca="1" si="0"/>
        <v>179.93769</v>
      </c>
      <c r="N7" s="5">
        <f t="shared" ca="1" si="0"/>
        <v>180.67004</v>
      </c>
      <c r="O7" s="5">
        <f t="shared" ca="1" si="0"/>
        <v>179.93772999999999</v>
      </c>
      <c r="P7" s="5">
        <f t="shared" ca="1" si="0"/>
        <v>181.95670000000001</v>
      </c>
      <c r="Q7" s="5">
        <f t="shared" ca="1" si="0"/>
        <v>181.5967</v>
      </c>
      <c r="R7" s="5">
        <f t="shared" ca="1" si="0"/>
        <v>180.62098</v>
      </c>
      <c r="S7" s="5">
        <f t="shared" ca="1" si="0"/>
        <v>181.80312000000001</v>
      </c>
      <c r="T7" s="5">
        <f t="shared" ca="1" si="0"/>
        <v>182.11978999999999</v>
      </c>
      <c r="U7" s="5">
        <f t="shared" ca="1" si="0"/>
        <v>179.94333</v>
      </c>
      <c r="W7" s="5">
        <f t="shared" ca="1" si="12"/>
        <v>180.86227500000001</v>
      </c>
      <c r="Y7" s="5">
        <f ca="1">Total!E7</f>
        <v>179.67332999999999</v>
      </c>
      <c r="AB7" s="5">
        <f t="shared" ca="1" si="1"/>
        <v>2.0222255579055268E-3</v>
      </c>
      <c r="AC7" s="5">
        <f t="shared" ca="1" si="2"/>
        <v>1.4713368979136225E-3</v>
      </c>
      <c r="AD7" s="5">
        <f t="shared" ca="1" si="3"/>
        <v>5.5473452849123875E-3</v>
      </c>
      <c r="AE7" s="5">
        <f t="shared" ca="1" si="4"/>
        <v>1.4715595241652998E-3</v>
      </c>
      <c r="AF7" s="5">
        <f t="shared" ca="1" si="5"/>
        <v>1.2708452612304895E-2</v>
      </c>
      <c r="AG7" s="5">
        <f t="shared" ca="1" si="6"/>
        <v>1.0704816346421618E-2</v>
      </c>
      <c r="AH7" s="5">
        <f t="shared" ca="1" si="7"/>
        <v>5.274294187122875E-3</v>
      </c>
      <c r="AI7" s="5">
        <f t="shared" ca="1" si="8"/>
        <v>1.1853679118653915E-2</v>
      </c>
      <c r="AJ7" s="5">
        <f t="shared" ca="1" si="9"/>
        <v>1.3616155497312829E-2</v>
      </c>
      <c r="AK7" s="5">
        <f t="shared" ca="1" si="10"/>
        <v>1.5027271994124572E-3</v>
      </c>
      <c r="AM7" s="5">
        <f t="shared" ca="1" si="13"/>
        <v>6.6172592226125426E-2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0.58270999999999995</v>
      </c>
      <c r="F8" s="5">
        <v>22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0.55808999999999997</v>
      </c>
      <c r="F9" s="5">
        <v>23</v>
      </c>
      <c r="H9" s="5" t="s">
        <v>27</v>
      </c>
      <c r="I9" s="5">
        <v>100</v>
      </c>
      <c r="J9" s="5">
        <v>0.7</v>
      </c>
      <c r="L9" s="5">
        <f t="shared" ca="1" si="11"/>
        <v>259.14702</v>
      </c>
      <c r="M9" s="5">
        <f t="shared" ca="1" si="0"/>
        <v>259.42732000000001</v>
      </c>
      <c r="N9" s="5">
        <f t="shared" ca="1" si="0"/>
        <v>257.27665000000002</v>
      </c>
      <c r="O9" s="5">
        <f t="shared" ca="1" si="0"/>
        <v>258.82974999999999</v>
      </c>
      <c r="P9" s="5">
        <f t="shared" ca="1" si="0"/>
        <v>256.25519000000003</v>
      </c>
      <c r="Q9" s="5">
        <f t="shared" ca="1" si="0"/>
        <v>259.98541</v>
      </c>
      <c r="R9" s="5">
        <f t="shared" ca="1" si="0"/>
        <v>259.39821000000001</v>
      </c>
      <c r="S9" s="5">
        <f t="shared" ca="1" si="0"/>
        <v>258.31518999999997</v>
      </c>
      <c r="T9" s="5">
        <f t="shared" ca="1" si="0"/>
        <v>256.92065000000002</v>
      </c>
      <c r="U9" s="5">
        <f t="shared" ca="1" si="0"/>
        <v>259.10417999999999</v>
      </c>
      <c r="W9" s="5">
        <f t="shared" ca="1" si="12"/>
        <v>258.465957</v>
      </c>
      <c r="Y9" s="5">
        <f ca="1">Total!E9</f>
        <v>255.18879999999999</v>
      </c>
      <c r="AB9" s="5">
        <f t="shared" ca="1" si="1"/>
        <v>1.5510947188904887E-2</v>
      </c>
      <c r="AC9" s="5">
        <f t="shared" ca="1" si="2"/>
        <v>1.6609349626629469E-2</v>
      </c>
      <c r="AD9" s="5">
        <f t="shared" ca="1" si="3"/>
        <v>8.1815894741463242E-3</v>
      </c>
      <c r="AE9" s="5">
        <f t="shared" ca="1" si="4"/>
        <v>1.4267671621952076E-2</v>
      </c>
      <c r="AF9" s="5">
        <f t="shared" ca="1" si="5"/>
        <v>4.1788275974495789E-3</v>
      </c>
      <c r="AG9" s="5">
        <f t="shared" ca="1" si="6"/>
        <v>1.8796318647213418E-2</v>
      </c>
      <c r="AH9" s="5">
        <f t="shared" ca="1" si="7"/>
        <v>1.6495277222197919E-2</v>
      </c>
      <c r="AI9" s="5">
        <f t="shared" ca="1" si="8"/>
        <v>1.225128218793296E-2</v>
      </c>
      <c r="AJ9" s="5">
        <f t="shared" ca="1" si="9"/>
        <v>6.7865439235579193E-3</v>
      </c>
      <c r="AK9" s="5">
        <f t="shared" ca="1" si="10"/>
        <v>1.5343071482760996E-2</v>
      </c>
      <c r="AM9" s="5">
        <f t="shared" ca="1" si="13"/>
        <v>0.12842087897274554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0.56198000000000004</v>
      </c>
      <c r="F10" s="5">
        <v>21</v>
      </c>
      <c r="H10" s="5" t="s">
        <v>27</v>
      </c>
      <c r="I10" s="5">
        <v>100</v>
      </c>
      <c r="J10" s="5">
        <v>1</v>
      </c>
      <c r="L10" s="5">
        <f t="shared" ca="1" si="11"/>
        <v>239.18</v>
      </c>
      <c r="M10" s="5">
        <f t="shared" ca="1" si="0"/>
        <v>239.24332999999999</v>
      </c>
      <c r="N10" s="5">
        <f t="shared" ca="1" si="0"/>
        <v>238.93872999999999</v>
      </c>
      <c r="O10" s="5">
        <f t="shared" ca="1" si="0"/>
        <v>239.27612999999999</v>
      </c>
      <c r="P10" s="5">
        <f t="shared" ca="1" si="0"/>
        <v>239.0489</v>
      </c>
      <c r="Q10" s="5">
        <f t="shared" ca="1" si="0"/>
        <v>238.96333000000001</v>
      </c>
      <c r="R10" s="5">
        <f t="shared" ca="1" si="0"/>
        <v>239.18256</v>
      </c>
      <c r="S10" s="5">
        <f t="shared" ca="1" si="0"/>
        <v>238.95</v>
      </c>
      <c r="T10" s="5">
        <f t="shared" ca="1" si="0"/>
        <v>239.14</v>
      </c>
      <c r="U10" s="5">
        <f t="shared" ca="1" si="0"/>
        <v>239.45337000000001</v>
      </c>
      <c r="W10" s="5">
        <f t="shared" ca="1" si="12"/>
        <v>239.13763499999999</v>
      </c>
      <c r="Y10" s="5">
        <f ca="1">Total!E10</f>
        <v>238.77667</v>
      </c>
      <c r="AB10" s="5">
        <f t="shared" ca="1" si="1"/>
        <v>1.6891516244028828E-3</v>
      </c>
      <c r="AC10" s="5">
        <f t="shared" ca="1" si="2"/>
        <v>1.954378541253592E-3</v>
      </c>
      <c r="AD10" s="5">
        <f t="shared" ca="1" si="3"/>
        <v>6.7870952384082065E-4</v>
      </c>
      <c r="AE10" s="5">
        <f t="shared" ca="1" si="4"/>
        <v>2.0917453953939432E-3</v>
      </c>
      <c r="AF10" s="5">
        <f t="shared" ca="1" si="5"/>
        <v>1.1401030092261842E-3</v>
      </c>
      <c r="AG10" s="5">
        <f t="shared" ca="1" si="6"/>
        <v>7.8173466444614369E-4</v>
      </c>
      <c r="AH10" s="5">
        <f t="shared" ca="1" si="7"/>
        <v>1.6998729398479317E-3</v>
      </c>
      <c r="AI10" s="5">
        <f t="shared" ca="1" si="8"/>
        <v>7.2590843988230879E-4</v>
      </c>
      <c r="AJ10" s="5">
        <f t="shared" ca="1" si="9"/>
        <v>1.5216310705731453E-3</v>
      </c>
      <c r="AK10" s="5">
        <f t="shared" ca="1" si="10"/>
        <v>2.8340289694131801E-3</v>
      </c>
      <c r="AM10" s="5">
        <f t="shared" ca="1" si="13"/>
        <v>1.5117264178280132E-2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1.4352400000000001</v>
      </c>
      <c r="F11" s="5">
        <v>80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1.4238200000000001</v>
      </c>
      <c r="F12" s="5">
        <v>77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1.4314</v>
      </c>
      <c r="F13" s="5">
        <v>80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1.43238</v>
      </c>
      <c r="F14" s="5">
        <v>79</v>
      </c>
      <c r="H14" s="5" t="s">
        <v>2</v>
      </c>
      <c r="I14" s="5">
        <v>47</v>
      </c>
      <c r="J14" s="5">
        <v>0.4</v>
      </c>
      <c r="L14" s="5">
        <f t="shared" ca="1" si="11"/>
        <v>4348.0289499999999</v>
      </c>
      <c r="M14" s="5">
        <f t="shared" ca="1" si="0"/>
        <v>4348.0289499999999</v>
      </c>
      <c r="N14" s="5">
        <f t="shared" ca="1" si="0"/>
        <v>4348.0289499999999</v>
      </c>
      <c r="O14" s="5">
        <f t="shared" ca="1" si="0"/>
        <v>4348.0289499999999</v>
      </c>
      <c r="P14" s="5">
        <f t="shared" ca="1" si="0"/>
        <v>4348.0289499999999</v>
      </c>
      <c r="Q14" s="5">
        <f t="shared" ca="1" si="0"/>
        <v>4348.0289499999999</v>
      </c>
      <c r="R14" s="5">
        <f t="shared" ca="1" si="0"/>
        <v>4348.0289499999999</v>
      </c>
      <c r="S14" s="5">
        <f t="shared" ca="1" si="0"/>
        <v>4348.0289499999999</v>
      </c>
      <c r="T14" s="5">
        <f t="shared" ca="1" si="0"/>
        <v>4348.0289499999999</v>
      </c>
      <c r="U14" s="5">
        <f t="shared" ca="1" si="0"/>
        <v>4348.0289499999999</v>
      </c>
      <c r="W14" s="5">
        <f t="shared" ca="1" si="12"/>
        <v>4348.0289499999999</v>
      </c>
      <c r="Y14" s="5">
        <f ca="1">Total!E14</f>
        <v>4348.0289499999999</v>
      </c>
      <c r="AB14" s="5">
        <f t="shared" ca="1" si="1"/>
        <v>0</v>
      </c>
      <c r="AC14" s="5">
        <f t="shared" ca="1" si="2"/>
        <v>0</v>
      </c>
      <c r="AD14" s="5">
        <f t="shared" ca="1" si="3"/>
        <v>0</v>
      </c>
      <c r="AE14" s="5">
        <f t="shared" ca="1" si="4"/>
        <v>0</v>
      </c>
      <c r="AF14" s="5">
        <f t="shared" ca="1" si="5"/>
        <v>0</v>
      </c>
      <c r="AG14" s="5">
        <f t="shared" ca="1" si="6"/>
        <v>0</v>
      </c>
      <c r="AH14" s="5">
        <f t="shared" ca="1" si="7"/>
        <v>0</v>
      </c>
      <c r="AI14" s="5">
        <f t="shared" ca="1" si="8"/>
        <v>0</v>
      </c>
      <c r="AJ14" s="5">
        <f t="shared" ca="1" si="9"/>
        <v>0</v>
      </c>
      <c r="AK14" s="5">
        <f t="shared" ca="1" si="10"/>
        <v>0</v>
      </c>
      <c r="AM14" s="5">
        <f t="shared" ca="1" si="13"/>
        <v>0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1.42184</v>
      </c>
      <c r="F15" s="5">
        <v>77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1.42459</v>
      </c>
      <c r="F16" s="5">
        <v>81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1.4286300000000001</v>
      </c>
      <c r="F17" s="5">
        <v>80</v>
      </c>
      <c r="H17" s="5" t="s">
        <v>2</v>
      </c>
      <c r="I17" s="5">
        <v>100</v>
      </c>
      <c r="J17" s="5">
        <v>0.4</v>
      </c>
      <c r="L17" s="5">
        <f t="shared" ca="1" si="11"/>
        <v>42986.836920000002</v>
      </c>
      <c r="M17" s="5">
        <f t="shared" ca="1" si="0"/>
        <v>42986.96256</v>
      </c>
      <c r="N17" s="5">
        <f t="shared" ca="1" si="0"/>
        <v>42986.403050000001</v>
      </c>
      <c r="O17" s="5">
        <f t="shared" ca="1" si="0"/>
        <v>42986.853589999999</v>
      </c>
      <c r="P17" s="5">
        <f t="shared" ca="1" si="0"/>
        <v>42988.818220000001</v>
      </c>
      <c r="Q17" s="5">
        <f t="shared" ca="1" si="0"/>
        <v>42986.853589999999</v>
      </c>
      <c r="R17" s="5">
        <f t="shared" ca="1" si="0"/>
        <v>42986.45392</v>
      </c>
      <c r="S17" s="5">
        <f t="shared" ca="1" si="0"/>
        <v>42988.963889999999</v>
      </c>
      <c r="T17" s="5">
        <f t="shared" ca="1" si="0"/>
        <v>42986.403050000001</v>
      </c>
      <c r="U17" s="5">
        <f t="shared" ca="1" si="0"/>
        <v>42986.57692</v>
      </c>
      <c r="W17" s="5">
        <f t="shared" ca="1" si="12"/>
        <v>42987.112571000012</v>
      </c>
      <c r="Y17" s="5">
        <f ca="1">Total!E17</f>
        <v>42986.193919999998</v>
      </c>
      <c r="AB17" s="5">
        <f t="shared" ca="1" si="1"/>
        <v>1.4958291055038052E-5</v>
      </c>
      <c r="AC17" s="5">
        <f t="shared" ca="1" si="2"/>
        <v>1.7881089947915334E-5</v>
      </c>
      <c r="AD17" s="5">
        <f t="shared" ca="1" si="3"/>
        <v>4.8650504018131747E-6</v>
      </c>
      <c r="AE17" s="5">
        <f t="shared" ca="1" si="4"/>
        <v>1.5346089984812385E-5</v>
      </c>
      <c r="AF17" s="5">
        <f t="shared" ca="1" si="5"/>
        <v>6.1049833927775011E-5</v>
      </c>
      <c r="AG17" s="5">
        <f t="shared" ca="1" si="6"/>
        <v>1.5346089984812385E-5</v>
      </c>
      <c r="AH17" s="5">
        <f t="shared" ca="1" si="7"/>
        <v>6.04845361480278E-6</v>
      </c>
      <c r="AI17" s="5">
        <f t="shared" ca="1" si="8"/>
        <v>6.4438596381812311E-5</v>
      </c>
      <c r="AJ17" s="5">
        <f t="shared" ca="1" si="9"/>
        <v>4.8650504018131747E-6</v>
      </c>
      <c r="AK17" s="5">
        <f t="shared" ca="1" si="10"/>
        <v>8.9098374402352728E-6</v>
      </c>
      <c r="AM17" s="5">
        <f t="shared" ca="1" si="13"/>
        <v>2.1370838314082989E-4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1.43011</v>
      </c>
      <c r="F18" s="5">
        <v>77</v>
      </c>
      <c r="H18" s="5" t="s">
        <v>2</v>
      </c>
      <c r="I18" s="5">
        <v>100</v>
      </c>
      <c r="J18" s="5">
        <v>0.7</v>
      </c>
      <c r="L18" s="5">
        <f t="shared" ca="1" si="11"/>
        <v>35821.192450000002</v>
      </c>
      <c r="M18" s="5">
        <f t="shared" ca="1" si="11"/>
        <v>35903.180569999997</v>
      </c>
      <c r="N18" s="5">
        <f t="shared" ca="1" si="11"/>
        <v>35743.148070000003</v>
      </c>
      <c r="O18" s="5">
        <f t="shared" ca="1" si="11"/>
        <v>35949.868670000003</v>
      </c>
      <c r="P18" s="5">
        <f t="shared" ca="1" si="11"/>
        <v>35875.124530000001</v>
      </c>
      <c r="Q18" s="5">
        <f t="shared" ca="1" si="11"/>
        <v>35698.194660000001</v>
      </c>
      <c r="R18" s="5">
        <f t="shared" ca="1" si="11"/>
        <v>35803.27089</v>
      </c>
      <c r="S18" s="5">
        <f t="shared" ca="1" si="11"/>
        <v>35804.601920000001</v>
      </c>
      <c r="T18" s="5">
        <f t="shared" ca="1" si="11"/>
        <v>35776.068249999997</v>
      </c>
      <c r="U18" s="5">
        <f t="shared" ca="1" si="11"/>
        <v>35801.986349999999</v>
      </c>
      <c r="W18" s="5">
        <f t="shared" ca="1" si="12"/>
        <v>35817.663635999997</v>
      </c>
      <c r="Y18" s="5">
        <f ca="1">Total!E18</f>
        <v>35336.072039999999</v>
      </c>
      <c r="AB18" s="5">
        <f t="shared" ca="1" si="1"/>
        <v>1.3728758800662757E-2</v>
      </c>
      <c r="AC18" s="5">
        <f t="shared" ca="1" si="2"/>
        <v>1.6048997448217726E-2</v>
      </c>
      <c r="AD18" s="5">
        <f t="shared" ca="1" si="3"/>
        <v>1.1520126785433274E-2</v>
      </c>
      <c r="AE18" s="5">
        <f t="shared" ca="1" si="4"/>
        <v>1.7370256357446694E-2</v>
      </c>
      <c r="AF18" s="5">
        <f t="shared" ca="1" si="5"/>
        <v>1.5255020121925297E-2</v>
      </c>
      <c r="AG18" s="5">
        <f t="shared" ca="1" si="6"/>
        <v>1.0247959071118135E-2</v>
      </c>
      <c r="AH18" s="5">
        <f t="shared" ca="1" si="7"/>
        <v>1.3221584149792805E-2</v>
      </c>
      <c r="AI18" s="5">
        <f t="shared" ca="1" si="8"/>
        <v>1.3259251890522291E-2</v>
      </c>
      <c r="AJ18" s="5">
        <f t="shared" ca="1" si="9"/>
        <v>1.2451757781734405E-2</v>
      </c>
      <c r="AK18" s="5">
        <f t="shared" ca="1" si="10"/>
        <v>1.3185232061803328E-2</v>
      </c>
      <c r="AM18" s="5">
        <f t="shared" ca="1" si="13"/>
        <v>0.13628894446865672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1.42259</v>
      </c>
      <c r="F19" s="5">
        <v>79</v>
      </c>
      <c r="H19" s="5" t="s">
        <v>2</v>
      </c>
      <c r="I19" s="5">
        <v>100</v>
      </c>
      <c r="J19" s="5">
        <v>1</v>
      </c>
      <c r="L19" s="5">
        <f t="shared" ca="1" si="11"/>
        <v>35246.565909999998</v>
      </c>
      <c r="M19" s="5">
        <f t="shared" ca="1" si="11"/>
        <v>35379.988100000002</v>
      </c>
      <c r="N19" s="5">
        <f t="shared" ca="1" si="11"/>
        <v>35279.208100000003</v>
      </c>
      <c r="O19" s="5">
        <f t="shared" ca="1" si="11"/>
        <v>35282.365270000002</v>
      </c>
      <c r="P19" s="5">
        <f t="shared" ca="1" si="11"/>
        <v>35276.497410000004</v>
      </c>
      <c r="Q19" s="5">
        <f t="shared" ca="1" si="11"/>
        <v>35282.827319999997</v>
      </c>
      <c r="R19" s="5">
        <f t="shared" ca="1" si="11"/>
        <v>35251.641580000003</v>
      </c>
      <c r="S19" s="5">
        <f t="shared" ca="1" si="11"/>
        <v>35315.974260000003</v>
      </c>
      <c r="T19" s="5">
        <f t="shared" ca="1" si="11"/>
        <v>35270.430590000004</v>
      </c>
      <c r="U19" s="5">
        <f t="shared" ca="1" si="11"/>
        <v>35309.423329999998</v>
      </c>
      <c r="W19" s="5">
        <f t="shared" ca="1" si="12"/>
        <v>35289.492187000003</v>
      </c>
      <c r="Y19" s="5">
        <f ca="1">Total!E19</f>
        <v>35203.853329999998</v>
      </c>
      <c r="AB19" s="5">
        <f t="shared" ca="1" si="1"/>
        <v>1.2132927495070733E-3</v>
      </c>
      <c r="AC19" s="5">
        <f t="shared" ca="1" si="2"/>
        <v>5.003280986002342E-3</v>
      </c>
      <c r="AD19" s="5">
        <f t="shared" ca="1" si="3"/>
        <v>2.1405261888132452E-3</v>
      </c>
      <c r="AE19" s="5">
        <f t="shared" ca="1" si="4"/>
        <v>2.2302087008497363E-3</v>
      </c>
      <c r="AF19" s="5">
        <f t="shared" ca="1" si="5"/>
        <v>2.0635263793154059E-3</v>
      </c>
      <c r="AG19" s="5">
        <f t="shared" ca="1" si="6"/>
        <v>2.2433336845173873E-3</v>
      </c>
      <c r="AH19" s="5">
        <f t="shared" ca="1" si="7"/>
        <v>1.3574721367016066E-3</v>
      </c>
      <c r="AI19" s="5">
        <f t="shared" ca="1" si="8"/>
        <v>3.1849050428936266E-3</v>
      </c>
      <c r="AJ19" s="5">
        <f t="shared" ca="1" si="9"/>
        <v>1.8911924037380793E-3</v>
      </c>
      <c r="AK19" s="5">
        <f t="shared" ca="1" si="10"/>
        <v>2.9988194477004915E-3</v>
      </c>
      <c r="AM19" s="5">
        <f t="shared" ca="1" si="13"/>
        <v>2.4326557720038996E-2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1.43407</v>
      </c>
      <c r="F20" s="5">
        <v>80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1.7729600000000001</v>
      </c>
      <c r="F21" s="5">
        <v>92</v>
      </c>
      <c r="H21" s="5" t="s">
        <v>1</v>
      </c>
      <c r="I21" s="5">
        <v>30</v>
      </c>
      <c r="J21" s="5">
        <v>0.7</v>
      </c>
      <c r="L21" s="5">
        <f t="shared" ca="1" si="11"/>
        <v>675.36989000000005</v>
      </c>
      <c r="M21" s="5">
        <f t="shared" ca="1" si="11"/>
        <v>675.36989000000005</v>
      </c>
      <c r="N21" s="5">
        <f t="shared" ca="1" si="11"/>
        <v>675.36989000000005</v>
      </c>
      <c r="O21" s="5">
        <f t="shared" ca="1" si="11"/>
        <v>675.36989000000005</v>
      </c>
      <c r="P21" s="5">
        <f t="shared" ca="1" si="11"/>
        <v>675.36989000000005</v>
      </c>
      <c r="Q21" s="5">
        <f t="shared" ca="1" si="11"/>
        <v>675.36989000000005</v>
      </c>
      <c r="R21" s="5">
        <f t="shared" ca="1" si="11"/>
        <v>675.36581000000001</v>
      </c>
      <c r="S21" s="5">
        <f t="shared" ca="1" si="11"/>
        <v>675.36989000000005</v>
      </c>
      <c r="T21" s="5">
        <f t="shared" ca="1" si="11"/>
        <v>675.36989000000005</v>
      </c>
      <c r="U21" s="5">
        <f t="shared" ca="1" si="11"/>
        <v>675.36989000000005</v>
      </c>
      <c r="W21" s="5">
        <f t="shared" ca="1" si="12"/>
        <v>675.36948199999995</v>
      </c>
      <c r="Y21" s="5">
        <f ca="1">Total!E21</f>
        <v>675.36581000000001</v>
      </c>
      <c r="AB21" s="5">
        <f t="shared" ca="1" si="1"/>
        <v>6.0411704881010963E-6</v>
      </c>
      <c r="AC21" s="5">
        <f t="shared" ca="1" si="2"/>
        <v>6.0411704881010963E-6</v>
      </c>
      <c r="AD21" s="5">
        <f t="shared" ca="1" si="3"/>
        <v>6.0411704881010963E-6</v>
      </c>
      <c r="AE21" s="5">
        <f t="shared" ca="1" si="4"/>
        <v>6.0411704881010963E-6</v>
      </c>
      <c r="AF21" s="5">
        <f t="shared" ca="1" si="5"/>
        <v>6.0411704881010963E-6</v>
      </c>
      <c r="AG21" s="5">
        <f t="shared" ca="1" si="6"/>
        <v>6.0411704881010963E-6</v>
      </c>
      <c r="AH21" s="5">
        <f t="shared" ca="1" si="7"/>
        <v>0</v>
      </c>
      <c r="AI21" s="5">
        <f t="shared" ca="1" si="8"/>
        <v>6.0411704881010963E-6</v>
      </c>
      <c r="AJ21" s="5">
        <f t="shared" ca="1" si="9"/>
        <v>6.0411704881010963E-6</v>
      </c>
      <c r="AK21" s="5">
        <f t="shared" ca="1" si="10"/>
        <v>6.0411704881010963E-6</v>
      </c>
      <c r="AM21" s="5">
        <f t="shared" ca="1" si="13"/>
        <v>5.437053439290987E-5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1.77688</v>
      </c>
      <c r="F22" s="5">
        <v>99</v>
      </c>
      <c r="H22" s="5" t="s">
        <v>1</v>
      </c>
      <c r="I22" s="5">
        <v>30</v>
      </c>
      <c r="J22" s="5">
        <v>1</v>
      </c>
      <c r="L22" s="5">
        <f t="shared" ca="1" si="11"/>
        <v>657.45713999999998</v>
      </c>
      <c r="M22" s="5">
        <f t="shared" ca="1" si="11"/>
        <v>655.43295999999998</v>
      </c>
      <c r="N22" s="5">
        <f t="shared" ca="1" si="11"/>
        <v>655.43907999999999</v>
      </c>
      <c r="O22" s="5">
        <f t="shared" ca="1" si="11"/>
        <v>656.34612000000004</v>
      </c>
      <c r="P22" s="5">
        <f t="shared" ca="1" si="11"/>
        <v>656.34204</v>
      </c>
      <c r="Q22" s="5">
        <f t="shared" ca="1" si="11"/>
        <v>655.46475999999996</v>
      </c>
      <c r="R22" s="5">
        <f t="shared" ca="1" si="11"/>
        <v>655.43907999999999</v>
      </c>
      <c r="S22" s="5">
        <f t="shared" ca="1" si="11"/>
        <v>655.43295999999998</v>
      </c>
      <c r="T22" s="5">
        <f t="shared" ca="1" si="11"/>
        <v>655.43907999999999</v>
      </c>
      <c r="U22" s="5">
        <f t="shared" ca="1" si="11"/>
        <v>657.48895000000005</v>
      </c>
      <c r="W22" s="5">
        <f t="shared" ca="1" si="12"/>
        <v>656.02821700000004</v>
      </c>
      <c r="Y22" s="5">
        <f ca="1">Total!E22</f>
        <v>655.43295999999998</v>
      </c>
      <c r="AB22" s="5">
        <f t="shared" ca="1" si="1"/>
        <v>3.088309748719383E-3</v>
      </c>
      <c r="AC22" s="5">
        <f t="shared" ca="1" si="2"/>
        <v>0</v>
      </c>
      <c r="AD22" s="5">
        <f t="shared" ca="1" si="3"/>
        <v>9.337339397777456E-6</v>
      </c>
      <c r="AE22" s="5">
        <f t="shared" ca="1" si="4"/>
        <v>1.3932164778531458E-3</v>
      </c>
      <c r="AF22" s="5">
        <f t="shared" ca="1" si="5"/>
        <v>1.3869915849212362E-3</v>
      </c>
      <c r="AG22" s="5">
        <f t="shared" ca="1" si="6"/>
        <v>4.8517547851080951E-5</v>
      </c>
      <c r="AH22" s="5">
        <f t="shared" ca="1" si="7"/>
        <v>9.337339397777456E-6</v>
      </c>
      <c r="AI22" s="5">
        <f t="shared" ca="1" si="8"/>
        <v>0</v>
      </c>
      <c r="AJ22" s="5">
        <f t="shared" ca="1" si="9"/>
        <v>9.337339397777456E-6</v>
      </c>
      <c r="AK22" s="5">
        <f t="shared" ca="1" si="10"/>
        <v>3.1368425536611177E-3</v>
      </c>
      <c r="AM22" s="5">
        <f t="shared" ca="1" si="13"/>
        <v>9.0818899311992957E-3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1.7725</v>
      </c>
      <c r="F23" s="5">
        <v>95</v>
      </c>
      <c r="H23" s="5" t="s">
        <v>1</v>
      </c>
      <c r="I23" s="5">
        <v>50</v>
      </c>
      <c r="J23" s="5">
        <v>0.4</v>
      </c>
      <c r="L23" s="5">
        <f t="shared" ca="1" si="11"/>
        <v>1460.0209400000001</v>
      </c>
      <c r="M23" s="5">
        <f t="shared" ca="1" si="11"/>
        <v>1460.0209400000001</v>
      </c>
      <c r="N23" s="5">
        <f t="shared" ca="1" si="11"/>
        <v>1460.0209400000001</v>
      </c>
      <c r="O23" s="5">
        <f t="shared" ca="1" si="11"/>
        <v>1461.0148899999999</v>
      </c>
      <c r="P23" s="5">
        <f t="shared" ca="1" si="11"/>
        <v>1459.9687899999999</v>
      </c>
      <c r="Q23" s="5">
        <f t="shared" ca="1" si="11"/>
        <v>1460.0209400000001</v>
      </c>
      <c r="R23" s="5">
        <f t="shared" ca="1" si="11"/>
        <v>1480.3732500000001</v>
      </c>
      <c r="S23" s="5">
        <f t="shared" ca="1" si="11"/>
        <v>1461.0218600000001</v>
      </c>
      <c r="T23" s="5">
        <f t="shared" ca="1" si="11"/>
        <v>1460.86079</v>
      </c>
      <c r="U23" s="5">
        <f t="shared" ca="1" si="11"/>
        <v>1459.9687899999999</v>
      </c>
      <c r="W23" s="5">
        <f t="shared" ca="1" si="12"/>
        <v>1462.3292130000002</v>
      </c>
      <c r="Y23" s="5">
        <f ca="1">Total!E23</f>
        <v>1459.9687899999999</v>
      </c>
      <c r="AB23" s="5">
        <f t="shared" ca="1" si="1"/>
        <v>3.5719941657253266E-5</v>
      </c>
      <c r="AC23" s="5">
        <f t="shared" ca="1" si="2"/>
        <v>3.5719941657253266E-5</v>
      </c>
      <c r="AD23" s="5">
        <f t="shared" ca="1" si="3"/>
        <v>3.5719941657253266E-5</v>
      </c>
      <c r="AE23" s="5">
        <f t="shared" ca="1" si="4"/>
        <v>7.1652216620330907E-4</v>
      </c>
      <c r="AF23" s="5">
        <f t="shared" ca="1" si="5"/>
        <v>0</v>
      </c>
      <c r="AG23" s="5">
        <f t="shared" ca="1" si="6"/>
        <v>3.5719941657253266E-5</v>
      </c>
      <c r="AH23" s="5">
        <f t="shared" ca="1" si="7"/>
        <v>1.3975956294243934E-2</v>
      </c>
      <c r="AI23" s="5">
        <f t="shared" ca="1" si="8"/>
        <v>7.212962408601637E-4</v>
      </c>
      <c r="AJ23" s="5">
        <f t="shared" ca="1" si="9"/>
        <v>6.1097196468155521E-4</v>
      </c>
      <c r="AK23" s="5">
        <f t="shared" ca="1" si="10"/>
        <v>0</v>
      </c>
      <c r="AM23" s="5">
        <f t="shared" ca="1" si="13"/>
        <v>1.6167626432617974E-2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1.7765500000000001</v>
      </c>
      <c r="F24" s="5">
        <v>100</v>
      </c>
      <c r="H24" s="5" t="s">
        <v>1</v>
      </c>
      <c r="I24" s="5">
        <v>50</v>
      </c>
      <c r="J24" s="5">
        <v>0.7</v>
      </c>
      <c r="L24" s="5">
        <f t="shared" ca="1" si="11"/>
        <v>1020.22756</v>
      </c>
      <c r="M24" s="5">
        <f t="shared" ca="1" si="11"/>
        <v>1016.10597</v>
      </c>
      <c r="N24" s="5">
        <f t="shared" ca="1" si="11"/>
        <v>1030.67138</v>
      </c>
      <c r="O24" s="5">
        <f t="shared" ca="1" si="11"/>
        <v>1017.51896</v>
      </c>
      <c r="P24" s="5">
        <f t="shared" ca="1" si="11"/>
        <v>1025.21408</v>
      </c>
      <c r="Q24" s="5">
        <f t="shared" ca="1" si="11"/>
        <v>1034.5387000000001</v>
      </c>
      <c r="R24" s="5">
        <f t="shared" ca="1" si="11"/>
        <v>1022.7754</v>
      </c>
      <c r="S24" s="5">
        <f t="shared" ca="1" si="11"/>
        <v>1018.69697</v>
      </c>
      <c r="T24" s="5">
        <f t="shared" ca="1" si="11"/>
        <v>1017.68084</v>
      </c>
      <c r="U24" s="5">
        <f t="shared" ca="1" si="11"/>
        <v>1015.25731</v>
      </c>
      <c r="W24" s="5">
        <f t="shared" ca="1" si="12"/>
        <v>1021.8687170000001</v>
      </c>
      <c r="Y24" s="5">
        <f ca="1">Total!E24</f>
        <v>1005.95063</v>
      </c>
      <c r="AB24" s="5">
        <f t="shared" ca="1" si="1"/>
        <v>1.4192475827566203E-2</v>
      </c>
      <c r="AC24" s="5">
        <f t="shared" ca="1" si="2"/>
        <v>1.0095266802506908E-2</v>
      </c>
      <c r="AD24" s="5">
        <f t="shared" ca="1" si="3"/>
        <v>2.4574516146980245E-2</v>
      </c>
      <c r="AE24" s="5">
        <f t="shared" ca="1" si="4"/>
        <v>1.1499898359823032E-2</v>
      </c>
      <c r="AF24" s="5">
        <f t="shared" ca="1" si="5"/>
        <v>1.9149498420215631E-2</v>
      </c>
      <c r="AG24" s="5">
        <f t="shared" ca="1" si="6"/>
        <v>2.8418959288290337E-2</v>
      </c>
      <c r="AH24" s="5">
        <f t="shared" ca="1" si="7"/>
        <v>1.6725244259750544E-2</v>
      </c>
      <c r="AI24" s="5">
        <f t="shared" ca="1" si="8"/>
        <v>1.2670939924755469E-2</v>
      </c>
      <c r="AJ24" s="5">
        <f t="shared" ca="1" si="9"/>
        <v>1.1660820770100758E-2</v>
      </c>
      <c r="AK24" s="5">
        <f t="shared" ca="1" si="10"/>
        <v>9.2516269908791797E-3</v>
      </c>
      <c r="AM24" s="5">
        <f t="shared" ca="1" si="13"/>
        <v>0.15823924679086829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1.77877</v>
      </c>
      <c r="F25" s="5">
        <v>100</v>
      </c>
      <c r="H25" s="5" t="s">
        <v>1</v>
      </c>
      <c r="I25" s="5">
        <v>50</v>
      </c>
      <c r="J25" s="5">
        <v>1</v>
      </c>
      <c r="L25" s="5">
        <f t="shared" ca="1" si="11"/>
        <v>991.72</v>
      </c>
      <c r="M25" s="5">
        <f t="shared" ca="1" si="11"/>
        <v>995.27017999999998</v>
      </c>
      <c r="N25" s="5">
        <f t="shared" ca="1" si="11"/>
        <v>996.91871000000003</v>
      </c>
      <c r="O25" s="5">
        <f t="shared" ca="1" si="11"/>
        <v>996.27311999999995</v>
      </c>
      <c r="P25" s="5">
        <f t="shared" ca="1" si="11"/>
        <v>996.40502000000004</v>
      </c>
      <c r="Q25" s="5">
        <f t="shared" ca="1" si="11"/>
        <v>996.74486999999999</v>
      </c>
      <c r="R25" s="5">
        <f t="shared" ca="1" si="11"/>
        <v>996.85631000000001</v>
      </c>
      <c r="S25" s="5">
        <f t="shared" ca="1" si="11"/>
        <v>993.19537000000003</v>
      </c>
      <c r="T25" s="5">
        <f t="shared" ca="1" si="11"/>
        <v>994.03</v>
      </c>
      <c r="U25" s="5">
        <f t="shared" ca="1" si="11"/>
        <v>994.11932000000002</v>
      </c>
      <c r="W25" s="5">
        <f t="shared" ca="1" si="12"/>
        <v>995.15328999999997</v>
      </c>
      <c r="Y25" s="5">
        <f ca="1">Total!E25</f>
        <v>990.69820000000004</v>
      </c>
      <c r="AB25" s="5">
        <f t="shared" ca="1" si="1"/>
        <v>1.0313938190257988E-3</v>
      </c>
      <c r="AC25" s="5">
        <f t="shared" ca="1" si="2"/>
        <v>4.6149069413873364E-3</v>
      </c>
      <c r="AD25" s="5">
        <f t="shared" ca="1" si="3"/>
        <v>6.2789152135332331E-3</v>
      </c>
      <c r="AE25" s="5">
        <f t="shared" ca="1" si="4"/>
        <v>5.6272636813107227E-3</v>
      </c>
      <c r="AF25" s="5">
        <f t="shared" ca="1" si="5"/>
        <v>5.7604021083312688E-3</v>
      </c>
      <c r="AG25" s="5">
        <f t="shared" ca="1" si="6"/>
        <v>6.1034430061545977E-3</v>
      </c>
      <c r="AH25" s="5">
        <f t="shared" ca="1" si="7"/>
        <v>6.2159293314552957E-3</v>
      </c>
      <c r="AI25" s="5">
        <f t="shared" ca="1" si="8"/>
        <v>2.5206162684054362E-3</v>
      </c>
      <c r="AJ25" s="5">
        <f t="shared" ca="1" si="9"/>
        <v>3.3630827228715364E-3</v>
      </c>
      <c r="AK25" s="5">
        <f t="shared" ca="1" si="10"/>
        <v>3.4532413604869507E-3</v>
      </c>
      <c r="AM25" s="5">
        <f t="shared" ca="1" si="13"/>
        <v>4.4969194452962172E-2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1.77912</v>
      </c>
      <c r="F26" s="5">
        <v>96</v>
      </c>
      <c r="H26" s="5" t="s">
        <v>1</v>
      </c>
      <c r="I26" s="5">
        <v>100</v>
      </c>
      <c r="J26" s="5">
        <v>0.4</v>
      </c>
      <c r="L26" s="5">
        <f t="shared" ca="1" si="11"/>
        <v>1872.3536899999999</v>
      </c>
      <c r="M26" s="5">
        <f t="shared" ca="1" si="11"/>
        <v>1863.9382800000001</v>
      </c>
      <c r="N26" s="5">
        <f t="shared" ca="1" si="11"/>
        <v>1883.9188099999999</v>
      </c>
      <c r="O26" s="5">
        <f t="shared" ca="1" si="11"/>
        <v>1840.54973</v>
      </c>
      <c r="P26" s="5">
        <f t="shared" ca="1" si="11"/>
        <v>1866.5589600000001</v>
      </c>
      <c r="Q26" s="5">
        <f t="shared" ca="1" si="11"/>
        <v>1853.9656399999999</v>
      </c>
      <c r="R26" s="5">
        <f t="shared" ca="1" si="11"/>
        <v>1886.6991499999999</v>
      </c>
      <c r="S26" s="5">
        <f t="shared" ca="1" si="11"/>
        <v>1876.7621200000001</v>
      </c>
      <c r="T26" s="5">
        <f t="shared" ca="1" si="11"/>
        <v>1881.5698</v>
      </c>
      <c r="U26" s="5">
        <f t="shared" ca="1" si="11"/>
        <v>1907.6023</v>
      </c>
      <c r="W26" s="5">
        <f t="shared" ca="1" si="12"/>
        <v>1873.391848</v>
      </c>
      <c r="Y26" s="5">
        <f ca="1">Total!E26</f>
        <v>1786.3248599999999</v>
      </c>
      <c r="AB26" s="5">
        <f t="shared" ca="1" si="1"/>
        <v>4.8159677965854415E-2</v>
      </c>
      <c r="AC26" s="5">
        <f t="shared" ca="1" si="2"/>
        <v>4.3448659164940548E-2</v>
      </c>
      <c r="AD26" s="5">
        <f t="shared" ca="1" si="3"/>
        <v>5.4633931478734472E-2</v>
      </c>
      <c r="AE26" s="5">
        <f t="shared" ca="1" si="4"/>
        <v>3.0355547982464964E-2</v>
      </c>
      <c r="AF26" s="5">
        <f t="shared" ca="1" si="5"/>
        <v>4.4915738338882058E-2</v>
      </c>
      <c r="AG26" s="5">
        <f t="shared" ca="1" si="6"/>
        <v>3.7865889634430744E-2</v>
      </c>
      <c r="AH26" s="5">
        <f t="shared" ca="1" si="7"/>
        <v>5.6190389692051854E-2</v>
      </c>
      <c r="AI26" s="5">
        <f t="shared" ca="1" si="8"/>
        <v>5.0627554945409062E-2</v>
      </c>
      <c r="AJ26" s="5">
        <f t="shared" ca="1" si="9"/>
        <v>5.3318935504262109E-2</v>
      </c>
      <c r="AK26" s="5">
        <f t="shared" ca="1" si="10"/>
        <v>6.789215260655336E-2</v>
      </c>
      <c r="AM26" s="5">
        <f t="shared" ca="1" si="13"/>
        <v>0.4874084773135835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1.7754399999999999</v>
      </c>
      <c r="F27" s="5">
        <v>99</v>
      </c>
      <c r="H27" s="5" t="s">
        <v>1</v>
      </c>
      <c r="I27" s="5">
        <v>100</v>
      </c>
      <c r="J27" s="5">
        <v>0.7</v>
      </c>
      <c r="L27" s="5">
        <f t="shared" ca="1" si="11"/>
        <v>1783.63222</v>
      </c>
      <c r="M27" s="5">
        <f t="shared" ca="1" si="11"/>
        <v>1801.29</v>
      </c>
      <c r="N27" s="5">
        <f t="shared" ca="1" si="11"/>
        <v>1787.59637</v>
      </c>
      <c r="O27" s="5">
        <f t="shared" ca="1" si="11"/>
        <v>1799.12447</v>
      </c>
      <c r="P27" s="5">
        <f t="shared" ca="1" si="11"/>
        <v>1794.8432</v>
      </c>
      <c r="Q27" s="5">
        <f t="shared" ca="1" si="11"/>
        <v>1803.4990399999999</v>
      </c>
      <c r="R27" s="5">
        <f t="shared" ca="1" si="11"/>
        <v>1790.5698199999999</v>
      </c>
      <c r="S27" s="5">
        <f t="shared" ca="1" si="11"/>
        <v>1798.36</v>
      </c>
      <c r="T27" s="5">
        <f t="shared" ca="1" si="11"/>
        <v>1794.50333</v>
      </c>
      <c r="U27" s="5">
        <f t="shared" ca="1" si="11"/>
        <v>1797.40346</v>
      </c>
      <c r="W27" s="5">
        <f t="shared" ca="1" si="12"/>
        <v>1795.0821910000002</v>
      </c>
      <c r="Y27" s="5">
        <f ca="1">Total!E27</f>
        <v>1761.02206</v>
      </c>
      <c r="AB27" s="5">
        <f t="shared" ca="1" si="1"/>
        <v>1.2839225875455501E-2</v>
      </c>
      <c r="AC27" s="5">
        <f t="shared" ca="1" si="2"/>
        <v>2.2866232578596973E-2</v>
      </c>
      <c r="AD27" s="5">
        <f t="shared" ca="1" si="3"/>
        <v>1.5090276609027811E-2</v>
      </c>
      <c r="AE27" s="5">
        <f t="shared" ca="1" si="4"/>
        <v>2.1636531912609863E-2</v>
      </c>
      <c r="AF27" s="5">
        <f t="shared" ca="1" si="5"/>
        <v>1.9205403934576499E-2</v>
      </c>
      <c r="AG27" s="5">
        <f t="shared" ca="1" si="6"/>
        <v>2.4120640487604064E-2</v>
      </c>
      <c r="AH27" s="5">
        <f t="shared" ca="1" si="7"/>
        <v>1.6778756309276402E-2</v>
      </c>
      <c r="AI27" s="5">
        <f t="shared" ca="1" si="8"/>
        <v>2.1202426050244874E-2</v>
      </c>
      <c r="AJ27" s="5">
        <f t="shared" ca="1" si="9"/>
        <v>1.9012408055808224E-2</v>
      </c>
      <c r="AK27" s="5">
        <f t="shared" ca="1" si="10"/>
        <v>2.065925284320401E-2</v>
      </c>
      <c r="AM27" s="5">
        <f t="shared" ca="1" si="13"/>
        <v>0.19341115465640424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1.7749200000000001</v>
      </c>
      <c r="F28" s="5">
        <v>96</v>
      </c>
      <c r="H28" s="5" t="s">
        <v>1</v>
      </c>
      <c r="I28" s="5">
        <v>100</v>
      </c>
      <c r="J28" s="5">
        <v>1</v>
      </c>
      <c r="L28" s="5">
        <f t="shared" ca="1" si="11"/>
        <v>1758.98117</v>
      </c>
      <c r="M28" s="5">
        <f t="shared" ca="1" si="11"/>
        <v>1760.0361700000001</v>
      </c>
      <c r="N28" s="5">
        <f t="shared" ca="1" si="11"/>
        <v>1758.50893</v>
      </c>
      <c r="O28" s="5">
        <f t="shared" ca="1" si="11"/>
        <v>1766.8833299999999</v>
      </c>
      <c r="P28" s="5">
        <f t="shared" ca="1" si="11"/>
        <v>1774.48</v>
      </c>
      <c r="Q28" s="5">
        <f t="shared" ca="1" si="11"/>
        <v>1757.1851999999999</v>
      </c>
      <c r="R28" s="5">
        <f t="shared" ca="1" si="11"/>
        <v>1754.3252</v>
      </c>
      <c r="S28" s="5">
        <f t="shared" ca="1" si="11"/>
        <v>1758.8566699999999</v>
      </c>
      <c r="T28" s="5">
        <f t="shared" ca="1" si="11"/>
        <v>1758.15122</v>
      </c>
      <c r="U28" s="5">
        <f t="shared" ca="1" si="11"/>
        <v>1767.3288399999999</v>
      </c>
      <c r="W28" s="5">
        <f t="shared" ca="1" si="12"/>
        <v>1761.4736729999997</v>
      </c>
      <c r="Y28" s="5">
        <f ca="1">Total!E28</f>
        <v>1753.1198199999999</v>
      </c>
      <c r="AB28" s="5">
        <f t="shared" ca="1" si="1"/>
        <v>3.3433824277910051E-3</v>
      </c>
      <c r="AC28" s="5">
        <f t="shared" ca="1" si="2"/>
        <v>3.9451667370917027E-3</v>
      </c>
      <c r="AD28" s="5">
        <f t="shared" ca="1" si="3"/>
        <v>3.0740112218913102E-3</v>
      </c>
      <c r="AE28" s="5">
        <f t="shared" ca="1" si="4"/>
        <v>7.8508666909030776E-3</v>
      </c>
      <c r="AF28" s="5">
        <f t="shared" ca="1" si="5"/>
        <v>1.2184095893685196E-2</v>
      </c>
      <c r="AG28" s="5">
        <f t="shared" ca="1" si="6"/>
        <v>2.3189401851608778E-3</v>
      </c>
      <c r="AH28" s="5">
        <f t="shared" ca="1" si="7"/>
        <v>6.8756281587193779E-4</v>
      </c>
      <c r="AI28" s="5">
        <f t="shared" ca="1" si="8"/>
        <v>3.2723661751767794E-3</v>
      </c>
      <c r="AJ28" s="5">
        <f t="shared" ca="1" si="9"/>
        <v>2.8699692642799946E-3</v>
      </c>
      <c r="AK28" s="5">
        <f t="shared" ca="1" si="10"/>
        <v>8.1049907929282381E-3</v>
      </c>
      <c r="AM28" s="5">
        <f t="shared" ca="1" si="13"/>
        <v>4.7651352204780117E-2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1.78312</v>
      </c>
      <c r="F29" s="5">
        <v>100</v>
      </c>
      <c r="H29" s="5" t="s">
        <v>0</v>
      </c>
      <c r="I29" s="5">
        <v>25</v>
      </c>
      <c r="J29" s="5">
        <v>0.4</v>
      </c>
      <c r="L29" s="5">
        <f t="shared" ca="1" si="11"/>
        <v>41.318849999999998</v>
      </c>
      <c r="M29" s="5">
        <f t="shared" ca="1" si="11"/>
        <v>40.897550000000003</v>
      </c>
      <c r="N29" s="5">
        <f t="shared" ca="1" si="11"/>
        <v>41.318849999999998</v>
      </c>
      <c r="O29" s="5">
        <f t="shared" ca="1" si="11"/>
        <v>42.424349999999997</v>
      </c>
      <c r="P29" s="5">
        <f t="shared" ca="1" si="11"/>
        <v>41.318849999999998</v>
      </c>
      <c r="Q29" s="5">
        <f t="shared" ca="1" si="11"/>
        <v>41.318849999999998</v>
      </c>
      <c r="R29" s="5">
        <f t="shared" ca="1" si="11"/>
        <v>42.003050000000002</v>
      </c>
      <c r="S29" s="5">
        <f t="shared" ca="1" si="11"/>
        <v>41.318849999999998</v>
      </c>
      <c r="T29" s="5">
        <f t="shared" ca="1" si="11"/>
        <v>41.318849999999998</v>
      </c>
      <c r="U29" s="5">
        <f t="shared" ca="1" si="11"/>
        <v>42.424349999999997</v>
      </c>
      <c r="W29" s="5">
        <f t="shared" ca="1" si="12"/>
        <v>41.566240000000001</v>
      </c>
      <c r="Y29" s="5">
        <f ca="1">Total!E29</f>
        <v>40.897550000000003</v>
      </c>
      <c r="AB29" s="5">
        <f t="shared" ca="1" si="1"/>
        <v>1.0301350569899543E-2</v>
      </c>
      <c r="AC29" s="5">
        <f t="shared" ca="1" si="2"/>
        <v>0</v>
      </c>
      <c r="AD29" s="5">
        <f t="shared" ca="1" si="3"/>
        <v>1.0301350569899543E-2</v>
      </c>
      <c r="AE29" s="5">
        <f t="shared" ca="1" si="4"/>
        <v>3.7332309637129711E-2</v>
      </c>
      <c r="AF29" s="5">
        <f t="shared" ca="1" si="5"/>
        <v>1.0301350569899543E-2</v>
      </c>
      <c r="AG29" s="5">
        <f t="shared" ca="1" si="6"/>
        <v>1.0301350569899543E-2</v>
      </c>
      <c r="AH29" s="5">
        <f t="shared" ca="1" si="7"/>
        <v>2.703095906723017E-2</v>
      </c>
      <c r="AI29" s="5">
        <f t="shared" ca="1" si="8"/>
        <v>1.0301350569899543E-2</v>
      </c>
      <c r="AJ29" s="5">
        <f t="shared" ca="1" si="9"/>
        <v>1.0301350569899543E-2</v>
      </c>
      <c r="AK29" s="5">
        <f t="shared" ca="1" si="10"/>
        <v>3.7332309637129711E-2</v>
      </c>
      <c r="AM29" s="5">
        <f t="shared" ca="1" si="13"/>
        <v>0.16350368176088687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1.7773000000000001</v>
      </c>
      <c r="F30" s="5">
        <v>95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1"/>
        <v>28.65436</v>
      </c>
      <c r="N30" s="5">
        <f t="shared" ca="1" si="11"/>
        <v>28.65624</v>
      </c>
      <c r="O30" s="5">
        <f t="shared" ca="1" si="11"/>
        <v>28.65436</v>
      </c>
      <c r="P30" s="5">
        <f t="shared" ca="1" si="11"/>
        <v>28.65436</v>
      </c>
      <c r="Q30" s="5">
        <f t="shared" ca="1" si="11"/>
        <v>28.65436</v>
      </c>
      <c r="R30" s="5">
        <f t="shared" ca="1" si="11"/>
        <v>28.65436</v>
      </c>
      <c r="S30" s="5">
        <f t="shared" ca="1" si="11"/>
        <v>28.65436</v>
      </c>
      <c r="T30" s="5">
        <f t="shared" ca="1" si="11"/>
        <v>28.664359999999999</v>
      </c>
      <c r="U30" s="5">
        <f t="shared" ca="1" si="11"/>
        <v>28.65436</v>
      </c>
      <c r="W30" s="5">
        <f t="shared" ca="1" si="12"/>
        <v>28.655548</v>
      </c>
      <c r="Y30" s="5">
        <f ca="1">Total!E30</f>
        <v>28.65436</v>
      </c>
      <c r="AB30" s="5">
        <f t="shared" ca="1" si="1"/>
        <v>0</v>
      </c>
      <c r="AC30" s="5">
        <f t="shared" ca="1" si="2"/>
        <v>0</v>
      </c>
      <c r="AD30" s="5">
        <f t="shared" ca="1" si="3"/>
        <v>6.5609561686245368E-5</v>
      </c>
      <c r="AE30" s="5">
        <f t="shared" ca="1" si="4"/>
        <v>0</v>
      </c>
      <c r="AF30" s="5">
        <f t="shared" ca="1" si="5"/>
        <v>0</v>
      </c>
      <c r="AG30" s="5">
        <f t="shared" ca="1" si="6"/>
        <v>0</v>
      </c>
      <c r="AH30" s="5">
        <f t="shared" ca="1" si="7"/>
        <v>0</v>
      </c>
      <c r="AI30" s="5">
        <f t="shared" ca="1" si="8"/>
        <v>0</v>
      </c>
      <c r="AJ30" s="5">
        <f t="shared" ca="1" si="9"/>
        <v>3.489870302459385E-4</v>
      </c>
      <c r="AK30" s="5">
        <f t="shared" ca="1" si="10"/>
        <v>0</v>
      </c>
      <c r="AM30" s="5">
        <f t="shared" ca="1" si="13"/>
        <v>4.1459659193218386E-4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1.22397</v>
      </c>
      <c r="F31" s="5">
        <v>20</v>
      </c>
      <c r="H31" s="5" t="s">
        <v>0</v>
      </c>
      <c r="I31" s="5">
        <v>25</v>
      </c>
      <c r="J31" s="5">
        <v>1</v>
      </c>
      <c r="L31" s="5">
        <f t="shared" ca="1" si="11"/>
        <v>28.592030000000001</v>
      </c>
      <c r="M31" s="5">
        <f t="shared" ca="1" si="11"/>
        <v>28.504100000000001</v>
      </c>
      <c r="N31" s="5">
        <f t="shared" ca="1" si="11"/>
        <v>28.587009999999999</v>
      </c>
      <c r="O31" s="5">
        <f t="shared" ca="1" si="11"/>
        <v>28.592030000000001</v>
      </c>
      <c r="P31" s="5">
        <f t="shared" ca="1" si="11"/>
        <v>28.592030000000001</v>
      </c>
      <c r="Q31" s="5">
        <f t="shared" ca="1" si="11"/>
        <v>28.594360000000002</v>
      </c>
      <c r="R31" s="5">
        <f t="shared" ca="1" si="11"/>
        <v>28.514099999999999</v>
      </c>
      <c r="S31" s="5">
        <f t="shared" ca="1" si="11"/>
        <v>28.594360000000002</v>
      </c>
      <c r="T31" s="5">
        <f t="shared" ca="1" si="11"/>
        <v>28.504100000000001</v>
      </c>
      <c r="U31" s="5">
        <f t="shared" ca="1" si="11"/>
        <v>28.602029999999999</v>
      </c>
      <c r="W31" s="5">
        <f t="shared" ca="1" si="12"/>
        <v>28.567615</v>
      </c>
      <c r="Y31" s="5">
        <f ca="1">Total!E31</f>
        <v>28.504100000000001</v>
      </c>
      <c r="AB31" s="5">
        <f t="shared" ca="1" si="1"/>
        <v>3.0848193768615766E-3</v>
      </c>
      <c r="AC31" s="5">
        <f t="shared" ca="1" si="2"/>
        <v>0</v>
      </c>
      <c r="AD31" s="5">
        <f t="shared" ca="1" si="3"/>
        <v>2.9087043618285882E-3</v>
      </c>
      <c r="AE31" s="5">
        <f t="shared" ca="1" si="4"/>
        <v>3.0848193768615766E-3</v>
      </c>
      <c r="AF31" s="5">
        <f t="shared" ca="1" si="5"/>
        <v>3.0848193768615766E-3</v>
      </c>
      <c r="AG31" s="5">
        <f t="shared" ca="1" si="6"/>
        <v>3.1665620033609434E-3</v>
      </c>
      <c r="AH31" s="5">
        <f t="shared" ca="1" si="7"/>
        <v>3.5082672317308776E-4</v>
      </c>
      <c r="AI31" s="5">
        <f t="shared" ca="1" si="8"/>
        <v>3.1665620033609434E-3</v>
      </c>
      <c r="AJ31" s="5">
        <f t="shared" ca="1" si="9"/>
        <v>0</v>
      </c>
      <c r="AK31" s="5">
        <f t="shared" ca="1" si="10"/>
        <v>3.4356461000346642E-3</v>
      </c>
      <c r="AM31" s="5">
        <f t="shared" ca="1" si="13"/>
        <v>2.2282759322342957E-2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1.20719</v>
      </c>
      <c r="F32" s="5">
        <v>20</v>
      </c>
      <c r="H32" s="5" t="s">
        <v>0</v>
      </c>
      <c r="I32" s="5">
        <v>50</v>
      </c>
      <c r="J32" s="5">
        <v>0.4</v>
      </c>
      <c r="L32" s="5">
        <f t="shared" ca="1" si="11"/>
        <v>58.817329999999998</v>
      </c>
      <c r="M32" s="5">
        <f t="shared" ca="1" si="11"/>
        <v>59.179830000000003</v>
      </c>
      <c r="N32" s="5">
        <f t="shared" ca="1" si="11"/>
        <v>58.109499999999997</v>
      </c>
      <c r="O32" s="5">
        <f t="shared" ca="1" si="11"/>
        <v>57.712649999999996</v>
      </c>
      <c r="P32" s="5">
        <f t="shared" ca="1" si="11"/>
        <v>57.070059999999998</v>
      </c>
      <c r="Q32" s="5">
        <f t="shared" ca="1" si="11"/>
        <v>59.136180000000003</v>
      </c>
      <c r="R32" s="5">
        <f t="shared" ca="1" si="11"/>
        <v>59.231180000000002</v>
      </c>
      <c r="S32" s="5">
        <f t="shared" ca="1" si="11"/>
        <v>59.042850000000001</v>
      </c>
      <c r="T32" s="5">
        <f t="shared" ca="1" si="11"/>
        <v>56.901339999999998</v>
      </c>
      <c r="U32" s="5">
        <f t="shared" ca="1" si="11"/>
        <v>59.228729999999999</v>
      </c>
      <c r="W32" s="5">
        <f t="shared" ca="1" si="12"/>
        <v>58.442965000000001</v>
      </c>
      <c r="Y32" s="5">
        <f ca="1">Total!E32</f>
        <v>56.511339999999997</v>
      </c>
      <c r="AB32" s="5">
        <f t="shared" ca="1" si="1"/>
        <v>4.080579225337784E-2</v>
      </c>
      <c r="AC32" s="5">
        <f t="shared" ca="1" si="2"/>
        <v>4.7220433987231691E-2</v>
      </c>
      <c r="AD32" s="5">
        <f t="shared" ca="1" si="3"/>
        <v>2.82803416093124E-2</v>
      </c>
      <c r="AE32" s="5">
        <f t="shared" ca="1" si="4"/>
        <v>2.1257857272540336E-2</v>
      </c>
      <c r="AF32" s="5">
        <f t="shared" ca="1" si="5"/>
        <v>9.8868651849345814E-3</v>
      </c>
      <c r="AG32" s="5">
        <f t="shared" ca="1" si="6"/>
        <v>4.6448022644658686E-2</v>
      </c>
      <c r="AH32" s="5">
        <f t="shared" ca="1" si="7"/>
        <v>4.8129101168013451E-2</v>
      </c>
      <c r="AI32" s="5">
        <f t="shared" ca="1" si="8"/>
        <v>4.4796495712188113E-2</v>
      </c>
      <c r="AJ32" s="5">
        <f t="shared" ca="1" si="9"/>
        <v>6.901269727456482E-3</v>
      </c>
      <c r="AK32" s="5">
        <f t="shared" ca="1" si="10"/>
        <v>4.8085747037674244E-2</v>
      </c>
      <c r="AM32" s="5">
        <f t="shared" ca="1" si="13"/>
        <v>0.34181192659738785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1.20434</v>
      </c>
      <c r="F33" s="5">
        <v>20</v>
      </c>
      <c r="H33" s="5" t="s">
        <v>0</v>
      </c>
      <c r="I33" s="5">
        <v>50</v>
      </c>
      <c r="J33" s="5">
        <v>0.7</v>
      </c>
      <c r="L33" s="5">
        <f t="shared" ca="1" si="11"/>
        <v>53.676079999999999</v>
      </c>
      <c r="M33" s="5">
        <f t="shared" ca="1" si="11"/>
        <v>53.60275</v>
      </c>
      <c r="N33" s="5">
        <f t="shared" ca="1" si="11"/>
        <v>53.752749999999999</v>
      </c>
      <c r="O33" s="5">
        <f t="shared" ca="1" si="11"/>
        <v>53.422750000000001</v>
      </c>
      <c r="P33" s="5">
        <f t="shared" ca="1" si="11"/>
        <v>53.63597</v>
      </c>
      <c r="Q33" s="5">
        <f t="shared" ca="1" si="11"/>
        <v>53.702750000000002</v>
      </c>
      <c r="R33" s="5">
        <f t="shared" ca="1" si="11"/>
        <v>53.296080000000003</v>
      </c>
      <c r="S33" s="5">
        <f t="shared" ca="1" si="11"/>
        <v>53.545960000000001</v>
      </c>
      <c r="T33" s="5">
        <f t="shared" ca="1" si="11"/>
        <v>53.492750000000001</v>
      </c>
      <c r="U33" s="5">
        <f t="shared" ca="1" si="11"/>
        <v>53.315069999999999</v>
      </c>
      <c r="W33" s="5">
        <f t="shared" ca="1" si="12"/>
        <v>53.544291000000001</v>
      </c>
      <c r="Y33" s="5">
        <f ca="1">Total!E33</f>
        <v>53.115070000000003</v>
      </c>
      <c r="AB33" s="5">
        <f t="shared" ca="1" si="1"/>
        <v>1.0562162489854499E-2</v>
      </c>
      <c r="AC33" s="5">
        <f t="shared" ca="1" si="2"/>
        <v>9.1815750219287565E-3</v>
      </c>
      <c r="AD33" s="5">
        <f t="shared" ca="1" si="3"/>
        <v>1.200563229983498E-2</v>
      </c>
      <c r="AE33" s="5">
        <f t="shared" ca="1" si="4"/>
        <v>5.7927062884412604E-3</v>
      </c>
      <c r="AF33" s="5">
        <f t="shared" ca="1" si="5"/>
        <v>9.8070095737423941E-3</v>
      </c>
      <c r="AG33" s="5">
        <f t="shared" ca="1" si="6"/>
        <v>1.1064279873866285E-2</v>
      </c>
      <c r="AH33" s="5">
        <f t="shared" ca="1" si="7"/>
        <v>3.4078840524920809E-3</v>
      </c>
      <c r="AI33" s="5">
        <f t="shared" ca="1" si="8"/>
        <v>8.1123869365134597E-3</v>
      </c>
      <c r="AJ33" s="5">
        <f t="shared" ca="1" si="9"/>
        <v>7.110599684797516E-3</v>
      </c>
      <c r="AK33" s="5">
        <f t="shared" ca="1" si="10"/>
        <v>3.7654097038749214E-3</v>
      </c>
      <c r="AM33" s="5">
        <f t="shared" ca="1" si="13"/>
        <v>8.080964592534616E-2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1.21818</v>
      </c>
      <c r="F34" s="5">
        <v>20</v>
      </c>
      <c r="H34" s="5" t="s">
        <v>0</v>
      </c>
      <c r="I34" s="5">
        <v>50</v>
      </c>
      <c r="J34" s="5">
        <v>1</v>
      </c>
      <c r="L34" s="5">
        <f t="shared" ca="1" si="11"/>
        <v>53.386510000000001</v>
      </c>
      <c r="M34" s="5">
        <f t="shared" ca="1" si="11"/>
        <v>53.007570000000001</v>
      </c>
      <c r="N34" s="5">
        <f t="shared" ca="1" si="11"/>
        <v>53.107489999999999</v>
      </c>
      <c r="O34" s="5">
        <f t="shared" ca="1" si="11"/>
        <v>53.329839999999997</v>
      </c>
      <c r="P34" s="5">
        <f t="shared" ca="1" si="11"/>
        <v>53.20749</v>
      </c>
      <c r="Q34" s="5">
        <f t="shared" ca="1" si="11"/>
        <v>53.30659</v>
      </c>
      <c r="R34" s="5">
        <f t="shared" ca="1" si="11"/>
        <v>53.357489999999999</v>
      </c>
      <c r="S34" s="5">
        <f t="shared" ca="1" si="11"/>
        <v>53.127490000000002</v>
      </c>
      <c r="T34" s="5">
        <f t="shared" ca="1" si="11"/>
        <v>53.178319999999999</v>
      </c>
      <c r="U34" s="5">
        <f t="shared" ca="1" si="11"/>
        <v>53.324190000000002</v>
      </c>
      <c r="W34" s="5">
        <f t="shared" ca="1" si="12"/>
        <v>53.233298000000005</v>
      </c>
      <c r="Y34" s="5">
        <f ca="1">Total!E34</f>
        <v>53.003740000000001</v>
      </c>
      <c r="AB34" s="5">
        <f t="shared" ca="1" si="1"/>
        <v>7.2215658744081215E-3</v>
      </c>
      <c r="AC34" s="5">
        <f t="shared" ca="1" si="2"/>
        <v>7.2259051908425069E-5</v>
      </c>
      <c r="AD34" s="5">
        <f t="shared" ca="1" si="3"/>
        <v>1.9574090432108756E-3</v>
      </c>
      <c r="AE34" s="5">
        <f t="shared" ca="1" si="4"/>
        <v>6.1523960384681671E-3</v>
      </c>
      <c r="AF34" s="5">
        <f t="shared" ca="1" si="5"/>
        <v>3.8440683619684088E-3</v>
      </c>
      <c r="AG34" s="5">
        <f t="shared" ca="1" si="6"/>
        <v>5.7137477468570969E-3</v>
      </c>
      <c r="AH34" s="5">
        <f t="shared" ca="1" si="7"/>
        <v>6.6740573401046421E-3</v>
      </c>
      <c r="AI34" s="5">
        <f t="shared" ca="1" si="8"/>
        <v>2.3347409069624358E-3</v>
      </c>
      <c r="AJ34" s="5">
        <f t="shared" ca="1" si="9"/>
        <v>3.2937298386868331E-3</v>
      </c>
      <c r="AK34" s="5">
        <f t="shared" ca="1" si="10"/>
        <v>6.0457997869584491E-3</v>
      </c>
      <c r="AM34" s="5">
        <f t="shared" ca="1" si="13"/>
        <v>4.3309773989533451E-2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1.23546</v>
      </c>
      <c r="F35" s="5">
        <v>20</v>
      </c>
      <c r="H35" s="5" t="s">
        <v>0</v>
      </c>
      <c r="I35" s="5">
        <v>100</v>
      </c>
      <c r="J35" s="5">
        <v>0.4</v>
      </c>
      <c r="L35" s="5">
        <f t="shared" ca="1" si="11"/>
        <v>148.30403000000001</v>
      </c>
      <c r="M35" s="5">
        <f t="shared" ca="1" si="11"/>
        <v>148.27449999999999</v>
      </c>
      <c r="N35" s="5">
        <f t="shared" ca="1" si="11"/>
        <v>148.34754000000001</v>
      </c>
      <c r="O35" s="5">
        <f t="shared" ca="1" si="11"/>
        <v>148.31736000000001</v>
      </c>
      <c r="P35" s="5">
        <f t="shared" ca="1" si="11"/>
        <v>148.31617</v>
      </c>
      <c r="Q35" s="5">
        <f t="shared" ca="1" si="11"/>
        <v>148.33047999999999</v>
      </c>
      <c r="R35" s="5">
        <f t="shared" ca="1" si="11"/>
        <v>148.36131</v>
      </c>
      <c r="S35" s="5">
        <f t="shared" ca="1" si="11"/>
        <v>148.24653000000001</v>
      </c>
      <c r="T35" s="5">
        <f t="shared" ca="1" si="11"/>
        <v>148.2132</v>
      </c>
      <c r="U35" s="5">
        <f t="shared" ca="1" si="11"/>
        <v>148.34735000000001</v>
      </c>
      <c r="W35" s="5">
        <f t="shared" ca="1" si="12"/>
        <v>148.30584699999997</v>
      </c>
      <c r="Y35" s="5">
        <f ca="1">Total!E35</f>
        <v>147.96312</v>
      </c>
      <c r="AB35" s="5">
        <f t="shared" ca="1" si="1"/>
        <v>2.3040200828423193E-3</v>
      </c>
      <c r="AC35" s="5">
        <f t="shared" ca="1" si="2"/>
        <v>2.1044433234442849E-3</v>
      </c>
      <c r="AD35" s="5">
        <f t="shared" ca="1" si="3"/>
        <v>2.5980798458427054E-3</v>
      </c>
      <c r="AE35" s="5">
        <f t="shared" ca="1" si="4"/>
        <v>2.3941100998681585E-3</v>
      </c>
      <c r="AF35" s="5">
        <f t="shared" ca="1" si="5"/>
        <v>2.3860675552123804E-3</v>
      </c>
      <c r="AG35" s="5">
        <f t="shared" ca="1" si="6"/>
        <v>2.4827808443076273E-3</v>
      </c>
      <c r="AH35" s="5">
        <f t="shared" ca="1" si="7"/>
        <v>2.6911435768588792E-3</v>
      </c>
      <c r="AI35" s="5">
        <f t="shared" ca="1" si="8"/>
        <v>1.9154097318304958E-3</v>
      </c>
      <c r="AJ35" s="5">
        <f t="shared" ca="1" si="9"/>
        <v>1.6901508970613554E-3</v>
      </c>
      <c r="AK35" s="5">
        <f t="shared" ca="1" si="10"/>
        <v>2.5967957420741216E-3</v>
      </c>
      <c r="AM35" s="5">
        <f t="shared" ca="1" si="13"/>
        <v>2.316300169934233E-2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1.2017500000000001</v>
      </c>
      <c r="F36" s="5">
        <v>20</v>
      </c>
      <c r="H36" s="5" t="s">
        <v>0</v>
      </c>
      <c r="I36" s="5">
        <v>100</v>
      </c>
      <c r="J36" s="5">
        <v>0.7</v>
      </c>
      <c r="L36" s="5">
        <f t="shared" ca="1" si="11"/>
        <v>109.21594</v>
      </c>
      <c r="M36" s="5">
        <f t="shared" ca="1" si="11"/>
        <v>108.2501</v>
      </c>
      <c r="N36" s="5">
        <f t="shared" ca="1" si="11"/>
        <v>109.03919999999999</v>
      </c>
      <c r="O36" s="5">
        <f t="shared" ca="1" si="11"/>
        <v>108.69516</v>
      </c>
      <c r="P36" s="5">
        <f t="shared" ca="1" si="11"/>
        <v>108.38003</v>
      </c>
      <c r="Q36" s="5">
        <f t="shared" ca="1" si="11"/>
        <v>108.30663</v>
      </c>
      <c r="R36" s="5">
        <f t="shared" ca="1" si="11"/>
        <v>109.36002000000001</v>
      </c>
      <c r="S36" s="5">
        <f t="shared" ca="1" si="11"/>
        <v>108.80697000000001</v>
      </c>
      <c r="T36" s="5">
        <f t="shared" ca="1" si="11"/>
        <v>108.9708</v>
      </c>
      <c r="U36" s="5">
        <f t="shared" ca="1" si="11"/>
        <v>108.17594</v>
      </c>
      <c r="W36" s="5">
        <f t="shared" ca="1" si="12"/>
        <v>108.72007900000001</v>
      </c>
      <c r="Y36" s="5">
        <f ca="1">Total!E36</f>
        <v>107.28163000000001</v>
      </c>
      <c r="AB36" s="5">
        <f t="shared" ca="1" si="1"/>
        <v>1.8030207035444897E-2</v>
      </c>
      <c r="AC36" s="5">
        <f t="shared" ca="1" si="2"/>
        <v>9.0273609750336232E-3</v>
      </c>
      <c r="AD36" s="5">
        <f t="shared" ca="1" si="3"/>
        <v>1.6382767487779473E-2</v>
      </c>
      <c r="AE36" s="5">
        <f t="shared" ca="1" si="4"/>
        <v>1.317588108980069E-2</v>
      </c>
      <c r="AF36" s="5">
        <f t="shared" ca="1" si="5"/>
        <v>1.0238472327461822E-2</v>
      </c>
      <c r="AG36" s="5">
        <f t="shared" ca="1" si="6"/>
        <v>9.5542918205101038E-3</v>
      </c>
      <c r="AH36" s="5">
        <f t="shared" ca="1" si="7"/>
        <v>1.9373214221297706E-2</v>
      </c>
      <c r="AI36" s="5">
        <f t="shared" ca="1" si="8"/>
        <v>1.421809120536293E-2</v>
      </c>
      <c r="AJ36" s="5">
        <f t="shared" ca="1" si="9"/>
        <v>1.5745193282391309E-2</v>
      </c>
      <c r="AK36" s="5">
        <f t="shared" ca="1" si="10"/>
        <v>8.336096310244262E-3</v>
      </c>
      <c r="AM36" s="5">
        <f t="shared" ca="1" si="13"/>
        <v>0.13408157575532684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1.2209700000000001</v>
      </c>
      <c r="F37" s="5">
        <v>20</v>
      </c>
      <c r="H37" s="5" t="s">
        <v>0</v>
      </c>
      <c r="I37" s="5">
        <v>100</v>
      </c>
      <c r="J37" s="5">
        <v>1</v>
      </c>
      <c r="L37" s="5">
        <f t="shared" ca="1" si="11"/>
        <v>104.17919000000001</v>
      </c>
      <c r="M37" s="5">
        <f t="shared" ca="1" si="11"/>
        <v>104.12524999999999</v>
      </c>
      <c r="N37" s="5">
        <f t="shared" ca="1" si="11"/>
        <v>104.01003</v>
      </c>
      <c r="O37" s="5">
        <f t="shared" ca="1" si="11"/>
        <v>104.03419</v>
      </c>
      <c r="P37" s="5">
        <f t="shared" ca="1" si="11"/>
        <v>104.08253000000001</v>
      </c>
      <c r="Q37" s="5">
        <f t="shared" ca="1" si="11"/>
        <v>104.07829</v>
      </c>
      <c r="R37" s="5">
        <f t="shared" ca="1" si="11"/>
        <v>104.05996</v>
      </c>
      <c r="S37" s="5">
        <f t="shared" ca="1" si="11"/>
        <v>104.09253</v>
      </c>
      <c r="T37" s="5">
        <f t="shared" ca="1" si="11"/>
        <v>104.04801999999999</v>
      </c>
      <c r="U37" s="5">
        <f t="shared" ca="1" si="11"/>
        <v>103.91419</v>
      </c>
      <c r="W37" s="5">
        <f t="shared" ca="1" si="12"/>
        <v>104.06241800000001</v>
      </c>
      <c r="Y37" s="5">
        <f ca="1">Total!E37</f>
        <v>103.21266</v>
      </c>
      <c r="AB37" s="5">
        <f t="shared" ca="1" si="1"/>
        <v>9.3644519964896349E-3</v>
      </c>
      <c r="AC37" s="5">
        <f t="shared" ca="1" si="2"/>
        <v>8.8418416888005249E-3</v>
      </c>
      <c r="AD37" s="5">
        <f t="shared" ca="1" si="3"/>
        <v>7.7255057664437753E-3</v>
      </c>
      <c r="AE37" s="5">
        <f t="shared" ca="1" si="4"/>
        <v>7.9595855779707216E-3</v>
      </c>
      <c r="AF37" s="5">
        <f t="shared" ca="1" si="5"/>
        <v>8.4279389757032312E-3</v>
      </c>
      <c r="AG37" s="5">
        <f t="shared" ca="1" si="6"/>
        <v>8.3868587438788601E-3</v>
      </c>
      <c r="AH37" s="5">
        <f t="shared" ca="1" si="7"/>
        <v>8.2092642511103209E-3</v>
      </c>
      <c r="AI37" s="5">
        <f t="shared" ca="1" si="8"/>
        <v>8.5248263149113376E-3</v>
      </c>
      <c r="AJ37" s="5">
        <f t="shared" ca="1" si="9"/>
        <v>8.0935807680956422E-3</v>
      </c>
      <c r="AK37" s="5">
        <f t="shared" ca="1" si="10"/>
        <v>6.7969375074724879E-3</v>
      </c>
      <c r="AM37" s="5">
        <f t="shared" ca="1" si="13"/>
        <v>8.2330791590876529E-2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1.2282900000000001</v>
      </c>
      <c r="F38" s="5">
        <v>20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1.2088000000000001</v>
      </c>
      <c r="F39" s="5">
        <v>20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1.20835</v>
      </c>
      <c r="F40" s="5">
        <v>20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2.90219</v>
      </c>
      <c r="F41" s="5">
        <v>58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2.90273</v>
      </c>
      <c r="F42" s="5">
        <v>60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2.9103699999999999</v>
      </c>
      <c r="F43" s="5">
        <v>59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2.91743</v>
      </c>
      <c r="F44" s="5">
        <v>60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2.9227500000000002</v>
      </c>
      <c r="F45" s="5">
        <v>61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2.8978799999999998</v>
      </c>
      <c r="F46" s="5">
        <v>59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2.9209700000000001</v>
      </c>
      <c r="F47" s="5">
        <v>60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2.9034800000000001</v>
      </c>
      <c r="F48" s="5">
        <v>59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2.9203100000000002</v>
      </c>
      <c r="F49" s="5">
        <v>61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2.9011800000000001</v>
      </c>
      <c r="F50" s="5">
        <v>59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180.03666999999999</v>
      </c>
      <c r="E51" s="5">
        <v>4.6154000000000002</v>
      </c>
      <c r="F51" s="5">
        <v>95</v>
      </c>
    </row>
    <row r="52" spans="1:6" x14ac:dyDescent="0.25">
      <c r="A52" s="5" t="s">
        <v>27</v>
      </c>
      <c r="B52" s="5">
        <v>50</v>
      </c>
      <c r="C52" s="5">
        <v>1</v>
      </c>
      <c r="D52" s="5">
        <v>179.93769</v>
      </c>
      <c r="E52" s="5">
        <v>4.6261099999999997</v>
      </c>
      <c r="F52" s="5">
        <v>97</v>
      </c>
    </row>
    <row r="53" spans="1:6" x14ac:dyDescent="0.25">
      <c r="A53" s="5" t="s">
        <v>27</v>
      </c>
      <c r="B53" s="5">
        <v>50</v>
      </c>
      <c r="C53" s="5">
        <v>1</v>
      </c>
      <c r="D53" s="5">
        <v>180.67004</v>
      </c>
      <c r="E53" s="5">
        <v>4.6271699999999996</v>
      </c>
      <c r="F53" s="5">
        <v>96</v>
      </c>
    </row>
    <row r="54" spans="1:6" x14ac:dyDescent="0.25">
      <c r="A54" s="5" t="s">
        <v>27</v>
      </c>
      <c r="B54" s="5">
        <v>50</v>
      </c>
      <c r="C54" s="5">
        <v>1</v>
      </c>
      <c r="D54" s="5">
        <v>179.93772999999999</v>
      </c>
      <c r="E54" s="5">
        <v>4.5926900000000002</v>
      </c>
      <c r="F54" s="5">
        <v>96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181.95670000000001</v>
      </c>
      <c r="E55" s="5">
        <v>4.6035500000000003</v>
      </c>
      <c r="F55" s="5">
        <v>94</v>
      </c>
    </row>
    <row r="56" spans="1:6" x14ac:dyDescent="0.25">
      <c r="A56" s="5" t="s">
        <v>27</v>
      </c>
      <c r="B56" s="5">
        <v>50</v>
      </c>
      <c r="C56" s="5">
        <v>1</v>
      </c>
      <c r="D56" s="5">
        <v>181.5967</v>
      </c>
      <c r="E56" s="5">
        <v>4.6165900000000004</v>
      </c>
      <c r="F56" s="5">
        <v>97</v>
      </c>
    </row>
    <row r="57" spans="1:6" x14ac:dyDescent="0.25">
      <c r="A57" s="5" t="s">
        <v>27</v>
      </c>
      <c r="B57" s="5">
        <v>50</v>
      </c>
      <c r="C57" s="5">
        <v>1</v>
      </c>
      <c r="D57" s="5">
        <v>180.62098</v>
      </c>
      <c r="E57" s="5">
        <v>4.5949299999999997</v>
      </c>
      <c r="F57" s="5">
        <v>96</v>
      </c>
    </row>
    <row r="58" spans="1:6" x14ac:dyDescent="0.25">
      <c r="A58" s="5" t="s">
        <v>27</v>
      </c>
      <c r="B58" s="5">
        <v>50</v>
      </c>
      <c r="C58" s="5">
        <v>1</v>
      </c>
      <c r="D58" s="5">
        <v>181.80312000000001</v>
      </c>
      <c r="E58" s="5">
        <v>4.5979900000000002</v>
      </c>
      <c r="F58" s="5">
        <v>96</v>
      </c>
    </row>
    <row r="59" spans="1:6" x14ac:dyDescent="0.25">
      <c r="A59" s="5" t="s">
        <v>27</v>
      </c>
      <c r="B59" s="5">
        <v>50</v>
      </c>
      <c r="C59" s="5">
        <v>1</v>
      </c>
      <c r="D59" s="5">
        <v>182.11978999999999</v>
      </c>
      <c r="E59" s="5">
        <v>4.6138899999999996</v>
      </c>
      <c r="F59" s="5">
        <v>95</v>
      </c>
    </row>
    <row r="60" spans="1:6" x14ac:dyDescent="0.25">
      <c r="A60" s="5" t="s">
        <v>27</v>
      </c>
      <c r="B60" s="5">
        <v>50</v>
      </c>
      <c r="C60" s="5">
        <v>1</v>
      </c>
      <c r="D60" s="5">
        <v>179.94333</v>
      </c>
      <c r="E60" s="5">
        <v>4.5931499999999996</v>
      </c>
      <c r="F60" s="5">
        <v>95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5.6798000000000002</v>
      </c>
      <c r="F61" s="5">
        <v>36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5.7043699999999999</v>
      </c>
      <c r="F62" s="5">
        <v>36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5.6947299999999998</v>
      </c>
      <c r="F63" s="5">
        <v>36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5.7236500000000001</v>
      </c>
      <c r="F64" s="5">
        <v>36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5.66662</v>
      </c>
      <c r="F65" s="5">
        <v>36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5.6781100000000002</v>
      </c>
      <c r="F66" s="5">
        <v>36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5.7003899999999996</v>
      </c>
      <c r="F67" s="5">
        <v>36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5.67211</v>
      </c>
      <c r="F68" s="5">
        <v>36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5.6977099999999998</v>
      </c>
      <c r="F69" s="5">
        <v>36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5.68269</v>
      </c>
      <c r="F70" s="5">
        <v>36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259.14702</v>
      </c>
      <c r="E71" s="5">
        <v>11.675840000000001</v>
      </c>
      <c r="F71" s="5">
        <v>71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259.42732000000001</v>
      </c>
      <c r="E72" s="5">
        <v>11.660080000000001</v>
      </c>
      <c r="F72" s="5">
        <v>71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257.27665000000002</v>
      </c>
      <c r="E73" s="5">
        <v>11.71246</v>
      </c>
      <c r="F73" s="5">
        <v>71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258.82974999999999</v>
      </c>
      <c r="E74" s="5">
        <v>11.75145</v>
      </c>
      <c r="F74" s="5">
        <v>71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256.25519000000003</v>
      </c>
      <c r="E75" s="5">
        <v>11.698259999999999</v>
      </c>
      <c r="F75" s="5">
        <v>71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259.98541</v>
      </c>
      <c r="E76" s="5">
        <v>11.77758</v>
      </c>
      <c r="F76" s="5">
        <v>72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259.39821000000001</v>
      </c>
      <c r="E77" s="5">
        <v>11.69509</v>
      </c>
      <c r="F77" s="5">
        <v>71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258.31518999999997</v>
      </c>
      <c r="E78" s="5">
        <v>11.755509999999999</v>
      </c>
      <c r="F78" s="5">
        <v>71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256.92065000000002</v>
      </c>
      <c r="E79" s="5">
        <v>11.65901</v>
      </c>
      <c r="F79" s="5">
        <v>71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259.10417999999999</v>
      </c>
      <c r="E80" s="5">
        <v>11.793229999999999</v>
      </c>
      <c r="F80" s="5">
        <v>72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239.18</v>
      </c>
      <c r="E81" s="5">
        <v>30.253139999999998</v>
      </c>
      <c r="F81" s="5">
        <v>181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239.24332999999999</v>
      </c>
      <c r="E82" s="5">
        <v>30.25301</v>
      </c>
      <c r="F82" s="5">
        <v>181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238.93872999999999</v>
      </c>
      <c r="E83" s="5">
        <v>30.127379999999999</v>
      </c>
      <c r="F83" s="5">
        <v>181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239.27612999999999</v>
      </c>
      <c r="E84" s="5">
        <v>30.263490000000001</v>
      </c>
      <c r="F84" s="5">
        <v>182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239.0489</v>
      </c>
      <c r="E85" s="5">
        <v>30.191590000000001</v>
      </c>
      <c r="F85" s="5">
        <v>180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238.96333000000001</v>
      </c>
      <c r="E86" s="5">
        <v>30.181419999999999</v>
      </c>
      <c r="F86" s="5">
        <v>181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239.18256</v>
      </c>
      <c r="E87" s="5">
        <v>30.155639999999998</v>
      </c>
      <c r="F87" s="5">
        <v>181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238.95</v>
      </c>
      <c r="E88" s="5">
        <v>30.17482</v>
      </c>
      <c r="F88" s="5">
        <v>181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239.14</v>
      </c>
      <c r="E89" s="5">
        <v>30.1555</v>
      </c>
      <c r="F89" s="5">
        <v>182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239.45337000000001</v>
      </c>
      <c r="E90" s="5">
        <v>30.226520000000001</v>
      </c>
      <c r="F90" s="5">
        <v>182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0.58536999999999995</v>
      </c>
      <c r="F91" s="5">
        <v>51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0.58433000000000002</v>
      </c>
      <c r="F92" s="5">
        <v>47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0.58218000000000003</v>
      </c>
      <c r="F93" s="5">
        <v>50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0.58223999999999998</v>
      </c>
      <c r="F94" s="5">
        <v>44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0.58469000000000004</v>
      </c>
      <c r="F95" s="5">
        <v>51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0.58940000000000003</v>
      </c>
      <c r="F96" s="5">
        <v>51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0.58972999999999998</v>
      </c>
      <c r="F97" s="5">
        <v>51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0.58157999999999999</v>
      </c>
      <c r="F98" s="5">
        <v>50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0.58535000000000004</v>
      </c>
      <c r="F99" s="5">
        <v>49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0.58113999999999999</v>
      </c>
      <c r="F100" s="5">
        <v>48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0.74073</v>
      </c>
      <c r="F101" s="5">
        <v>62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0.74151999999999996</v>
      </c>
      <c r="F102" s="5">
        <v>58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0.73809999999999998</v>
      </c>
      <c r="F103" s="5">
        <v>62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0.73885000000000001</v>
      </c>
      <c r="F104" s="5">
        <v>62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0.74265000000000003</v>
      </c>
      <c r="F105" s="5">
        <v>63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0.74170000000000003</v>
      </c>
      <c r="F106" s="5">
        <v>63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0.73543999999999998</v>
      </c>
      <c r="F107" s="5">
        <v>55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0.73702000000000001</v>
      </c>
      <c r="F108" s="5">
        <v>62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0.74153000000000002</v>
      </c>
      <c r="F109" s="5">
        <v>63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0.73633000000000004</v>
      </c>
      <c r="F110" s="5">
        <v>65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1.2785899999999999</v>
      </c>
      <c r="F111" s="5">
        <v>104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1.2740899999999999</v>
      </c>
      <c r="F112" s="5">
        <v>99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1.2809200000000001</v>
      </c>
      <c r="F113" s="5">
        <v>108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1.27841</v>
      </c>
      <c r="F114" s="5">
        <v>106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1.2876000000000001</v>
      </c>
      <c r="F115" s="5">
        <v>106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1.2741899999999999</v>
      </c>
      <c r="F116" s="5">
        <v>105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1.28078</v>
      </c>
      <c r="F117" s="5">
        <v>106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1.28264</v>
      </c>
      <c r="F118" s="5">
        <v>106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1.2829999999999999</v>
      </c>
      <c r="F119" s="5">
        <v>101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1.2769900000000001</v>
      </c>
      <c r="F120" s="5">
        <v>106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4348.0289499999999</v>
      </c>
      <c r="E121" s="5">
        <v>2.01647</v>
      </c>
      <c r="F121" s="5">
        <v>53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4348.0289499999999</v>
      </c>
      <c r="E122" s="5">
        <v>2.0111599999999998</v>
      </c>
      <c r="F122" s="5">
        <v>52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4348.0289499999999</v>
      </c>
      <c r="E123" s="5">
        <v>2.0165600000000001</v>
      </c>
      <c r="F123" s="5">
        <v>55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4348.0289499999999</v>
      </c>
      <c r="E124" s="5">
        <v>2.0210499999999998</v>
      </c>
      <c r="F124" s="5">
        <v>53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4348.0289499999999</v>
      </c>
      <c r="E125" s="5">
        <v>2.0103200000000001</v>
      </c>
      <c r="F125" s="5">
        <v>54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4348.0289499999999</v>
      </c>
      <c r="E126" s="5">
        <v>2.0188000000000001</v>
      </c>
      <c r="F126" s="5">
        <v>53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2.0032800000000002</v>
      </c>
      <c r="F127" s="5">
        <v>53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2.0032399999999999</v>
      </c>
      <c r="F128" s="5">
        <v>52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2.0099800000000001</v>
      </c>
      <c r="F129" s="5">
        <v>54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4348.0289499999999</v>
      </c>
      <c r="E130" s="5">
        <v>1.9915799999999999</v>
      </c>
      <c r="F130" s="5">
        <v>52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2.8761800000000002</v>
      </c>
      <c r="F131" s="5">
        <v>74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2.89269</v>
      </c>
      <c r="F132" s="5">
        <v>75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2.8618700000000001</v>
      </c>
      <c r="F133" s="5">
        <v>75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2.86185</v>
      </c>
      <c r="F134" s="5">
        <v>74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2.8845499999999999</v>
      </c>
      <c r="F135" s="5">
        <v>73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2.87018</v>
      </c>
      <c r="F136" s="5">
        <v>75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2.8844500000000002</v>
      </c>
      <c r="F137" s="5">
        <v>75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2.8750900000000001</v>
      </c>
      <c r="F138" s="5">
        <v>74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2.88164</v>
      </c>
      <c r="F139" s="5">
        <v>76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2.8910399999999998</v>
      </c>
      <c r="F140" s="5">
        <v>75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3.5332400000000002</v>
      </c>
      <c r="F141" s="5">
        <v>90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3.5400499999999999</v>
      </c>
      <c r="F142" s="5">
        <v>92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3.5326900000000001</v>
      </c>
      <c r="F143" s="5">
        <v>91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3.5265599999999999</v>
      </c>
      <c r="F144" s="5">
        <v>93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3.5131199999999998</v>
      </c>
      <c r="F145" s="5">
        <v>90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3.5415999999999999</v>
      </c>
      <c r="F146" s="5">
        <v>92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3.5333199999999998</v>
      </c>
      <c r="F147" s="5">
        <v>91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3.5295899999999998</v>
      </c>
      <c r="F148" s="5">
        <v>91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3.5398200000000002</v>
      </c>
      <c r="F149" s="5">
        <v>90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3.5290499999999998</v>
      </c>
      <c r="F150" s="5">
        <v>93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42986.836920000002</v>
      </c>
      <c r="E151" s="5">
        <v>4.9291600000000004</v>
      </c>
      <c r="F151" s="5">
        <v>32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42986.96256</v>
      </c>
      <c r="E152" s="5">
        <v>5.0530299999999997</v>
      </c>
      <c r="F152" s="5">
        <v>33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42986.403050000001</v>
      </c>
      <c r="E153" s="5">
        <v>4.8918400000000002</v>
      </c>
      <c r="F153" s="5">
        <v>32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42986.853589999999</v>
      </c>
      <c r="E154" s="5">
        <v>4.9992299999999998</v>
      </c>
      <c r="F154" s="5">
        <v>33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42988.818220000001</v>
      </c>
      <c r="E155" s="5">
        <v>4.8938899999999999</v>
      </c>
      <c r="F155" s="5">
        <v>32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42986.853589999999</v>
      </c>
      <c r="E156" s="5">
        <v>4.88842</v>
      </c>
      <c r="F156" s="5">
        <v>32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42986.45392</v>
      </c>
      <c r="E157" s="5">
        <v>4.8925200000000002</v>
      </c>
      <c r="F157" s="5">
        <v>32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42988.963889999999</v>
      </c>
      <c r="E158" s="5">
        <v>4.92821</v>
      </c>
      <c r="F158" s="5">
        <v>32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42986.403050000001</v>
      </c>
      <c r="E159" s="5">
        <v>4.99831</v>
      </c>
      <c r="F159" s="5">
        <v>33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42986.57692</v>
      </c>
      <c r="E160" s="5">
        <v>4.9064100000000002</v>
      </c>
      <c r="F160" s="5">
        <v>32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35821.192450000002</v>
      </c>
      <c r="E161" s="5">
        <v>12.816090000000001</v>
      </c>
      <c r="F161" s="5">
        <v>80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35903.180569999997</v>
      </c>
      <c r="E162" s="5">
        <v>12.801970000000001</v>
      </c>
      <c r="F162" s="5">
        <v>80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35743.148070000003</v>
      </c>
      <c r="E163" s="5">
        <v>12.77103</v>
      </c>
      <c r="F163" s="5">
        <v>80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35949.868670000003</v>
      </c>
      <c r="E164" s="5">
        <v>12.739129999999999</v>
      </c>
      <c r="F164" s="5">
        <v>79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35875.124530000001</v>
      </c>
      <c r="E165" s="5">
        <v>12.7508</v>
      </c>
      <c r="F165" s="5">
        <v>79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35698.194660000001</v>
      </c>
      <c r="E166" s="5">
        <v>12.790480000000001</v>
      </c>
      <c r="F166" s="5">
        <v>80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35803.27089</v>
      </c>
      <c r="E167" s="5">
        <v>12.813789999999999</v>
      </c>
      <c r="F167" s="5">
        <v>80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35804.601920000001</v>
      </c>
      <c r="E168" s="5">
        <v>12.809839999999999</v>
      </c>
      <c r="F168" s="5">
        <v>80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35776.068249999997</v>
      </c>
      <c r="E169" s="5">
        <v>12.749930000000001</v>
      </c>
      <c r="F169" s="5">
        <v>80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35801.986349999999</v>
      </c>
      <c r="E170" s="5">
        <v>12.81006</v>
      </c>
      <c r="F170" s="5">
        <v>80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35246.565909999998</v>
      </c>
      <c r="E171" s="5">
        <v>28.614920000000001</v>
      </c>
      <c r="F171" s="5">
        <v>181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35379.988100000002</v>
      </c>
      <c r="E172" s="5">
        <v>28.509170000000001</v>
      </c>
      <c r="F172" s="5">
        <v>181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35279.208100000003</v>
      </c>
      <c r="E173" s="5">
        <v>28.508839999999999</v>
      </c>
      <c r="F173" s="5">
        <v>188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35282.365270000002</v>
      </c>
      <c r="E174" s="5">
        <v>28.603000000000002</v>
      </c>
      <c r="F174" s="5">
        <v>182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35276.497410000004</v>
      </c>
      <c r="E175" s="5">
        <v>28.510439999999999</v>
      </c>
      <c r="F175" s="5">
        <v>182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35282.827319999997</v>
      </c>
      <c r="E176" s="5">
        <v>28.585380000000001</v>
      </c>
      <c r="F176" s="5">
        <v>181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35251.641580000003</v>
      </c>
      <c r="E177" s="5">
        <v>28.592469999999999</v>
      </c>
      <c r="F177" s="5">
        <v>183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35315.974260000003</v>
      </c>
      <c r="E178" s="5">
        <v>28.50216</v>
      </c>
      <c r="F178" s="5">
        <v>181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35270.430590000004</v>
      </c>
      <c r="E179" s="5">
        <v>28.515560000000001</v>
      </c>
      <c r="F179" s="5">
        <v>183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35309.423329999998</v>
      </c>
      <c r="E180" s="5">
        <v>28.500720000000001</v>
      </c>
      <c r="F180" s="5">
        <v>181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0.74168999999999996</v>
      </c>
      <c r="F181" s="5">
        <v>37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0.73951999999999996</v>
      </c>
      <c r="F182" s="5">
        <v>43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0.73145000000000004</v>
      </c>
      <c r="F183" s="5">
        <v>42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0.73655000000000004</v>
      </c>
      <c r="F184" s="5">
        <v>43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0.73836999999999997</v>
      </c>
      <c r="F185" s="5">
        <v>43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0.73431000000000002</v>
      </c>
      <c r="F186" s="5">
        <v>42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0.73206000000000004</v>
      </c>
      <c r="F187" s="5">
        <v>38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0.73728000000000005</v>
      </c>
      <c r="F188" s="5">
        <v>43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0.73219999999999996</v>
      </c>
      <c r="F189" s="5">
        <v>42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0.73468</v>
      </c>
      <c r="F190" s="5">
        <v>42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675.36989000000005</v>
      </c>
      <c r="E191" s="5">
        <v>1.13615</v>
      </c>
      <c r="F191" s="5">
        <v>66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675.36989000000005</v>
      </c>
      <c r="E192" s="5">
        <v>1.1434899999999999</v>
      </c>
      <c r="F192" s="5">
        <v>68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675.36989000000005</v>
      </c>
      <c r="E193" s="5">
        <v>1.14575</v>
      </c>
      <c r="F193" s="5">
        <v>69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675.36989000000005</v>
      </c>
      <c r="E194" s="5">
        <v>1.1464799999999999</v>
      </c>
      <c r="F194" s="5">
        <v>64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675.36989000000005</v>
      </c>
      <c r="E195" s="5">
        <v>1.1441399999999999</v>
      </c>
      <c r="F195" s="5">
        <v>69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675.36989000000005</v>
      </c>
      <c r="E196" s="5">
        <v>1.1444000000000001</v>
      </c>
      <c r="F196" s="5">
        <v>68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675.36581000000001</v>
      </c>
      <c r="E197" s="5">
        <v>1.14652</v>
      </c>
      <c r="F197" s="5">
        <v>64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675.36989000000005</v>
      </c>
      <c r="E198" s="5">
        <v>1.1401600000000001</v>
      </c>
      <c r="F198" s="5">
        <v>69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675.36989000000005</v>
      </c>
      <c r="E199" s="5">
        <v>1.1391</v>
      </c>
      <c r="F199" s="5">
        <v>68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675.36989000000005</v>
      </c>
      <c r="E200" s="5">
        <v>1.1365099999999999</v>
      </c>
      <c r="F200" s="5">
        <v>69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657.45713999999998</v>
      </c>
      <c r="E201" s="5">
        <v>2.0719599999999998</v>
      </c>
      <c r="F201" s="5">
        <v>123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655.43295999999998</v>
      </c>
      <c r="E202" s="5">
        <v>2.0703900000000002</v>
      </c>
      <c r="F202" s="5">
        <v>118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655.43907999999999</v>
      </c>
      <c r="E203" s="5">
        <v>2.0679599999999998</v>
      </c>
      <c r="F203" s="5">
        <v>122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656.34612000000004</v>
      </c>
      <c r="E204" s="5">
        <v>2.0706500000000001</v>
      </c>
      <c r="F204" s="5">
        <v>117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656.34204</v>
      </c>
      <c r="E205" s="5">
        <v>2.0695700000000001</v>
      </c>
      <c r="F205" s="5">
        <v>122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655.46475999999996</v>
      </c>
      <c r="E206" s="5">
        <v>2.0775899999999998</v>
      </c>
      <c r="F206" s="5">
        <v>117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655.43907999999999</v>
      </c>
      <c r="E207" s="5">
        <v>2.0722800000000001</v>
      </c>
      <c r="F207" s="5">
        <v>122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655.43295999999998</v>
      </c>
      <c r="E208" s="5">
        <v>2.0766300000000002</v>
      </c>
      <c r="F208" s="5">
        <v>118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655.43907999999999</v>
      </c>
      <c r="E209" s="5">
        <v>2.0685500000000001</v>
      </c>
      <c r="F209" s="5">
        <v>120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657.48895000000005</v>
      </c>
      <c r="E210" s="5">
        <v>2.07667</v>
      </c>
      <c r="F210" s="5">
        <v>120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1460.0209400000001</v>
      </c>
      <c r="E211" s="5">
        <v>1.5906100000000001</v>
      </c>
      <c r="F211" s="5">
        <v>36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1460.0209400000001</v>
      </c>
      <c r="E212" s="5">
        <v>1.59531</v>
      </c>
      <c r="F212" s="5">
        <v>39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1460.0209400000001</v>
      </c>
      <c r="E213" s="5">
        <v>1.5940399999999999</v>
      </c>
      <c r="F213" s="5">
        <v>39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1461.0148899999999</v>
      </c>
      <c r="E214" s="5">
        <v>1.6076900000000001</v>
      </c>
      <c r="F214" s="5">
        <v>40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1459.9687899999999</v>
      </c>
      <c r="E215" s="5">
        <v>1.6084700000000001</v>
      </c>
      <c r="F215" s="5">
        <v>40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1460.0209400000001</v>
      </c>
      <c r="E216" s="5">
        <v>1.58809</v>
      </c>
      <c r="F216" s="5">
        <v>38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1480.3732500000001</v>
      </c>
      <c r="E217" s="5">
        <v>1.6115600000000001</v>
      </c>
      <c r="F217" s="5">
        <v>40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1461.0218600000001</v>
      </c>
      <c r="E218" s="5">
        <v>1.5862400000000001</v>
      </c>
      <c r="F218" s="5">
        <v>38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1460.86079</v>
      </c>
      <c r="E219" s="5">
        <v>1.6086400000000001</v>
      </c>
      <c r="F219" s="5">
        <v>40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1459.9687899999999</v>
      </c>
      <c r="E220" s="5">
        <v>1.6141399999999999</v>
      </c>
      <c r="F220" s="5">
        <v>40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1020.22756</v>
      </c>
      <c r="E221" s="5">
        <v>4.5530200000000001</v>
      </c>
      <c r="F221" s="5">
        <v>108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1016.10597</v>
      </c>
      <c r="E222" s="5">
        <v>4.5641600000000002</v>
      </c>
      <c r="F222" s="5">
        <v>109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1030.67138</v>
      </c>
      <c r="E223" s="5">
        <v>4.56236</v>
      </c>
      <c r="F223" s="5">
        <v>110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1017.51896</v>
      </c>
      <c r="E224" s="5">
        <v>4.5627899999999997</v>
      </c>
      <c r="F224" s="5">
        <v>108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1025.21408</v>
      </c>
      <c r="E225" s="5">
        <v>4.54108</v>
      </c>
      <c r="F225" s="5">
        <v>109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1034.5387000000001</v>
      </c>
      <c r="E226" s="5">
        <v>4.5418799999999999</v>
      </c>
      <c r="F226" s="5">
        <v>109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1022.7754</v>
      </c>
      <c r="E227" s="5">
        <v>4.5670599999999997</v>
      </c>
      <c r="F227" s="5">
        <v>109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1018.69697</v>
      </c>
      <c r="E228" s="5">
        <v>4.5689799999999998</v>
      </c>
      <c r="F228" s="5">
        <v>111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1017.68084</v>
      </c>
      <c r="E229" s="5">
        <v>4.5648299999999997</v>
      </c>
      <c r="F229" s="5">
        <v>110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1015.25731</v>
      </c>
      <c r="E230" s="5">
        <v>4.5461499999999999</v>
      </c>
      <c r="F230" s="5">
        <v>108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991.72</v>
      </c>
      <c r="E231" s="5">
        <v>8.4019200000000005</v>
      </c>
      <c r="F231" s="5">
        <v>198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995.27017999999998</v>
      </c>
      <c r="E232" s="5">
        <v>8.4120200000000001</v>
      </c>
      <c r="F232" s="5">
        <v>195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996.91871000000003</v>
      </c>
      <c r="E233" s="5">
        <v>8.3949200000000008</v>
      </c>
      <c r="F233" s="5">
        <v>197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996.27311999999995</v>
      </c>
      <c r="E234" s="5">
        <v>8.3991799999999994</v>
      </c>
      <c r="F234" s="5">
        <v>197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996.40502000000004</v>
      </c>
      <c r="E235" s="5">
        <v>8.4084599999999998</v>
      </c>
      <c r="F235" s="5">
        <v>196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996.74486999999999</v>
      </c>
      <c r="E236" s="5">
        <v>8.3982200000000002</v>
      </c>
      <c r="F236" s="5">
        <v>196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996.85631000000001</v>
      </c>
      <c r="E237" s="5">
        <v>8.3990200000000002</v>
      </c>
      <c r="F237" s="5">
        <v>196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993.19537000000003</v>
      </c>
      <c r="E238" s="5">
        <v>8.4020399999999995</v>
      </c>
      <c r="F238" s="5">
        <v>197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994.03</v>
      </c>
      <c r="E239" s="5">
        <v>8.4178700000000006</v>
      </c>
      <c r="F239" s="5">
        <v>197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994.11932000000002</v>
      </c>
      <c r="E240" s="5">
        <v>8.4033800000000003</v>
      </c>
      <c r="F240" s="5">
        <v>197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1872.3536899999999</v>
      </c>
      <c r="E241" s="5">
        <v>5.1513900000000001</v>
      </c>
      <c r="F241" s="5">
        <v>36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1863.9382800000001</v>
      </c>
      <c r="E242" s="5">
        <v>5.12765</v>
      </c>
      <c r="F242" s="5">
        <v>36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1883.9188099999999</v>
      </c>
      <c r="E243" s="5">
        <v>5.0556000000000001</v>
      </c>
      <c r="F243" s="5">
        <v>35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1840.54973</v>
      </c>
      <c r="E244" s="5">
        <v>5.1340700000000004</v>
      </c>
      <c r="F244" s="5">
        <v>36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1866.5589600000001</v>
      </c>
      <c r="E245" s="5">
        <v>5.1903800000000002</v>
      </c>
      <c r="F245" s="5">
        <v>36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1853.9656399999999</v>
      </c>
      <c r="E246" s="5">
        <v>5.1438499999999996</v>
      </c>
      <c r="F246" s="5">
        <v>36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1886.6991499999999</v>
      </c>
      <c r="E247" s="5">
        <v>5.1001099999999999</v>
      </c>
      <c r="F247" s="5">
        <v>36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1876.7621200000001</v>
      </c>
      <c r="E248" s="5">
        <v>5.1605499999999997</v>
      </c>
      <c r="F248" s="5">
        <v>36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1881.5698</v>
      </c>
      <c r="E249" s="5">
        <v>5.1369699999999998</v>
      </c>
      <c r="F249" s="5">
        <v>36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1907.6023</v>
      </c>
      <c r="E250" s="5">
        <v>5.1340300000000001</v>
      </c>
      <c r="F250" s="5">
        <v>36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1783.63222</v>
      </c>
      <c r="E251" s="5">
        <v>9.4468499999999995</v>
      </c>
      <c r="F251" s="5">
        <v>65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1801.29</v>
      </c>
      <c r="E252" s="5">
        <v>9.4279899999999994</v>
      </c>
      <c r="F252" s="5">
        <v>64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1787.59637</v>
      </c>
      <c r="E253" s="5">
        <v>9.3753200000000003</v>
      </c>
      <c r="F253" s="5">
        <v>64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1799.12447</v>
      </c>
      <c r="E254" s="5">
        <v>9.4961699999999993</v>
      </c>
      <c r="F254" s="5">
        <v>65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1794.8432</v>
      </c>
      <c r="E255" s="5">
        <v>9.4961699999999993</v>
      </c>
      <c r="F255" s="5">
        <v>65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1803.4990399999999</v>
      </c>
      <c r="E256" s="5">
        <v>9.3969500000000004</v>
      </c>
      <c r="F256" s="5">
        <v>64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1790.5698199999999</v>
      </c>
      <c r="E257" s="5">
        <v>9.4657999999999998</v>
      </c>
      <c r="F257" s="5">
        <v>65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1798.36</v>
      </c>
      <c r="E258" s="5">
        <v>9.4163399999999999</v>
      </c>
      <c r="F258" s="5">
        <v>64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1794.50333</v>
      </c>
      <c r="E259" s="5">
        <v>9.4354399999999998</v>
      </c>
      <c r="F259" s="5">
        <v>65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1797.40346</v>
      </c>
      <c r="E260" s="5">
        <v>9.40733</v>
      </c>
      <c r="F260" s="5">
        <v>64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1758.98117</v>
      </c>
      <c r="E261" s="5">
        <v>15.376720000000001</v>
      </c>
      <c r="F261" s="5">
        <v>104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1760.0361700000001</v>
      </c>
      <c r="E262" s="5">
        <v>15.39639</v>
      </c>
      <c r="F262" s="5">
        <v>105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1758.50893</v>
      </c>
      <c r="E263" s="5">
        <v>15.46088</v>
      </c>
      <c r="F263" s="5">
        <v>104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1766.8833299999999</v>
      </c>
      <c r="E264" s="5">
        <v>15.41709</v>
      </c>
      <c r="F264" s="5">
        <v>104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1774.48</v>
      </c>
      <c r="E265" s="5">
        <v>15.44961</v>
      </c>
      <c r="F265" s="5">
        <v>104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1757.1851999999999</v>
      </c>
      <c r="E266" s="5">
        <v>15.41404</v>
      </c>
      <c r="F266" s="5">
        <v>105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1754.3252</v>
      </c>
      <c r="E267" s="5">
        <v>15.39728</v>
      </c>
      <c r="F267" s="5">
        <v>105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1758.8566699999999</v>
      </c>
      <c r="E268" s="5">
        <v>15.45744</v>
      </c>
      <c r="F268" s="5">
        <v>105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1758.15122</v>
      </c>
      <c r="E269" s="5">
        <v>15.33564</v>
      </c>
      <c r="F269" s="5">
        <v>105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1767.3288399999999</v>
      </c>
      <c r="E270" s="5">
        <v>15.34435</v>
      </c>
      <c r="F270" s="5">
        <v>104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41.318849999999998</v>
      </c>
      <c r="E271" s="5">
        <v>0.58521000000000001</v>
      </c>
      <c r="F271" s="5">
        <v>40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40.897550000000003</v>
      </c>
      <c r="E272" s="5">
        <v>0.58579999999999999</v>
      </c>
      <c r="F272" s="5">
        <v>37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41.318849999999998</v>
      </c>
      <c r="E273" s="5">
        <v>0.59518000000000004</v>
      </c>
      <c r="F273" s="5">
        <v>41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42.424349999999997</v>
      </c>
      <c r="E274" s="5">
        <v>0.59050999999999998</v>
      </c>
      <c r="F274" s="5">
        <v>41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41.318849999999998</v>
      </c>
      <c r="E275" s="5">
        <v>0.59153</v>
      </c>
      <c r="F275" s="5">
        <v>41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41.318849999999998</v>
      </c>
      <c r="E276" s="5">
        <v>0.58618999999999999</v>
      </c>
      <c r="F276" s="5">
        <v>41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42.003050000000002</v>
      </c>
      <c r="E277" s="5">
        <v>0.58804999999999996</v>
      </c>
      <c r="F277" s="5">
        <v>38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41.318849999999998</v>
      </c>
      <c r="E278" s="5">
        <v>0.5907</v>
      </c>
      <c r="F278" s="5">
        <v>40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41.318849999999998</v>
      </c>
      <c r="E279" s="5">
        <v>0.59197</v>
      </c>
      <c r="F279" s="5">
        <v>41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42.424349999999997</v>
      </c>
      <c r="E280" s="5">
        <v>0.59035000000000004</v>
      </c>
      <c r="F280" s="5">
        <v>40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0.88258000000000003</v>
      </c>
      <c r="F281" s="5">
        <v>63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0.87397999999999998</v>
      </c>
      <c r="F282" s="5">
        <v>69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28.65624</v>
      </c>
      <c r="E283" s="5">
        <v>0.88266999999999995</v>
      </c>
      <c r="F283" s="5">
        <v>69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0.87563999999999997</v>
      </c>
      <c r="F284" s="5">
        <v>69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0.87800999999999996</v>
      </c>
      <c r="F285" s="5">
        <v>62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28.65436</v>
      </c>
      <c r="E286" s="5">
        <v>0.87755000000000005</v>
      </c>
      <c r="F286" s="5">
        <v>68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28.65436</v>
      </c>
      <c r="E287" s="5">
        <v>0.87451999999999996</v>
      </c>
      <c r="F287" s="5">
        <v>67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0.88139000000000001</v>
      </c>
      <c r="F288" s="5">
        <v>66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28.664359999999999</v>
      </c>
      <c r="E289" s="5">
        <v>0.88685999999999998</v>
      </c>
      <c r="F289" s="5">
        <v>66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0.87412999999999996</v>
      </c>
      <c r="F290" s="5">
        <v>63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28.592030000000001</v>
      </c>
      <c r="E291" s="5">
        <v>1.1375999999999999</v>
      </c>
      <c r="F291" s="5">
        <v>80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28.504100000000001</v>
      </c>
      <c r="E292" s="5">
        <v>1.1386000000000001</v>
      </c>
      <c r="F292" s="5">
        <v>85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28.587009999999999</v>
      </c>
      <c r="E293" s="5">
        <v>1.13351</v>
      </c>
      <c r="F293" s="5">
        <v>85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28.592030000000001</v>
      </c>
      <c r="E294" s="5">
        <v>1.1371899999999999</v>
      </c>
      <c r="F294" s="5">
        <v>84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28.592030000000001</v>
      </c>
      <c r="E295" s="5">
        <v>1.1315500000000001</v>
      </c>
      <c r="F295" s="5">
        <v>77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28.594360000000002</v>
      </c>
      <c r="E296" s="5">
        <v>1.1342000000000001</v>
      </c>
      <c r="F296" s="5">
        <v>83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28.514099999999999</v>
      </c>
      <c r="E297" s="5">
        <v>1.1348199999999999</v>
      </c>
      <c r="F297" s="5">
        <v>84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28.594360000000002</v>
      </c>
      <c r="E298" s="5">
        <v>1.13378</v>
      </c>
      <c r="F298" s="5">
        <v>84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28.504100000000001</v>
      </c>
      <c r="E299" s="5">
        <v>1.1330100000000001</v>
      </c>
      <c r="F299" s="5">
        <v>74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28.602029999999999</v>
      </c>
      <c r="E300" s="5">
        <v>1.13931</v>
      </c>
      <c r="F300" s="5">
        <v>81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58.817329999999998</v>
      </c>
      <c r="E301" s="5">
        <v>1.92123</v>
      </c>
      <c r="F301" s="5">
        <v>45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59.179830000000003</v>
      </c>
      <c r="E302" s="5">
        <v>1.93544</v>
      </c>
      <c r="F302" s="5">
        <v>45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58.109499999999997</v>
      </c>
      <c r="E303" s="5">
        <v>1.9268700000000001</v>
      </c>
      <c r="F303" s="5">
        <v>46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57.712649999999996</v>
      </c>
      <c r="E304" s="5">
        <v>1.9356</v>
      </c>
      <c r="F304" s="5">
        <v>45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57.070059999999998</v>
      </c>
      <c r="E305" s="5">
        <v>1.9355199999999999</v>
      </c>
      <c r="F305" s="5">
        <v>46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59.136180000000003</v>
      </c>
      <c r="E306" s="5">
        <v>1.93842</v>
      </c>
      <c r="F306" s="5">
        <v>45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59.231180000000002</v>
      </c>
      <c r="E307" s="5">
        <v>1.9345699999999999</v>
      </c>
      <c r="F307" s="5">
        <v>46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59.042850000000001</v>
      </c>
      <c r="E308" s="5">
        <v>1.9394</v>
      </c>
      <c r="F308" s="5">
        <v>45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56.901339999999998</v>
      </c>
      <c r="E309" s="5">
        <v>1.9237200000000001</v>
      </c>
      <c r="F309" s="5">
        <v>46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59.228729999999999</v>
      </c>
      <c r="E310" s="5">
        <v>1.93316</v>
      </c>
      <c r="F310" s="5">
        <v>46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53.676079999999999</v>
      </c>
      <c r="E311" s="5">
        <v>3.7563800000000001</v>
      </c>
      <c r="F311" s="5">
        <v>84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53.60275</v>
      </c>
      <c r="E312" s="5">
        <v>3.7654299999999998</v>
      </c>
      <c r="F312" s="5">
        <v>85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53.752749999999999</v>
      </c>
      <c r="E313" s="5">
        <v>3.7734399999999999</v>
      </c>
      <c r="F313" s="5">
        <v>85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53.422750000000001</v>
      </c>
      <c r="E314" s="5">
        <v>3.7585700000000002</v>
      </c>
      <c r="F314" s="5">
        <v>87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53.63597</v>
      </c>
      <c r="E315" s="5">
        <v>3.7691400000000002</v>
      </c>
      <c r="F315" s="5">
        <v>85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53.702750000000002</v>
      </c>
      <c r="E316" s="5">
        <v>3.7682799999999999</v>
      </c>
      <c r="F316" s="5">
        <v>86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53.296080000000003</v>
      </c>
      <c r="E317" s="5">
        <v>3.7665799999999998</v>
      </c>
      <c r="F317" s="5">
        <v>85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53.545960000000001</v>
      </c>
      <c r="E318" s="5">
        <v>3.7695400000000001</v>
      </c>
      <c r="F318" s="5">
        <v>85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53.492750000000001</v>
      </c>
      <c r="E319" s="5">
        <v>3.7733300000000001</v>
      </c>
      <c r="F319" s="5">
        <v>85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53.315069999999999</v>
      </c>
      <c r="E320" s="5">
        <v>3.7707199999999998</v>
      </c>
      <c r="F320" s="5">
        <v>86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53.386510000000001</v>
      </c>
      <c r="E321" s="5">
        <v>6.0869200000000001</v>
      </c>
      <c r="F321" s="5">
        <v>131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53.007570000000001</v>
      </c>
      <c r="E322" s="5">
        <v>6.0743499999999999</v>
      </c>
      <c r="F322" s="5">
        <v>133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53.107489999999999</v>
      </c>
      <c r="E323" s="5">
        <v>6.0803399999999996</v>
      </c>
      <c r="F323" s="5">
        <v>132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53.329839999999997</v>
      </c>
      <c r="E324" s="5">
        <v>6.1056400000000002</v>
      </c>
      <c r="F324" s="5">
        <v>133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53.20749</v>
      </c>
      <c r="E325" s="5">
        <v>6.0926400000000003</v>
      </c>
      <c r="F325" s="5">
        <v>134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53.30659</v>
      </c>
      <c r="E326" s="5">
        <v>6.07653</v>
      </c>
      <c r="F326" s="5">
        <v>132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53.357489999999999</v>
      </c>
      <c r="E327" s="5">
        <v>6.0852899999999996</v>
      </c>
      <c r="F327" s="5">
        <v>134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53.127490000000002</v>
      </c>
      <c r="E328" s="5">
        <v>6.1081000000000003</v>
      </c>
      <c r="F328" s="5">
        <v>132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53.178319999999999</v>
      </c>
      <c r="E329" s="5">
        <v>6.10534</v>
      </c>
      <c r="F329" s="5">
        <v>134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53.324190000000002</v>
      </c>
      <c r="E330" s="5">
        <v>6.0948399999999996</v>
      </c>
      <c r="F330" s="5">
        <v>131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148.30403000000001</v>
      </c>
      <c r="E331" s="5">
        <v>7.1485599999999998</v>
      </c>
      <c r="F331" s="5">
        <v>49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148.27449999999999</v>
      </c>
      <c r="E332" s="5">
        <v>7.0361799999999999</v>
      </c>
      <c r="F332" s="5">
        <v>48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148.34754000000001</v>
      </c>
      <c r="E333" s="5">
        <v>7.0761099999999999</v>
      </c>
      <c r="F333" s="5">
        <v>48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148.31736000000001</v>
      </c>
      <c r="E334" s="5">
        <v>7.0918700000000001</v>
      </c>
      <c r="F334" s="5">
        <v>48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148.31617</v>
      </c>
      <c r="E335" s="5">
        <v>7.05403</v>
      </c>
      <c r="F335" s="5">
        <v>48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148.33047999999999</v>
      </c>
      <c r="E336" s="5">
        <v>7.0909599999999999</v>
      </c>
      <c r="F336" s="5">
        <v>48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148.36131</v>
      </c>
      <c r="E337" s="5">
        <v>7.1667100000000001</v>
      </c>
      <c r="F337" s="5">
        <v>49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148.24653000000001</v>
      </c>
      <c r="E338" s="5">
        <v>7.09795</v>
      </c>
      <c r="F338" s="5">
        <v>49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148.2132</v>
      </c>
      <c r="E339" s="5">
        <v>7.1383099999999997</v>
      </c>
      <c r="F339" s="5">
        <v>49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148.34735000000001</v>
      </c>
      <c r="E340" s="5">
        <v>7.1117999999999997</v>
      </c>
      <c r="F340" s="5">
        <v>49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109.21594</v>
      </c>
      <c r="E341" s="5">
        <v>16.861270000000001</v>
      </c>
      <c r="F341" s="5">
        <v>111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108.2501</v>
      </c>
      <c r="E342" s="5">
        <v>16.85887</v>
      </c>
      <c r="F342" s="5">
        <v>112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109.03919999999999</v>
      </c>
      <c r="E343" s="5">
        <v>16.88214</v>
      </c>
      <c r="F343" s="5">
        <v>111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108.69516</v>
      </c>
      <c r="E344" s="5">
        <v>16.81812</v>
      </c>
      <c r="F344" s="5">
        <v>111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108.38003</v>
      </c>
      <c r="E345" s="5">
        <v>16.880420000000001</v>
      </c>
      <c r="F345" s="5">
        <v>112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108.30663</v>
      </c>
      <c r="E346" s="5">
        <v>16.886859999999999</v>
      </c>
      <c r="F346" s="5">
        <v>112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109.36002000000001</v>
      </c>
      <c r="E347" s="5">
        <v>16.893840000000001</v>
      </c>
      <c r="F347" s="5">
        <v>111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108.80697000000001</v>
      </c>
      <c r="E348" s="5">
        <v>16.81485</v>
      </c>
      <c r="F348" s="5">
        <v>111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108.9708</v>
      </c>
      <c r="E349" s="5">
        <v>16.790839999999999</v>
      </c>
      <c r="F349" s="5">
        <v>111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108.17594</v>
      </c>
      <c r="E350" s="5">
        <v>16.791139999999999</v>
      </c>
      <c r="F350" s="5">
        <v>111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104.17919000000001</v>
      </c>
      <c r="E351" s="5">
        <v>29.415279999999999</v>
      </c>
      <c r="F351" s="5">
        <v>190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104.12524999999999</v>
      </c>
      <c r="E352" s="5">
        <v>29.36018</v>
      </c>
      <c r="F352" s="5">
        <v>190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104.01003</v>
      </c>
      <c r="E353" s="5">
        <v>29.40147</v>
      </c>
      <c r="F353" s="5">
        <v>190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104.03419</v>
      </c>
      <c r="E354" s="5">
        <v>29.389189999999999</v>
      </c>
      <c r="F354" s="5">
        <v>189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104.08253000000001</v>
      </c>
      <c r="E355" s="5">
        <v>29.37283</v>
      </c>
      <c r="F355" s="5">
        <v>190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104.07829</v>
      </c>
      <c r="E356" s="5">
        <v>29.42285</v>
      </c>
      <c r="F356" s="5">
        <v>190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104.05996</v>
      </c>
      <c r="E357" s="5">
        <v>29.434999999999999</v>
      </c>
      <c r="F357" s="5">
        <v>192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104.09253</v>
      </c>
      <c r="E358" s="5">
        <v>29.460070000000002</v>
      </c>
      <c r="F358" s="5">
        <v>190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104.04801999999999</v>
      </c>
      <c r="E359" s="5">
        <v>29.411269999999998</v>
      </c>
      <c r="F359" s="5">
        <v>191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103.91419</v>
      </c>
      <c r="E360" s="5">
        <v>29.436540000000001</v>
      </c>
      <c r="F360" s="5">
        <v>192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0.54706999999999995</v>
      </c>
      <c r="F361" s="5">
        <v>33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0.55078000000000005</v>
      </c>
      <c r="F362" s="5">
        <v>30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0.54691000000000001</v>
      </c>
      <c r="F363" s="5">
        <v>26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0.54645999999999995</v>
      </c>
      <c r="F364" s="5">
        <v>34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0.54157999999999995</v>
      </c>
      <c r="F365" s="5">
        <v>32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0.55105999999999999</v>
      </c>
      <c r="F366" s="5">
        <v>32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0.54569999999999996</v>
      </c>
      <c r="F367" s="5">
        <v>32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0.55088000000000004</v>
      </c>
      <c r="F368" s="5">
        <v>34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0.55244000000000004</v>
      </c>
      <c r="F369" s="5">
        <v>34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0.54705000000000004</v>
      </c>
      <c r="F370" s="5">
        <v>31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0.87348999999999999</v>
      </c>
      <c r="F371" s="5">
        <v>52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0.88178999999999996</v>
      </c>
      <c r="F372" s="5">
        <v>55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0.87653999999999999</v>
      </c>
      <c r="F373" s="5">
        <v>57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0.87951999999999997</v>
      </c>
      <c r="F374" s="5">
        <v>57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0.87156</v>
      </c>
      <c r="F375" s="5">
        <v>56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0.87383</v>
      </c>
      <c r="F376" s="5">
        <v>49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0.87621000000000004</v>
      </c>
      <c r="F377" s="5">
        <v>54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0.88224999999999998</v>
      </c>
      <c r="F378" s="5">
        <v>55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0.87475999999999998</v>
      </c>
      <c r="F379" s="5">
        <v>55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0.88307999999999998</v>
      </c>
      <c r="F380" s="5">
        <v>56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1.1596299999999999</v>
      </c>
      <c r="F381" s="5">
        <v>71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1.1573100000000001</v>
      </c>
      <c r="F382" s="5">
        <v>72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1.1536299999999999</v>
      </c>
      <c r="F383" s="5">
        <v>67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1.15615</v>
      </c>
      <c r="F384" s="5">
        <v>73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1.15724</v>
      </c>
      <c r="F385" s="5">
        <v>72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1.15062</v>
      </c>
      <c r="F386" s="5">
        <v>72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1.1511800000000001</v>
      </c>
      <c r="F387" s="5">
        <v>65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1.1488799999999999</v>
      </c>
      <c r="F388" s="5">
        <v>72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1.1582399999999999</v>
      </c>
      <c r="F389" s="5">
        <v>73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1.15726</v>
      </c>
      <c r="F390" s="5">
        <v>68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1.1397299999999999</v>
      </c>
      <c r="F391" s="5">
        <v>20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1.1287100000000001</v>
      </c>
      <c r="F392" s="5">
        <v>21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1.1343300000000001</v>
      </c>
      <c r="F393" s="5">
        <v>21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1.1270500000000001</v>
      </c>
      <c r="F394" s="5">
        <v>20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1.1335599999999999</v>
      </c>
      <c r="F395" s="5">
        <v>21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1.1435900000000001</v>
      </c>
      <c r="F396" s="5">
        <v>21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1.1507099999999999</v>
      </c>
      <c r="F397" s="5">
        <v>20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1.1403000000000001</v>
      </c>
      <c r="F398" s="5">
        <v>21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1.14724</v>
      </c>
      <c r="F399" s="5">
        <v>21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1.1377999999999999</v>
      </c>
      <c r="F400" s="5">
        <v>21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2.5227599999999999</v>
      </c>
      <c r="F401" s="5">
        <v>46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2.4983900000000001</v>
      </c>
      <c r="F402" s="5">
        <v>45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2.5205299999999999</v>
      </c>
      <c r="F403" s="5">
        <v>45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2.5209600000000001</v>
      </c>
      <c r="F404" s="5">
        <v>46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2.4931700000000001</v>
      </c>
      <c r="F405" s="5">
        <v>45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2.4906799999999998</v>
      </c>
      <c r="F406" s="5">
        <v>46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2.5202800000000001</v>
      </c>
      <c r="F407" s="5">
        <v>46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2.4972099999999999</v>
      </c>
      <c r="F408" s="5">
        <v>45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2.4911799999999999</v>
      </c>
      <c r="F409" s="5">
        <v>46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2.4906700000000002</v>
      </c>
      <c r="F410" s="5">
        <v>45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2.74593</v>
      </c>
      <c r="F411" s="5">
        <v>48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2.7278899999999999</v>
      </c>
      <c r="F412" s="5">
        <v>49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2.73665</v>
      </c>
      <c r="F413" s="5">
        <v>49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2.7438600000000002</v>
      </c>
      <c r="F414" s="5">
        <v>48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2.7423999999999999</v>
      </c>
      <c r="F415" s="5">
        <v>49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2.7465899999999999</v>
      </c>
      <c r="F416" s="5">
        <v>49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2.7350599999999998</v>
      </c>
      <c r="F417" s="5">
        <v>48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2.7587100000000002</v>
      </c>
      <c r="F418" s="5">
        <v>50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2.75074</v>
      </c>
      <c r="F419" s="5">
        <v>48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2.7536399999999999</v>
      </c>
      <c r="F420" s="5">
        <v>49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3.0838899999999998</v>
      </c>
      <c r="F421" s="5">
        <v>22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3.0791200000000001</v>
      </c>
      <c r="F422" s="5">
        <v>22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3.0789800000000001</v>
      </c>
      <c r="F423" s="5">
        <v>22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3.0569799999999998</v>
      </c>
      <c r="F424" s="5">
        <v>22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3.0457000000000001</v>
      </c>
      <c r="F425" s="5">
        <v>22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3.0567500000000001</v>
      </c>
      <c r="F426" s="5">
        <v>22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3.05227</v>
      </c>
      <c r="F427" s="5">
        <v>22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3.0720999999999998</v>
      </c>
      <c r="F428" s="5">
        <v>22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3.0740400000000001</v>
      </c>
      <c r="F429" s="5">
        <v>22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3.0731600000000001</v>
      </c>
      <c r="F430" s="5">
        <v>22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3.8033100000000002</v>
      </c>
      <c r="F431" s="5">
        <v>26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3.80585</v>
      </c>
      <c r="F432" s="5">
        <v>27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3.81671</v>
      </c>
      <c r="F433" s="5">
        <v>27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3.8058999999999998</v>
      </c>
      <c r="F434" s="5">
        <v>27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3.84056</v>
      </c>
      <c r="F435" s="5">
        <v>27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3.8086700000000002</v>
      </c>
      <c r="F436" s="5">
        <v>27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3.7851699999999999</v>
      </c>
      <c r="F437" s="5">
        <v>27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3.8361399999999999</v>
      </c>
      <c r="F438" s="5">
        <v>27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3.8139799999999999</v>
      </c>
      <c r="F439" s="5">
        <v>27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3.82301</v>
      </c>
      <c r="F440" s="5">
        <v>27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5.5281000000000002</v>
      </c>
      <c r="F441" s="5">
        <v>33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5.47173</v>
      </c>
      <c r="F442" s="5">
        <v>33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5.5994000000000002</v>
      </c>
      <c r="F443" s="5">
        <v>33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5.5720299999999998</v>
      </c>
      <c r="F444" s="5">
        <v>35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5.5662500000000001</v>
      </c>
      <c r="F445" s="5">
        <v>35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5.4767700000000001</v>
      </c>
      <c r="F446" s="5">
        <v>35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5.6005500000000001</v>
      </c>
      <c r="F447" s="5">
        <v>35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5.5549099999999996</v>
      </c>
      <c r="F448" s="5">
        <v>35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5.4626000000000001</v>
      </c>
      <c r="F449" s="5">
        <v>34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5.4645599999999996</v>
      </c>
      <c r="F450" s="5">
        <v>34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R1"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0.54915000000000003</v>
      </c>
      <c r="F1" s="5">
        <v>25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0.55184999999999995</v>
      </c>
      <c r="F2" s="5">
        <v>26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0.55117000000000005</v>
      </c>
      <c r="F3" s="5">
        <v>26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170.35004000000001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0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0.54576999999999998</v>
      </c>
      <c r="F4" s="5">
        <v>20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0.57198000000000004</v>
      </c>
      <c r="F5" s="5">
        <v>27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0.55247000000000002</v>
      </c>
      <c r="F6" s="5">
        <v>19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0.54932999999999998</v>
      </c>
      <c r="F7" s="5">
        <v>23</v>
      </c>
      <c r="H7" s="5" t="s">
        <v>27</v>
      </c>
      <c r="I7" s="5">
        <v>50</v>
      </c>
      <c r="J7" s="5">
        <v>1</v>
      </c>
      <c r="L7" s="5">
        <f t="shared" ca="1" si="11"/>
        <v>182.34583000000001</v>
      </c>
      <c r="M7" s="5">
        <f t="shared" ca="1" si="0"/>
        <v>179.93769</v>
      </c>
      <c r="N7" s="5">
        <f t="shared" ca="1" si="0"/>
        <v>179.67332999999999</v>
      </c>
      <c r="O7" s="5">
        <f t="shared" ca="1" si="0"/>
        <v>180.25484</v>
      </c>
      <c r="P7" s="5">
        <f t="shared" ca="1" si="0"/>
        <v>179.94333</v>
      </c>
      <c r="Q7" s="5">
        <f t="shared" ca="1" si="0"/>
        <v>182.34583000000001</v>
      </c>
      <c r="R7" s="5">
        <f t="shared" ca="1" si="0"/>
        <v>182.07667000000001</v>
      </c>
      <c r="S7" s="5">
        <f t="shared" ca="1" si="0"/>
        <v>182.34583000000001</v>
      </c>
      <c r="T7" s="5">
        <f t="shared" ca="1" si="0"/>
        <v>181.5967</v>
      </c>
      <c r="U7" s="5">
        <f t="shared" ca="1" si="0"/>
        <v>180.56969000000001</v>
      </c>
      <c r="W7" s="5">
        <f t="shared" ca="1" si="12"/>
        <v>181.10897400000002</v>
      </c>
      <c r="Y7" s="5">
        <f ca="1">Total!E7</f>
        <v>179.67332999999999</v>
      </c>
      <c r="AB7" s="5">
        <f t="shared" ca="1" si="1"/>
        <v>1.4874216446035779E-2</v>
      </c>
      <c r="AC7" s="5">
        <f t="shared" ca="1" si="2"/>
        <v>1.4713368979136225E-3</v>
      </c>
      <c r="AD7" s="5">
        <f t="shared" ca="1" si="3"/>
        <v>0</v>
      </c>
      <c r="AE7" s="5">
        <f t="shared" ca="1" si="4"/>
        <v>3.2364847915937701E-3</v>
      </c>
      <c r="AF7" s="5">
        <f t="shared" ca="1" si="5"/>
        <v>1.5027271994124572E-3</v>
      </c>
      <c r="AG7" s="5">
        <f t="shared" ca="1" si="6"/>
        <v>1.4874216446035779E-2</v>
      </c>
      <c r="AH7" s="5">
        <f t="shared" ca="1" si="7"/>
        <v>1.3376164397910444E-2</v>
      </c>
      <c r="AI7" s="5">
        <f t="shared" ca="1" si="8"/>
        <v>1.4874216446035779E-2</v>
      </c>
      <c r="AJ7" s="5">
        <f t="shared" ca="1" si="9"/>
        <v>1.0704816346421618E-2</v>
      </c>
      <c r="AK7" s="5">
        <f t="shared" ca="1" si="10"/>
        <v>4.9888316757974909E-3</v>
      </c>
      <c r="AM7" s="5">
        <f t="shared" ca="1" si="13"/>
        <v>7.9903010647156741E-2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0.54888999999999999</v>
      </c>
      <c r="F8" s="5">
        <v>25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0.55335999999999996</v>
      </c>
      <c r="F9" s="5">
        <v>22</v>
      </c>
      <c r="H9" s="5" t="s">
        <v>27</v>
      </c>
      <c r="I9" s="5">
        <v>100</v>
      </c>
      <c r="J9" s="5">
        <v>0.7</v>
      </c>
      <c r="L9" s="5">
        <f t="shared" ca="1" si="11"/>
        <v>256.58694000000003</v>
      </c>
      <c r="M9" s="5">
        <f t="shared" ca="1" si="0"/>
        <v>258.71722</v>
      </c>
      <c r="N9" s="5">
        <f t="shared" ca="1" si="0"/>
        <v>256.53282999999999</v>
      </c>
      <c r="O9" s="5">
        <f t="shared" ca="1" si="0"/>
        <v>258.15060999999997</v>
      </c>
      <c r="P9" s="5">
        <f t="shared" ca="1" si="0"/>
        <v>256.78617000000003</v>
      </c>
      <c r="Q9" s="5">
        <f t="shared" ca="1" si="0"/>
        <v>258.46994000000001</v>
      </c>
      <c r="R9" s="5">
        <f t="shared" ca="1" si="0"/>
        <v>257.44711000000001</v>
      </c>
      <c r="S9" s="5">
        <f t="shared" ca="1" si="0"/>
        <v>258.79205999999999</v>
      </c>
      <c r="T9" s="5">
        <f t="shared" ca="1" si="0"/>
        <v>258.80128999999999</v>
      </c>
      <c r="U9" s="5">
        <f t="shared" ca="1" si="0"/>
        <v>256.17185000000001</v>
      </c>
      <c r="W9" s="5">
        <f t="shared" ca="1" si="12"/>
        <v>257.645602</v>
      </c>
      <c r="Y9" s="5">
        <f ca="1">Total!E9</f>
        <v>255.18879999999999</v>
      </c>
      <c r="AB9" s="5">
        <f t="shared" ca="1" si="1"/>
        <v>5.4788454665723602E-3</v>
      </c>
      <c r="AC9" s="5">
        <f t="shared" ca="1" si="2"/>
        <v>1.3826703993278747E-2</v>
      </c>
      <c r="AD9" s="5">
        <f t="shared" ca="1" si="3"/>
        <v>5.2668063802173279E-3</v>
      </c>
      <c r="AE9" s="5">
        <f t="shared" ca="1" si="4"/>
        <v>1.1606347927495195E-2</v>
      </c>
      <c r="AF9" s="5">
        <f t="shared" ca="1" si="5"/>
        <v>6.2595615481558778E-3</v>
      </c>
      <c r="AG9" s="5">
        <f t="shared" ca="1" si="6"/>
        <v>1.2857695949038602E-2</v>
      </c>
      <c r="AH9" s="5">
        <f t="shared" ca="1" si="7"/>
        <v>8.8495654981724237E-3</v>
      </c>
      <c r="AI9" s="5">
        <f t="shared" ca="1" si="8"/>
        <v>1.411997705228445E-2</v>
      </c>
      <c r="AJ9" s="5">
        <f t="shared" ca="1" si="9"/>
        <v>1.4156146351250558E-2</v>
      </c>
      <c r="AK9" s="5">
        <f t="shared" ca="1" si="10"/>
        <v>3.8522458665898348E-3</v>
      </c>
      <c r="AM9" s="5">
        <f t="shared" ca="1" si="13"/>
        <v>9.6273896033055362E-2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0.54659000000000002</v>
      </c>
      <c r="F10" s="5">
        <v>25</v>
      </c>
      <c r="H10" s="5" t="s">
        <v>27</v>
      </c>
      <c r="I10" s="5">
        <v>100</v>
      </c>
      <c r="J10" s="5">
        <v>1</v>
      </c>
      <c r="L10" s="5">
        <f t="shared" ca="1" si="11"/>
        <v>239.11667</v>
      </c>
      <c r="M10" s="5">
        <f t="shared" ca="1" si="0"/>
        <v>239.19873000000001</v>
      </c>
      <c r="N10" s="5">
        <f t="shared" ca="1" si="0"/>
        <v>239.61258000000001</v>
      </c>
      <c r="O10" s="5">
        <f t="shared" ca="1" si="0"/>
        <v>239.08756</v>
      </c>
      <c r="P10" s="5">
        <f t="shared" ca="1" si="0"/>
        <v>239.56759</v>
      </c>
      <c r="Q10" s="5">
        <f t="shared" ca="1" si="0"/>
        <v>240.35</v>
      </c>
      <c r="R10" s="5">
        <f t="shared" ca="1" si="0"/>
        <v>239.12036000000001</v>
      </c>
      <c r="S10" s="5">
        <f t="shared" ca="1" si="0"/>
        <v>239.16</v>
      </c>
      <c r="T10" s="5">
        <f t="shared" ca="1" si="0"/>
        <v>239.40593000000001</v>
      </c>
      <c r="U10" s="5">
        <f t="shared" ca="1" si="0"/>
        <v>239.42823000000001</v>
      </c>
      <c r="W10" s="5">
        <f t="shared" ca="1" si="12"/>
        <v>239.404765</v>
      </c>
      <c r="Y10" s="5">
        <f ca="1">Total!E10</f>
        <v>238.77667</v>
      </c>
      <c r="AB10" s="5">
        <f t="shared" ca="1" si="1"/>
        <v>1.4239247075520545E-3</v>
      </c>
      <c r="AC10" s="5">
        <f t="shared" ca="1" si="2"/>
        <v>1.7675931237336382E-3</v>
      </c>
      <c r="AD10" s="5">
        <f t="shared" ca="1" si="3"/>
        <v>3.5008026537936584E-3</v>
      </c>
      <c r="AE10" s="5">
        <f t="shared" ca="1" si="4"/>
        <v>1.3020116245025133E-3</v>
      </c>
      <c r="AF10" s="5">
        <f t="shared" ca="1" si="5"/>
        <v>3.3123839108737041E-3</v>
      </c>
      <c r="AG10" s="5">
        <f t="shared" ca="1" si="6"/>
        <v>6.589127823920145E-3</v>
      </c>
      <c r="AH10" s="5">
        <f t="shared" ca="1" si="7"/>
        <v>1.4393784786428648E-3</v>
      </c>
      <c r="AI10" s="5">
        <f t="shared" ca="1" si="8"/>
        <v>1.6053913474880139E-3</v>
      </c>
      <c r="AJ10" s="5">
        <f t="shared" ca="1" si="9"/>
        <v>2.6353495925712355E-3</v>
      </c>
      <c r="AK10" s="5">
        <f t="shared" ca="1" si="10"/>
        <v>2.7287423013312721E-3</v>
      </c>
      <c r="AM10" s="5">
        <f t="shared" ca="1" si="13"/>
        <v>2.63047055644091E-2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1.4273800000000001</v>
      </c>
      <c r="F11" s="5">
        <v>86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1.4236800000000001</v>
      </c>
      <c r="F12" s="5">
        <v>91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1.4309400000000001</v>
      </c>
      <c r="F13" s="5">
        <v>94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1.4306300000000001</v>
      </c>
      <c r="F14" s="5">
        <v>89</v>
      </c>
      <c r="H14" s="5" t="s">
        <v>2</v>
      </c>
      <c r="I14" s="5">
        <v>47</v>
      </c>
      <c r="J14" s="5">
        <v>0.4</v>
      </c>
      <c r="L14" s="5">
        <f t="shared" ca="1" si="11"/>
        <v>4348.0289499999999</v>
      </c>
      <c r="M14" s="5">
        <f t="shared" ca="1" si="0"/>
        <v>4350.8413700000001</v>
      </c>
      <c r="N14" s="5">
        <f t="shared" ca="1" si="0"/>
        <v>4348.0289499999999</v>
      </c>
      <c r="O14" s="5">
        <f t="shared" ca="1" si="0"/>
        <v>4348.0289499999999</v>
      </c>
      <c r="P14" s="5">
        <f t="shared" ca="1" si="0"/>
        <v>4348.0289499999999</v>
      </c>
      <c r="Q14" s="5">
        <f t="shared" ca="1" si="0"/>
        <v>4348.0289499999999</v>
      </c>
      <c r="R14" s="5">
        <f t="shared" ca="1" si="0"/>
        <v>4348.0289499999999</v>
      </c>
      <c r="S14" s="5">
        <f t="shared" ca="1" si="0"/>
        <v>4348.0289499999999</v>
      </c>
      <c r="T14" s="5">
        <f t="shared" ca="1" si="0"/>
        <v>4348.0289499999999</v>
      </c>
      <c r="U14" s="5">
        <f t="shared" ca="1" si="0"/>
        <v>4350.8413700000001</v>
      </c>
      <c r="W14" s="5">
        <f t="shared" ca="1" si="12"/>
        <v>4348.5914339999999</v>
      </c>
      <c r="Y14" s="5">
        <f ca="1">Total!E14</f>
        <v>4348.0289499999999</v>
      </c>
      <c r="AB14" s="5">
        <f t="shared" ca="1" si="1"/>
        <v>0</v>
      </c>
      <c r="AC14" s="5">
        <f t="shared" ca="1" si="2"/>
        <v>6.4682642004952661E-4</v>
      </c>
      <c r="AD14" s="5">
        <f t="shared" ca="1" si="3"/>
        <v>0</v>
      </c>
      <c r="AE14" s="5">
        <f t="shared" ca="1" si="4"/>
        <v>0</v>
      </c>
      <c r="AF14" s="5">
        <f t="shared" ca="1" si="5"/>
        <v>0</v>
      </c>
      <c r="AG14" s="5">
        <f t="shared" ca="1" si="6"/>
        <v>0</v>
      </c>
      <c r="AH14" s="5">
        <f t="shared" ca="1" si="7"/>
        <v>0</v>
      </c>
      <c r="AI14" s="5">
        <f t="shared" ca="1" si="8"/>
        <v>0</v>
      </c>
      <c r="AJ14" s="5">
        <f t="shared" ca="1" si="9"/>
        <v>0</v>
      </c>
      <c r="AK14" s="5">
        <f t="shared" ca="1" si="10"/>
        <v>6.4682642004952661E-4</v>
      </c>
      <c r="AM14" s="5">
        <f t="shared" ca="1" si="13"/>
        <v>1.2936528400990532E-3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1.42916</v>
      </c>
      <c r="F15" s="5">
        <v>93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1.4295899999999999</v>
      </c>
      <c r="F16" s="5">
        <v>93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1.42258</v>
      </c>
      <c r="F17" s="5">
        <v>88</v>
      </c>
      <c r="H17" s="5" t="s">
        <v>2</v>
      </c>
      <c r="I17" s="5">
        <v>100</v>
      </c>
      <c r="J17" s="5">
        <v>0.4</v>
      </c>
      <c r="L17" s="5">
        <f t="shared" ca="1" si="11"/>
        <v>42986.673049999998</v>
      </c>
      <c r="M17" s="5">
        <f t="shared" ca="1" si="0"/>
        <v>42986.345820000002</v>
      </c>
      <c r="N17" s="5">
        <f t="shared" ca="1" si="0"/>
        <v>42986.673049999998</v>
      </c>
      <c r="O17" s="5">
        <f t="shared" ca="1" si="0"/>
        <v>42987.644590000004</v>
      </c>
      <c r="P17" s="5">
        <f t="shared" ca="1" si="0"/>
        <v>42986.403050000001</v>
      </c>
      <c r="Q17" s="5">
        <f t="shared" ca="1" si="0"/>
        <v>42987.644590000004</v>
      </c>
      <c r="R17" s="5">
        <f t="shared" ca="1" si="0"/>
        <v>42986.802479999998</v>
      </c>
      <c r="S17" s="5">
        <f t="shared" ca="1" si="0"/>
        <v>42986.45392</v>
      </c>
      <c r="T17" s="5">
        <f t="shared" ca="1" si="0"/>
        <v>42986.673049999998</v>
      </c>
      <c r="U17" s="5">
        <f t="shared" ca="1" si="0"/>
        <v>42986.836920000002</v>
      </c>
      <c r="W17" s="5">
        <f t="shared" ca="1" si="12"/>
        <v>42986.815052000005</v>
      </c>
      <c r="Y17" s="5">
        <f ca="1">Total!E17</f>
        <v>42986.193919999998</v>
      </c>
      <c r="AB17" s="5">
        <f t="shared" ca="1" si="1"/>
        <v>1.1146136847830832E-5</v>
      </c>
      <c r="AC17" s="5">
        <f t="shared" ca="1" si="2"/>
        <v>3.5336927081072652E-6</v>
      </c>
      <c r="AD17" s="5">
        <f t="shared" ca="1" si="3"/>
        <v>1.1146136847830832E-5</v>
      </c>
      <c r="AE17" s="5">
        <f t="shared" ca="1" si="4"/>
        <v>3.3747346943658645E-5</v>
      </c>
      <c r="AF17" s="5">
        <f t="shared" ca="1" si="5"/>
        <v>4.8650504018131747E-6</v>
      </c>
      <c r="AG17" s="5">
        <f t="shared" ca="1" si="6"/>
        <v>3.3747346943658645E-5</v>
      </c>
      <c r="AH17" s="5">
        <f t="shared" ca="1" si="7"/>
        <v>1.4157103583842479E-5</v>
      </c>
      <c r="AI17" s="5">
        <f t="shared" ca="1" si="8"/>
        <v>6.04845361480278E-6</v>
      </c>
      <c r="AJ17" s="5">
        <f t="shared" ca="1" si="9"/>
        <v>1.1146136847830832E-5</v>
      </c>
      <c r="AK17" s="5">
        <f t="shared" ca="1" si="10"/>
        <v>1.4958291055038052E-5</v>
      </c>
      <c r="AM17" s="5">
        <f t="shared" ca="1" si="13"/>
        <v>1.4449569579441356E-4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1.4260600000000001</v>
      </c>
      <c r="F18" s="5">
        <v>93</v>
      </c>
      <c r="H18" s="5" t="s">
        <v>2</v>
      </c>
      <c r="I18" s="5">
        <v>100</v>
      </c>
      <c r="J18" s="5">
        <v>0.7</v>
      </c>
      <c r="L18" s="5">
        <f t="shared" ca="1" si="11"/>
        <v>35397.55083</v>
      </c>
      <c r="M18" s="5">
        <f t="shared" ca="1" si="11"/>
        <v>35597.437570000002</v>
      </c>
      <c r="N18" s="5">
        <f t="shared" ca="1" si="11"/>
        <v>35765.892</v>
      </c>
      <c r="O18" s="5">
        <f t="shared" ca="1" si="11"/>
        <v>35579.21542</v>
      </c>
      <c r="P18" s="5">
        <f t="shared" ca="1" si="11"/>
        <v>35336.072039999999</v>
      </c>
      <c r="Q18" s="5">
        <f t="shared" ca="1" si="11"/>
        <v>35571.893900000003</v>
      </c>
      <c r="R18" s="5">
        <f t="shared" ca="1" si="11"/>
        <v>35595.838609999999</v>
      </c>
      <c r="S18" s="5">
        <f t="shared" ca="1" si="11"/>
        <v>35750.447849999997</v>
      </c>
      <c r="T18" s="5">
        <f t="shared" ca="1" si="11"/>
        <v>35641.497560000003</v>
      </c>
      <c r="U18" s="5">
        <f t="shared" ca="1" si="11"/>
        <v>35599.420570000002</v>
      </c>
      <c r="W18" s="5">
        <f t="shared" ca="1" si="12"/>
        <v>35583.526635000002</v>
      </c>
      <c r="Y18" s="5">
        <f ca="1">Total!E18</f>
        <v>35336.072039999999</v>
      </c>
      <c r="AB18" s="5">
        <f t="shared" ca="1" si="1"/>
        <v>1.7398308994391847E-3</v>
      </c>
      <c r="AC18" s="5">
        <f t="shared" ca="1" si="2"/>
        <v>7.3965643296215891E-3</v>
      </c>
      <c r="AD18" s="5">
        <f t="shared" ca="1" si="3"/>
        <v>1.216377302812406E-2</v>
      </c>
      <c r="AE18" s="5">
        <f t="shared" ca="1" si="4"/>
        <v>6.8808830739524761E-3</v>
      </c>
      <c r="AF18" s="5">
        <f t="shared" ca="1" si="5"/>
        <v>0</v>
      </c>
      <c r="AG18" s="5">
        <f t="shared" ca="1" si="6"/>
        <v>6.6736863037028058E-3</v>
      </c>
      <c r="AH18" s="5">
        <f t="shared" ca="1" si="7"/>
        <v>7.351314252074968E-3</v>
      </c>
      <c r="AI18" s="5">
        <f t="shared" ca="1" si="8"/>
        <v>1.172670832035121E-2</v>
      </c>
      <c r="AJ18" s="5">
        <f t="shared" ca="1" si="9"/>
        <v>8.6434485319779285E-3</v>
      </c>
      <c r="AK18" s="5">
        <f t="shared" ca="1" si="10"/>
        <v>7.4526826213704694E-3</v>
      </c>
      <c r="AM18" s="5">
        <f t="shared" ca="1" si="13"/>
        <v>7.0028891360614701E-2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1.42709</v>
      </c>
      <c r="F19" s="5">
        <v>93</v>
      </c>
      <c r="H19" s="5" t="s">
        <v>2</v>
      </c>
      <c r="I19" s="5">
        <v>100</v>
      </c>
      <c r="J19" s="5">
        <v>1</v>
      </c>
      <c r="L19" s="5">
        <f t="shared" ca="1" si="11"/>
        <v>35246.867899999997</v>
      </c>
      <c r="M19" s="5">
        <f t="shared" ca="1" si="11"/>
        <v>35307.038330000003</v>
      </c>
      <c r="N19" s="5">
        <f t="shared" ca="1" si="11"/>
        <v>35244.03901</v>
      </c>
      <c r="O19" s="5">
        <f t="shared" ca="1" si="11"/>
        <v>35354.054859999997</v>
      </c>
      <c r="P19" s="5">
        <f t="shared" ca="1" si="11"/>
        <v>35272.774299999997</v>
      </c>
      <c r="Q19" s="5">
        <f t="shared" ca="1" si="11"/>
        <v>35272.600709999999</v>
      </c>
      <c r="R19" s="5">
        <f t="shared" ca="1" si="11"/>
        <v>35304.502719999997</v>
      </c>
      <c r="S19" s="5">
        <f t="shared" ca="1" si="11"/>
        <v>35247.82</v>
      </c>
      <c r="T19" s="5">
        <f t="shared" ca="1" si="11"/>
        <v>35283.446669999998</v>
      </c>
      <c r="U19" s="5">
        <f t="shared" ca="1" si="11"/>
        <v>35250.980000000003</v>
      </c>
      <c r="W19" s="5">
        <f t="shared" ca="1" si="12"/>
        <v>35278.412449999989</v>
      </c>
      <c r="Y19" s="5">
        <f ca="1">Total!E19</f>
        <v>35203.853329999998</v>
      </c>
      <c r="AB19" s="5">
        <f t="shared" ca="1" si="1"/>
        <v>1.2218710718051775E-3</v>
      </c>
      <c r="AC19" s="5">
        <f t="shared" ca="1" si="2"/>
        <v>2.9310711822581313E-3</v>
      </c>
      <c r="AD19" s="5">
        <f t="shared" ca="1" si="3"/>
        <v>1.1415136753156767E-3</v>
      </c>
      <c r="AE19" s="5">
        <f t="shared" ca="1" si="4"/>
        <v>4.2666218550569809E-3</v>
      </c>
      <c r="AF19" s="5">
        <f t="shared" ca="1" si="5"/>
        <v>1.9577677862118062E-3</v>
      </c>
      <c r="AG19" s="5">
        <f t="shared" ca="1" si="6"/>
        <v>1.9528367919149237E-3</v>
      </c>
      <c r="AH19" s="5">
        <f t="shared" ca="1" si="7"/>
        <v>2.8590446919691983E-3</v>
      </c>
      <c r="AI19" s="5">
        <f t="shared" ca="1" si="8"/>
        <v>1.2489164066177415E-3</v>
      </c>
      <c r="AJ19" s="5">
        <f t="shared" ca="1" si="9"/>
        <v>2.2609269290464755E-3</v>
      </c>
      <c r="AK19" s="5">
        <f t="shared" ca="1" si="10"/>
        <v>1.3386793075815008E-3</v>
      </c>
      <c r="AM19" s="5">
        <f t="shared" ca="1" si="13"/>
        <v>2.1179249697777611E-2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1.43164</v>
      </c>
      <c r="F20" s="5">
        <v>90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1.7696499999999999</v>
      </c>
      <c r="F21" s="5">
        <v>110</v>
      </c>
      <c r="H21" s="5" t="s">
        <v>1</v>
      </c>
      <c r="I21" s="5">
        <v>30</v>
      </c>
      <c r="J21" s="5">
        <v>0.7</v>
      </c>
      <c r="L21" s="5">
        <f t="shared" ca="1" si="11"/>
        <v>675.36989000000005</v>
      </c>
      <c r="M21" s="5">
        <f t="shared" ca="1" si="11"/>
        <v>675.36989000000005</v>
      </c>
      <c r="N21" s="5">
        <f t="shared" ca="1" si="11"/>
        <v>677.26074000000006</v>
      </c>
      <c r="O21" s="5">
        <f t="shared" ca="1" si="11"/>
        <v>677.27696000000003</v>
      </c>
      <c r="P21" s="5">
        <f t="shared" ca="1" si="11"/>
        <v>675.36581000000001</v>
      </c>
      <c r="Q21" s="5">
        <f t="shared" ca="1" si="11"/>
        <v>675.36581000000001</v>
      </c>
      <c r="R21" s="5">
        <f t="shared" ca="1" si="11"/>
        <v>675.36989000000005</v>
      </c>
      <c r="S21" s="5">
        <f t="shared" ca="1" si="11"/>
        <v>675.78093999999999</v>
      </c>
      <c r="T21" s="5">
        <f t="shared" ca="1" si="11"/>
        <v>675.47965999999997</v>
      </c>
      <c r="U21" s="5">
        <f t="shared" ca="1" si="11"/>
        <v>675.36989000000005</v>
      </c>
      <c r="W21" s="5">
        <f t="shared" ca="1" si="12"/>
        <v>675.80094799999995</v>
      </c>
      <c r="Y21" s="5">
        <f ca="1">Total!E21</f>
        <v>675.36581000000001</v>
      </c>
      <c r="AB21" s="5">
        <f t="shared" ca="1" si="1"/>
        <v>6.0411704881010963E-6</v>
      </c>
      <c r="AC21" s="5">
        <f t="shared" ca="1" si="2"/>
        <v>6.0411704881010963E-6</v>
      </c>
      <c r="AD21" s="5">
        <f t="shared" ca="1" si="3"/>
        <v>2.8057831355129525E-3</v>
      </c>
      <c r="AE21" s="5">
        <f t="shared" ca="1" si="4"/>
        <v>2.8297997495609385E-3</v>
      </c>
      <c r="AF21" s="5">
        <f t="shared" ca="1" si="5"/>
        <v>0</v>
      </c>
      <c r="AG21" s="5">
        <f t="shared" ca="1" si="6"/>
        <v>0</v>
      </c>
      <c r="AH21" s="5">
        <f t="shared" ca="1" si="7"/>
        <v>6.0411704881010963E-6</v>
      </c>
      <c r="AI21" s="5">
        <f t="shared" ca="1" si="8"/>
        <v>6.1467429036713664E-4</v>
      </c>
      <c r="AJ21" s="5">
        <f t="shared" ca="1" si="9"/>
        <v>1.685753088388598E-4</v>
      </c>
      <c r="AK21" s="5">
        <f t="shared" ca="1" si="10"/>
        <v>6.0411704881010963E-6</v>
      </c>
      <c r="AM21" s="5">
        <f t="shared" ca="1" si="13"/>
        <v>6.4429971662322916E-3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1.77871</v>
      </c>
      <c r="F22" s="5">
        <v>114</v>
      </c>
      <c r="H22" s="5" t="s">
        <v>1</v>
      </c>
      <c r="I22" s="5">
        <v>30</v>
      </c>
      <c r="J22" s="5">
        <v>1</v>
      </c>
      <c r="L22" s="5">
        <f t="shared" ca="1" si="11"/>
        <v>655.43295999999998</v>
      </c>
      <c r="M22" s="5">
        <f t="shared" ca="1" si="11"/>
        <v>657.32992999999999</v>
      </c>
      <c r="N22" s="5">
        <f t="shared" ca="1" si="11"/>
        <v>656.34204</v>
      </c>
      <c r="O22" s="5">
        <f t="shared" ca="1" si="11"/>
        <v>655.43295999999998</v>
      </c>
      <c r="P22" s="5">
        <f t="shared" ca="1" si="11"/>
        <v>657.95457999999996</v>
      </c>
      <c r="Q22" s="5">
        <f t="shared" ca="1" si="11"/>
        <v>657.46325999999999</v>
      </c>
      <c r="R22" s="5">
        <f t="shared" ca="1" si="11"/>
        <v>657.35562000000004</v>
      </c>
      <c r="S22" s="5">
        <f t="shared" ca="1" si="11"/>
        <v>657.32380999999998</v>
      </c>
      <c r="T22" s="5">
        <f t="shared" ca="1" si="11"/>
        <v>655.43295999999998</v>
      </c>
      <c r="U22" s="5">
        <f t="shared" ca="1" si="11"/>
        <v>657.32380999999998</v>
      </c>
      <c r="W22" s="5">
        <f t="shared" ca="1" si="12"/>
        <v>656.739193</v>
      </c>
      <c r="Y22" s="5">
        <f ca="1">Total!E22</f>
        <v>655.43295999999998</v>
      </c>
      <c r="AB22" s="5">
        <f t="shared" ca="1" si="1"/>
        <v>0</v>
      </c>
      <c r="AC22" s="5">
        <f t="shared" ca="1" si="2"/>
        <v>2.8942243002244047E-3</v>
      </c>
      <c r="AD22" s="5">
        <f t="shared" ca="1" si="3"/>
        <v>1.3869915849212362E-3</v>
      </c>
      <c r="AE22" s="5">
        <f t="shared" ca="1" si="4"/>
        <v>0</v>
      </c>
      <c r="AF22" s="5">
        <f t="shared" ca="1" si="5"/>
        <v>3.847258459507414E-3</v>
      </c>
      <c r="AG22" s="5">
        <f t="shared" ca="1" si="6"/>
        <v>3.0976470881171601E-3</v>
      </c>
      <c r="AH22" s="5">
        <f t="shared" ca="1" si="7"/>
        <v>2.9334197657683624E-3</v>
      </c>
      <c r="AI22" s="5">
        <f t="shared" ca="1" si="8"/>
        <v>2.8848869608266272E-3</v>
      </c>
      <c r="AJ22" s="5">
        <f t="shared" ca="1" si="9"/>
        <v>0</v>
      </c>
      <c r="AK22" s="5">
        <f t="shared" ca="1" si="10"/>
        <v>2.8848869608266272E-3</v>
      </c>
      <c r="AM22" s="5">
        <f t="shared" ca="1" si="13"/>
        <v>1.9929315120191828E-2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1.7814700000000001</v>
      </c>
      <c r="F23" s="5">
        <v>111</v>
      </c>
      <c r="H23" s="5" t="s">
        <v>1</v>
      </c>
      <c r="I23" s="5">
        <v>50</v>
      </c>
      <c r="J23" s="5">
        <v>0.4</v>
      </c>
      <c r="L23" s="5">
        <f t="shared" ca="1" si="11"/>
        <v>1459.9687899999999</v>
      </c>
      <c r="M23" s="5">
        <f t="shared" ca="1" si="11"/>
        <v>1460.0209400000001</v>
      </c>
      <c r="N23" s="5">
        <f t="shared" ca="1" si="11"/>
        <v>1467.0858700000001</v>
      </c>
      <c r="O23" s="5">
        <f t="shared" ca="1" si="11"/>
        <v>1460.8056899999999</v>
      </c>
      <c r="P23" s="5">
        <f t="shared" ca="1" si="11"/>
        <v>1459.9687899999999</v>
      </c>
      <c r="Q23" s="5">
        <f t="shared" ca="1" si="11"/>
        <v>1460.0209400000001</v>
      </c>
      <c r="R23" s="5">
        <f t="shared" ca="1" si="11"/>
        <v>1459.9687899999999</v>
      </c>
      <c r="S23" s="5">
        <f t="shared" ca="1" si="11"/>
        <v>1468.7958699999999</v>
      </c>
      <c r="T23" s="5">
        <f t="shared" ca="1" si="11"/>
        <v>1459.9687899999999</v>
      </c>
      <c r="U23" s="5">
        <f t="shared" ca="1" si="11"/>
        <v>1459.9687899999999</v>
      </c>
      <c r="W23" s="5">
        <f t="shared" ca="1" si="12"/>
        <v>1461.657326</v>
      </c>
      <c r="Y23" s="5">
        <f ca="1">Total!E23</f>
        <v>1459.9687899999999</v>
      </c>
      <c r="AB23" s="5">
        <f t="shared" ca="1" si="1"/>
        <v>0</v>
      </c>
      <c r="AC23" s="5">
        <f t="shared" ca="1" si="2"/>
        <v>3.5719941657253266E-5</v>
      </c>
      <c r="AD23" s="5">
        <f t="shared" ca="1" si="3"/>
        <v>4.8748165363180227E-3</v>
      </c>
      <c r="AE23" s="5">
        <f t="shared" ca="1" si="4"/>
        <v>5.7323143188561874E-4</v>
      </c>
      <c r="AF23" s="5">
        <f t="shared" ca="1" si="5"/>
        <v>0</v>
      </c>
      <c r="AG23" s="5">
        <f t="shared" ca="1" si="6"/>
        <v>3.5719941657253266E-5</v>
      </c>
      <c r="AH23" s="5">
        <f t="shared" ca="1" si="7"/>
        <v>0</v>
      </c>
      <c r="AI23" s="5">
        <f t="shared" ca="1" si="8"/>
        <v>6.0460744506737191E-3</v>
      </c>
      <c r="AJ23" s="5">
        <f t="shared" ca="1" si="9"/>
        <v>0</v>
      </c>
      <c r="AK23" s="5">
        <f t="shared" ca="1" si="10"/>
        <v>0</v>
      </c>
      <c r="AM23" s="5">
        <f t="shared" ca="1" si="13"/>
        <v>1.1565562302191867E-2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1.7708900000000001</v>
      </c>
      <c r="F24" s="5">
        <v>113</v>
      </c>
      <c r="H24" s="5" t="s">
        <v>1</v>
      </c>
      <c r="I24" s="5">
        <v>50</v>
      </c>
      <c r="J24" s="5">
        <v>0.7</v>
      </c>
      <c r="L24" s="5">
        <f t="shared" ca="1" si="11"/>
        <v>1012.4457200000001</v>
      </c>
      <c r="M24" s="5">
        <f t="shared" ca="1" si="11"/>
        <v>1011.33063</v>
      </c>
      <c r="N24" s="5">
        <f t="shared" ca="1" si="11"/>
        <v>1016.21518</v>
      </c>
      <c r="O24" s="5">
        <f t="shared" ca="1" si="11"/>
        <v>1014.94335</v>
      </c>
      <c r="P24" s="5">
        <f t="shared" ca="1" si="11"/>
        <v>1013.2638899999999</v>
      </c>
      <c r="Q24" s="5">
        <f t="shared" ca="1" si="11"/>
        <v>1016.20559</v>
      </c>
      <c r="R24" s="5">
        <f t="shared" ca="1" si="11"/>
        <v>1015.67494</v>
      </c>
      <c r="S24" s="5">
        <f t="shared" ca="1" si="11"/>
        <v>1005.95922</v>
      </c>
      <c r="T24" s="5">
        <f t="shared" ca="1" si="11"/>
        <v>1015.7056700000001</v>
      </c>
      <c r="U24" s="5">
        <f t="shared" ca="1" si="11"/>
        <v>1012.64239</v>
      </c>
      <c r="W24" s="5">
        <f t="shared" ca="1" si="12"/>
        <v>1013.4386579999998</v>
      </c>
      <c r="Y24" s="5">
        <f ca="1">Total!E24</f>
        <v>1005.95063</v>
      </c>
      <c r="AB24" s="5">
        <f t="shared" ca="1" si="1"/>
        <v>6.4566687532170482E-3</v>
      </c>
      <c r="AC24" s="5">
        <f t="shared" ca="1" si="2"/>
        <v>5.3481749894624502E-3</v>
      </c>
      <c r="AD24" s="5">
        <f t="shared" ca="1" si="3"/>
        <v>1.0203830778454789E-2</v>
      </c>
      <c r="AE24" s="5">
        <f t="shared" ca="1" si="4"/>
        <v>8.9395241991149822E-3</v>
      </c>
      <c r="AF24" s="5">
        <f t="shared" ca="1" si="5"/>
        <v>7.2699989262891562E-3</v>
      </c>
      <c r="AG24" s="5">
        <f t="shared" ca="1" si="6"/>
        <v>1.0194297507423384E-2</v>
      </c>
      <c r="AH24" s="5">
        <f t="shared" ca="1" si="7"/>
        <v>9.6667865300705119E-3</v>
      </c>
      <c r="AI24" s="5">
        <f t="shared" ca="1" si="8"/>
        <v>8.5391864607837002E-6</v>
      </c>
      <c r="AJ24" s="5">
        <f t="shared" ca="1" si="9"/>
        <v>9.6973347489230245E-3</v>
      </c>
      <c r="AK24" s="5">
        <f t="shared" ca="1" si="10"/>
        <v>6.6521753657035141E-3</v>
      </c>
      <c r="AM24" s="5">
        <f t="shared" ca="1" si="13"/>
        <v>7.4437330985119662E-2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1.77044</v>
      </c>
      <c r="F25" s="5">
        <v>109</v>
      </c>
      <c r="H25" s="5" t="s">
        <v>1</v>
      </c>
      <c r="I25" s="5">
        <v>50</v>
      </c>
      <c r="J25" s="5">
        <v>1</v>
      </c>
      <c r="L25" s="5">
        <f t="shared" ca="1" si="11"/>
        <v>993.37738999999999</v>
      </c>
      <c r="M25" s="5">
        <f t="shared" ca="1" si="11"/>
        <v>995.22631000000001</v>
      </c>
      <c r="N25" s="5">
        <f t="shared" ca="1" si="11"/>
        <v>994.09427000000005</v>
      </c>
      <c r="O25" s="5">
        <f t="shared" ca="1" si="11"/>
        <v>996.33298000000002</v>
      </c>
      <c r="P25" s="5">
        <f t="shared" ca="1" si="11"/>
        <v>993.96097999999995</v>
      </c>
      <c r="Q25" s="5">
        <f t="shared" ca="1" si="11"/>
        <v>992.33966999999996</v>
      </c>
      <c r="R25" s="5">
        <f t="shared" ca="1" si="11"/>
        <v>994.48231999999996</v>
      </c>
      <c r="S25" s="5">
        <f t="shared" ca="1" si="11"/>
        <v>996.20426999999995</v>
      </c>
      <c r="T25" s="5">
        <f t="shared" ca="1" si="11"/>
        <v>992.57797000000005</v>
      </c>
      <c r="U25" s="5">
        <f t="shared" ca="1" si="11"/>
        <v>994.31488000000002</v>
      </c>
      <c r="W25" s="5">
        <f t="shared" ca="1" si="12"/>
        <v>994.29110400000013</v>
      </c>
      <c r="Y25" s="5">
        <f ca="1">Total!E25</f>
        <v>990.69820000000004</v>
      </c>
      <c r="AB25" s="5">
        <f t="shared" ca="1" si="1"/>
        <v>2.7043452789153634E-3</v>
      </c>
      <c r="AC25" s="5">
        <f t="shared" ca="1" si="2"/>
        <v>4.5706250399970135E-3</v>
      </c>
      <c r="AD25" s="5">
        <f t="shared" ca="1" si="3"/>
        <v>3.4279561626335939E-3</v>
      </c>
      <c r="AE25" s="5">
        <f t="shared" ca="1" si="4"/>
        <v>5.6876857149836119E-3</v>
      </c>
      <c r="AF25" s="5">
        <f t="shared" ca="1" si="5"/>
        <v>3.2934146847141813E-3</v>
      </c>
      <c r="AG25" s="5">
        <f t="shared" ca="1" si="6"/>
        <v>1.6568819848465585E-3</v>
      </c>
      <c r="AH25" s="5">
        <f t="shared" ca="1" si="7"/>
        <v>3.8196496168055177E-3</v>
      </c>
      <c r="AI25" s="5">
        <f t="shared" ca="1" si="8"/>
        <v>5.5577672393064895E-3</v>
      </c>
      <c r="AJ25" s="5">
        <f t="shared" ca="1" si="9"/>
        <v>1.8974194159230406E-3</v>
      </c>
      <c r="AK25" s="5">
        <f t="shared" ca="1" si="10"/>
        <v>3.6506374998965113E-3</v>
      </c>
      <c r="AM25" s="5">
        <f t="shared" ca="1" si="13"/>
        <v>3.6266382638021885E-2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1.7775099999999999</v>
      </c>
      <c r="F26" s="5">
        <v>113</v>
      </c>
      <c r="H26" s="5" t="s">
        <v>1</v>
      </c>
      <c r="I26" s="5">
        <v>100</v>
      </c>
      <c r="J26" s="5">
        <v>0.4</v>
      </c>
      <c r="L26" s="5">
        <f t="shared" ca="1" si="11"/>
        <v>1863.6757600000001</v>
      </c>
      <c r="M26" s="5">
        <f t="shared" ca="1" si="11"/>
        <v>1835.05051</v>
      </c>
      <c r="N26" s="5">
        <f t="shared" ca="1" si="11"/>
        <v>1826.65005</v>
      </c>
      <c r="O26" s="5">
        <f t="shared" ca="1" si="11"/>
        <v>1861.6447800000001</v>
      </c>
      <c r="P26" s="5">
        <f t="shared" ca="1" si="11"/>
        <v>1840.96648</v>
      </c>
      <c r="Q26" s="5">
        <f t="shared" ca="1" si="11"/>
        <v>1854.72081</v>
      </c>
      <c r="R26" s="5">
        <f t="shared" ca="1" si="11"/>
        <v>1852.1881100000001</v>
      </c>
      <c r="S26" s="5">
        <f t="shared" ca="1" si="11"/>
        <v>1875.66704</v>
      </c>
      <c r="T26" s="5">
        <f t="shared" ca="1" si="11"/>
        <v>1846.99245</v>
      </c>
      <c r="U26" s="5">
        <f t="shared" ca="1" si="11"/>
        <v>1864.37573</v>
      </c>
      <c r="W26" s="5">
        <f t="shared" ca="1" si="12"/>
        <v>1852.1931720000005</v>
      </c>
      <c r="Y26" s="5">
        <f ca="1">Total!E26</f>
        <v>1786.3248599999999</v>
      </c>
      <c r="AB26" s="5">
        <f t="shared" ca="1" si="1"/>
        <v>4.3301698214064009E-2</v>
      </c>
      <c r="AC26" s="5">
        <f t="shared" ca="1" si="2"/>
        <v>2.7277037391731807E-2</v>
      </c>
      <c r="AD26" s="5">
        <f t="shared" ca="1" si="3"/>
        <v>2.2574387729228613E-2</v>
      </c>
      <c r="AE26" s="5">
        <f t="shared" ca="1" si="4"/>
        <v>4.2164738165263033E-2</v>
      </c>
      <c r="AF26" s="5">
        <f t="shared" ca="1" si="5"/>
        <v>3.0588848212077229E-2</v>
      </c>
      <c r="AG26" s="5">
        <f t="shared" ca="1" si="6"/>
        <v>3.8288640286851347E-2</v>
      </c>
      <c r="AH26" s="5">
        <f t="shared" ca="1" si="7"/>
        <v>3.6870813072600976E-2</v>
      </c>
      <c r="AI26" s="5">
        <f t="shared" ca="1" si="8"/>
        <v>5.0014519755382063E-2</v>
      </c>
      <c r="AJ26" s="5">
        <f t="shared" ca="1" si="9"/>
        <v>3.3962237977251251E-2</v>
      </c>
      <c r="AK26" s="5">
        <f t="shared" ca="1" si="10"/>
        <v>4.3693547432352271E-2</v>
      </c>
      <c r="AM26" s="5">
        <f t="shared" ca="1" si="13"/>
        <v>0.36873646823680256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1.7779100000000001</v>
      </c>
      <c r="F27" s="5">
        <v>108</v>
      </c>
      <c r="H27" s="5" t="s">
        <v>1</v>
      </c>
      <c r="I27" s="5">
        <v>100</v>
      </c>
      <c r="J27" s="5">
        <v>0.7</v>
      </c>
      <c r="L27" s="5">
        <f t="shared" ca="1" si="11"/>
        <v>1773.19371</v>
      </c>
      <c r="M27" s="5">
        <f t="shared" ca="1" si="11"/>
        <v>1782.5927200000001</v>
      </c>
      <c r="N27" s="5">
        <f t="shared" ca="1" si="11"/>
        <v>1783.05242</v>
      </c>
      <c r="O27" s="5">
        <f t="shared" ca="1" si="11"/>
        <v>1788.0802000000001</v>
      </c>
      <c r="P27" s="5">
        <f t="shared" ca="1" si="11"/>
        <v>1784.68</v>
      </c>
      <c r="Q27" s="5">
        <f t="shared" ca="1" si="11"/>
        <v>1783.9566500000001</v>
      </c>
      <c r="R27" s="5">
        <f t="shared" ca="1" si="11"/>
        <v>1782.3958700000001</v>
      </c>
      <c r="S27" s="5">
        <f t="shared" ca="1" si="11"/>
        <v>1787.6733300000001</v>
      </c>
      <c r="T27" s="5">
        <f t="shared" ca="1" si="11"/>
        <v>1775.12156</v>
      </c>
      <c r="U27" s="5">
        <f t="shared" ca="1" si="11"/>
        <v>1785.8593000000001</v>
      </c>
      <c r="W27" s="5">
        <f t="shared" ca="1" si="12"/>
        <v>1782.6605759999998</v>
      </c>
      <c r="Y27" s="5">
        <f ca="1">Total!E27</f>
        <v>1761.02206</v>
      </c>
      <c r="AB27" s="5">
        <f t="shared" ca="1" si="1"/>
        <v>6.9116964951591803E-3</v>
      </c>
      <c r="AC27" s="5">
        <f t="shared" ca="1" si="2"/>
        <v>1.2248943661727945E-2</v>
      </c>
      <c r="AD27" s="5">
        <f t="shared" ca="1" si="3"/>
        <v>1.2509985252541342E-2</v>
      </c>
      <c r="AE27" s="5">
        <f t="shared" ca="1" si="4"/>
        <v>1.5365020469987806E-2</v>
      </c>
      <c r="AF27" s="5">
        <f t="shared" ca="1" si="5"/>
        <v>1.3434209904218947E-2</v>
      </c>
      <c r="AG27" s="5">
        <f t="shared" ca="1" si="6"/>
        <v>1.3023454118456682E-2</v>
      </c>
      <c r="AH27" s="5">
        <f t="shared" ca="1" si="7"/>
        <v>1.2137161984217307E-2</v>
      </c>
      <c r="AI27" s="5">
        <f t="shared" ca="1" si="8"/>
        <v>1.5133978503369836E-2</v>
      </c>
      <c r="AJ27" s="5">
        <f t="shared" ca="1" si="9"/>
        <v>8.0064300841296877E-3</v>
      </c>
      <c r="AK27" s="5">
        <f t="shared" ca="1" si="10"/>
        <v>1.4103877835579223E-2</v>
      </c>
      <c r="AM27" s="5">
        <f t="shared" ca="1" si="13"/>
        <v>0.12287475830938795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1.7720400000000001</v>
      </c>
      <c r="F28" s="5">
        <v>113</v>
      </c>
      <c r="H28" s="5" t="s">
        <v>1</v>
      </c>
      <c r="I28" s="5">
        <v>100</v>
      </c>
      <c r="J28" s="5">
        <v>1</v>
      </c>
      <c r="L28" s="5">
        <f t="shared" ca="1" si="11"/>
        <v>1756.5966699999999</v>
      </c>
      <c r="M28" s="5">
        <f t="shared" ca="1" si="11"/>
        <v>1758.78333</v>
      </c>
      <c r="N28" s="5">
        <f t="shared" ca="1" si="11"/>
        <v>1755.55333</v>
      </c>
      <c r="O28" s="5">
        <f t="shared" ca="1" si="11"/>
        <v>1755.74</v>
      </c>
      <c r="P28" s="5">
        <f t="shared" ca="1" si="11"/>
        <v>1755.27333</v>
      </c>
      <c r="Q28" s="5">
        <f t="shared" ca="1" si="11"/>
        <v>1757.49667</v>
      </c>
      <c r="R28" s="5">
        <f t="shared" ca="1" si="11"/>
        <v>1758.6869099999999</v>
      </c>
      <c r="S28" s="5">
        <f t="shared" ca="1" si="11"/>
        <v>1757.6415199999999</v>
      </c>
      <c r="T28" s="5">
        <f t="shared" ca="1" si="11"/>
        <v>1757.9361699999999</v>
      </c>
      <c r="U28" s="5">
        <f t="shared" ca="1" si="11"/>
        <v>1759.5933299999999</v>
      </c>
      <c r="W28" s="5">
        <f t="shared" ca="1" si="12"/>
        <v>1757.3301260000001</v>
      </c>
      <c r="Y28" s="5">
        <f ca="1">Total!E28</f>
        <v>1753.1198199999999</v>
      </c>
      <c r="AB28" s="5">
        <f t="shared" ca="1" si="1"/>
        <v>1.9832358064379271E-3</v>
      </c>
      <c r="AC28" s="5">
        <f t="shared" ca="1" si="2"/>
        <v>3.2305321834762485E-3</v>
      </c>
      <c r="AD28" s="5">
        <f t="shared" ca="1" si="3"/>
        <v>1.3881024971813219E-3</v>
      </c>
      <c r="AE28" s="5">
        <f t="shared" ca="1" si="4"/>
        <v>1.4945812431691741E-3</v>
      </c>
      <c r="AF28" s="5">
        <f t="shared" ca="1" si="5"/>
        <v>1.2283872302579391E-3</v>
      </c>
      <c r="AG28" s="5">
        <f t="shared" ca="1" si="6"/>
        <v>2.4966063072631877E-3</v>
      </c>
      <c r="AH28" s="5">
        <f t="shared" ca="1" si="7"/>
        <v>3.1755330904877956E-3</v>
      </c>
      <c r="AI28" s="5">
        <f t="shared" ca="1" si="8"/>
        <v>2.5792304373126133E-3</v>
      </c>
      <c r="AJ28" s="5">
        <f t="shared" ca="1" si="9"/>
        <v>2.7473022351661379E-3</v>
      </c>
      <c r="AK28" s="5">
        <f t="shared" ca="1" si="10"/>
        <v>3.6925656342189053E-3</v>
      </c>
      <c r="AM28" s="5">
        <f t="shared" ca="1" si="13"/>
        <v>2.4016076664971249E-2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1.77121</v>
      </c>
      <c r="F29" s="5">
        <v>109</v>
      </c>
      <c r="H29" s="5" t="s">
        <v>0</v>
      </c>
      <c r="I29" s="5">
        <v>25</v>
      </c>
      <c r="J29" s="5">
        <v>0.4</v>
      </c>
      <c r="L29" s="5">
        <f t="shared" ca="1" si="11"/>
        <v>42.424349999999997</v>
      </c>
      <c r="M29" s="5">
        <f t="shared" ca="1" si="11"/>
        <v>42.424349999999997</v>
      </c>
      <c r="N29" s="5">
        <f t="shared" ca="1" si="11"/>
        <v>41.319229999999997</v>
      </c>
      <c r="O29" s="5">
        <f t="shared" ca="1" si="11"/>
        <v>41.318849999999998</v>
      </c>
      <c r="P29" s="5">
        <f t="shared" ca="1" si="11"/>
        <v>41.318849999999998</v>
      </c>
      <c r="Q29" s="5">
        <f t="shared" ca="1" si="11"/>
        <v>41.318849999999998</v>
      </c>
      <c r="R29" s="5">
        <f t="shared" ca="1" si="11"/>
        <v>41.318849999999998</v>
      </c>
      <c r="S29" s="5">
        <f t="shared" ca="1" si="11"/>
        <v>41.318849999999998</v>
      </c>
      <c r="T29" s="5">
        <f t="shared" ca="1" si="11"/>
        <v>42.185079999999999</v>
      </c>
      <c r="U29" s="5">
        <f t="shared" ca="1" si="11"/>
        <v>42.424349999999997</v>
      </c>
      <c r="W29" s="5">
        <f t="shared" ca="1" si="12"/>
        <v>41.737160999999993</v>
      </c>
      <c r="Y29" s="5">
        <f ca="1">Total!E29</f>
        <v>40.897550000000003</v>
      </c>
      <c r="AB29" s="5">
        <f t="shared" ca="1" si="1"/>
        <v>3.7332309637129711E-2</v>
      </c>
      <c r="AC29" s="5">
        <f t="shared" ca="1" si="2"/>
        <v>3.7332309637129711E-2</v>
      </c>
      <c r="AD29" s="5">
        <f t="shared" ca="1" si="3"/>
        <v>1.0310642080026675E-2</v>
      </c>
      <c r="AE29" s="5">
        <f t="shared" ca="1" si="4"/>
        <v>1.0301350569899543E-2</v>
      </c>
      <c r="AF29" s="5">
        <f t="shared" ca="1" si="5"/>
        <v>1.0301350569899543E-2</v>
      </c>
      <c r="AG29" s="5">
        <f t="shared" ca="1" si="6"/>
        <v>1.0301350569899543E-2</v>
      </c>
      <c r="AH29" s="5">
        <f t="shared" ca="1" si="7"/>
        <v>1.0301350569899543E-2</v>
      </c>
      <c r="AI29" s="5">
        <f t="shared" ca="1" si="8"/>
        <v>1.0301350569899543E-2</v>
      </c>
      <c r="AJ29" s="5">
        <f t="shared" ca="1" si="9"/>
        <v>3.148183693155205E-2</v>
      </c>
      <c r="AK29" s="5">
        <f t="shared" ca="1" si="10"/>
        <v>3.7332309637129711E-2</v>
      </c>
      <c r="AM29" s="5">
        <f t="shared" ca="1" si="13"/>
        <v>0.20529616077246557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1.7800800000000001</v>
      </c>
      <c r="F30" s="5">
        <v>111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1"/>
        <v>28.65436</v>
      </c>
      <c r="N30" s="5">
        <f t="shared" ca="1" si="11"/>
        <v>28.65436</v>
      </c>
      <c r="O30" s="5">
        <f t="shared" ca="1" si="11"/>
        <v>28.65436</v>
      </c>
      <c r="P30" s="5">
        <f t="shared" ca="1" si="11"/>
        <v>28.65436</v>
      </c>
      <c r="Q30" s="5">
        <f t="shared" ca="1" si="11"/>
        <v>28.65436</v>
      </c>
      <c r="R30" s="5">
        <f t="shared" ca="1" si="11"/>
        <v>28.65436</v>
      </c>
      <c r="S30" s="5">
        <f t="shared" ca="1" si="11"/>
        <v>28.65436</v>
      </c>
      <c r="T30" s="5">
        <f t="shared" ca="1" si="11"/>
        <v>28.65624</v>
      </c>
      <c r="U30" s="5">
        <f t="shared" ca="1" si="11"/>
        <v>28.65436</v>
      </c>
      <c r="W30" s="5">
        <f t="shared" ca="1" si="12"/>
        <v>28.654547999999998</v>
      </c>
      <c r="Y30" s="5">
        <f ca="1">Total!E30</f>
        <v>28.65436</v>
      </c>
      <c r="AB30" s="5">
        <f t="shared" ca="1" si="1"/>
        <v>0</v>
      </c>
      <c r="AC30" s="5">
        <f t="shared" ca="1" si="2"/>
        <v>0</v>
      </c>
      <c r="AD30" s="5">
        <f t="shared" ca="1" si="3"/>
        <v>0</v>
      </c>
      <c r="AE30" s="5">
        <f t="shared" ca="1" si="4"/>
        <v>0</v>
      </c>
      <c r="AF30" s="5">
        <f t="shared" ca="1" si="5"/>
        <v>0</v>
      </c>
      <c r="AG30" s="5">
        <f t="shared" ca="1" si="6"/>
        <v>0</v>
      </c>
      <c r="AH30" s="5">
        <f t="shared" ca="1" si="7"/>
        <v>0</v>
      </c>
      <c r="AI30" s="5">
        <f t="shared" ca="1" si="8"/>
        <v>0</v>
      </c>
      <c r="AJ30" s="5">
        <f t="shared" ca="1" si="9"/>
        <v>6.5609561686245368E-5</v>
      </c>
      <c r="AK30" s="5">
        <f t="shared" ca="1" si="10"/>
        <v>0</v>
      </c>
      <c r="AM30" s="5">
        <f t="shared" ca="1" si="13"/>
        <v>6.5609561686245368E-5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1.2277400000000001</v>
      </c>
      <c r="F31" s="5">
        <v>21</v>
      </c>
      <c r="H31" s="5" t="s">
        <v>0</v>
      </c>
      <c r="I31" s="5">
        <v>25</v>
      </c>
      <c r="J31" s="5">
        <v>1</v>
      </c>
      <c r="L31" s="5">
        <f t="shared" ca="1" si="11"/>
        <v>28.546240000000001</v>
      </c>
      <c r="M31" s="5">
        <f t="shared" ca="1" si="11"/>
        <v>28.587009999999999</v>
      </c>
      <c r="N31" s="5">
        <f t="shared" ca="1" si="11"/>
        <v>28.592030000000001</v>
      </c>
      <c r="O31" s="5">
        <f t="shared" ca="1" si="11"/>
        <v>28.546240000000001</v>
      </c>
      <c r="P31" s="5">
        <f t="shared" ca="1" si="11"/>
        <v>28.602029999999999</v>
      </c>
      <c r="Q31" s="5">
        <f t="shared" ca="1" si="11"/>
        <v>28.546240000000001</v>
      </c>
      <c r="R31" s="5">
        <f t="shared" ca="1" si="11"/>
        <v>28.616240000000001</v>
      </c>
      <c r="S31" s="5">
        <f t="shared" ca="1" si="11"/>
        <v>28.587009999999999</v>
      </c>
      <c r="T31" s="5">
        <f t="shared" ca="1" si="11"/>
        <v>28.602029999999999</v>
      </c>
      <c r="U31" s="5">
        <f t="shared" ca="1" si="11"/>
        <v>28.592030000000001</v>
      </c>
      <c r="W31" s="5">
        <f t="shared" ca="1" si="12"/>
        <v>28.581710000000005</v>
      </c>
      <c r="Y31" s="5">
        <f ca="1">Total!E31</f>
        <v>28.504100000000001</v>
      </c>
      <c r="AB31" s="5">
        <f t="shared" ca="1" si="1"/>
        <v>1.4783838114516804E-3</v>
      </c>
      <c r="AC31" s="5">
        <f t="shared" ca="1" si="2"/>
        <v>2.9087043618285882E-3</v>
      </c>
      <c r="AD31" s="5">
        <f t="shared" ca="1" si="3"/>
        <v>3.0848193768615766E-3</v>
      </c>
      <c r="AE31" s="5">
        <f t="shared" ca="1" si="4"/>
        <v>1.4783838114516804E-3</v>
      </c>
      <c r="AF31" s="5">
        <f t="shared" ca="1" si="5"/>
        <v>3.4356461000346642E-3</v>
      </c>
      <c r="AG31" s="5">
        <f t="shared" ca="1" si="6"/>
        <v>1.4783838114516804E-3</v>
      </c>
      <c r="AH31" s="5">
        <f t="shared" ca="1" si="7"/>
        <v>3.9341708736637931E-3</v>
      </c>
      <c r="AI31" s="5">
        <f t="shared" ca="1" si="8"/>
        <v>2.9087043618285882E-3</v>
      </c>
      <c r="AJ31" s="5">
        <f t="shared" ca="1" si="9"/>
        <v>3.4356461000346642E-3</v>
      </c>
      <c r="AK31" s="5">
        <f t="shared" ca="1" si="10"/>
        <v>3.0848193768615766E-3</v>
      </c>
      <c r="AM31" s="5">
        <f t="shared" ca="1" si="13"/>
        <v>2.7227661985468495E-2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1.2190099999999999</v>
      </c>
      <c r="F32" s="5">
        <v>22</v>
      </c>
      <c r="H32" s="5" t="s">
        <v>0</v>
      </c>
      <c r="I32" s="5">
        <v>50</v>
      </c>
      <c r="J32" s="5">
        <v>0.4</v>
      </c>
      <c r="L32" s="5">
        <f t="shared" ca="1" si="11"/>
        <v>59.072850000000003</v>
      </c>
      <c r="M32" s="5">
        <f t="shared" ca="1" si="11"/>
        <v>59.132849999999998</v>
      </c>
      <c r="N32" s="5">
        <f t="shared" ca="1" si="11"/>
        <v>57.381279999999997</v>
      </c>
      <c r="O32" s="5">
        <f t="shared" ca="1" si="11"/>
        <v>59.061019999999999</v>
      </c>
      <c r="P32" s="5">
        <f t="shared" ca="1" si="11"/>
        <v>56.911659999999998</v>
      </c>
      <c r="Q32" s="5">
        <f t="shared" ca="1" si="11"/>
        <v>57.090179999999997</v>
      </c>
      <c r="R32" s="5">
        <f t="shared" ca="1" si="11"/>
        <v>59.071339999999999</v>
      </c>
      <c r="S32" s="5">
        <f t="shared" ca="1" si="11"/>
        <v>59.050690000000003</v>
      </c>
      <c r="T32" s="5">
        <f t="shared" ca="1" si="11"/>
        <v>56.901339999999998</v>
      </c>
      <c r="U32" s="5">
        <f t="shared" ca="1" si="11"/>
        <v>56.801659999999998</v>
      </c>
      <c r="W32" s="5">
        <f t="shared" ca="1" si="12"/>
        <v>58.047487000000004</v>
      </c>
      <c r="Y32" s="5">
        <f ca="1">Total!E32</f>
        <v>56.511339999999997</v>
      </c>
      <c r="AB32" s="5">
        <f t="shared" ca="1" si="1"/>
        <v>4.5327362614300169E-2</v>
      </c>
      <c r="AC32" s="5">
        <f t="shared" ca="1" si="2"/>
        <v>4.6389096418524157E-2</v>
      </c>
      <c r="AD32" s="5">
        <f t="shared" ca="1" si="3"/>
        <v>1.5394078427444823E-2</v>
      </c>
      <c r="AE32" s="5">
        <f t="shared" ca="1" si="4"/>
        <v>4.5118024099233926E-2</v>
      </c>
      <c r="AF32" s="5">
        <f t="shared" ca="1" si="5"/>
        <v>7.0838879417830245E-3</v>
      </c>
      <c r="AG32" s="5">
        <f t="shared" ca="1" si="6"/>
        <v>1.0242899920617696E-2</v>
      </c>
      <c r="AH32" s="5">
        <f t="shared" ca="1" si="7"/>
        <v>4.5300642313560471E-2</v>
      </c>
      <c r="AI32" s="5">
        <f t="shared" ca="1" si="8"/>
        <v>4.4935228929273416E-2</v>
      </c>
      <c r="AJ32" s="5">
        <f t="shared" ca="1" si="9"/>
        <v>6.901269727456482E-3</v>
      </c>
      <c r="AK32" s="5">
        <f t="shared" ca="1" si="10"/>
        <v>5.1373759673722348E-3</v>
      </c>
      <c r="AM32" s="5">
        <f t="shared" ca="1" si="13"/>
        <v>0.27182986635956641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1.2230300000000001</v>
      </c>
      <c r="F33" s="5">
        <v>22</v>
      </c>
      <c r="H33" s="5" t="s">
        <v>0</v>
      </c>
      <c r="I33" s="5">
        <v>50</v>
      </c>
      <c r="J33" s="5">
        <v>0.7</v>
      </c>
      <c r="L33" s="5">
        <f t="shared" ca="1" si="11"/>
        <v>53.642749999999999</v>
      </c>
      <c r="M33" s="5">
        <f t="shared" ca="1" si="11"/>
        <v>53.182749999999999</v>
      </c>
      <c r="N33" s="5">
        <f t="shared" ca="1" si="11"/>
        <v>53.472749999999998</v>
      </c>
      <c r="O33" s="5">
        <f t="shared" ca="1" si="11"/>
        <v>53.662750000000003</v>
      </c>
      <c r="P33" s="5">
        <f t="shared" ca="1" si="11"/>
        <v>53.564480000000003</v>
      </c>
      <c r="Q33" s="5">
        <f t="shared" ca="1" si="11"/>
        <v>53.444980000000001</v>
      </c>
      <c r="R33" s="5">
        <f t="shared" ca="1" si="11"/>
        <v>53.264479999999999</v>
      </c>
      <c r="S33" s="5">
        <f t="shared" ca="1" si="11"/>
        <v>53.634979999999999</v>
      </c>
      <c r="T33" s="5">
        <f t="shared" ca="1" si="11"/>
        <v>53.642749999999999</v>
      </c>
      <c r="U33" s="5">
        <f t="shared" ca="1" si="11"/>
        <v>53.16498</v>
      </c>
      <c r="W33" s="5">
        <f t="shared" ca="1" si="12"/>
        <v>53.467765</v>
      </c>
      <c r="Y33" s="5">
        <f ca="1">Total!E33</f>
        <v>53.115070000000003</v>
      </c>
      <c r="AB33" s="5">
        <f t="shared" ca="1" si="1"/>
        <v>9.9346569627037397E-3</v>
      </c>
      <c r="AC33" s="5">
        <f t="shared" ca="1" si="2"/>
        <v>1.2742146437912205E-3</v>
      </c>
      <c r="AD33" s="5">
        <f t="shared" ca="1" si="3"/>
        <v>6.7340587144099568E-3</v>
      </c>
      <c r="AE33" s="5">
        <f t="shared" ca="1" si="4"/>
        <v>1.03111979330913E-2</v>
      </c>
      <c r="AF33" s="5">
        <f t="shared" ca="1" si="5"/>
        <v>8.461063875092328E-3</v>
      </c>
      <c r="AG33" s="5">
        <f t="shared" ca="1" si="6"/>
        <v>6.2112315770269742E-3</v>
      </c>
      <c r="AH33" s="5">
        <f t="shared" ca="1" si="7"/>
        <v>2.8129493192797458E-3</v>
      </c>
      <c r="AI33" s="5">
        <f t="shared" ca="1" si="8"/>
        <v>9.7883707957081827E-3</v>
      </c>
      <c r="AJ33" s="5">
        <f t="shared" ca="1" si="9"/>
        <v>9.9346569627037397E-3</v>
      </c>
      <c r="AK33" s="5">
        <f t="shared" ca="1" si="10"/>
        <v>9.3965799160195039E-4</v>
      </c>
      <c r="AM33" s="5">
        <f t="shared" ca="1" si="13"/>
        <v>6.640205877540914E-2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1.2250799999999999</v>
      </c>
      <c r="F34" s="5">
        <v>22</v>
      </c>
      <c r="H34" s="5" t="s">
        <v>0</v>
      </c>
      <c r="I34" s="5">
        <v>50</v>
      </c>
      <c r="J34" s="5">
        <v>1</v>
      </c>
      <c r="L34" s="5">
        <f t="shared" ca="1" si="11"/>
        <v>53.297490000000003</v>
      </c>
      <c r="M34" s="5">
        <f t="shared" ca="1" si="11"/>
        <v>53.097490000000001</v>
      </c>
      <c r="N34" s="5">
        <f t="shared" ca="1" si="11"/>
        <v>53.282179999999997</v>
      </c>
      <c r="O34" s="5">
        <f t="shared" ca="1" si="11"/>
        <v>53.557490000000001</v>
      </c>
      <c r="P34" s="5">
        <f t="shared" ca="1" si="11"/>
        <v>53.337490000000003</v>
      </c>
      <c r="Q34" s="5">
        <f t="shared" ca="1" si="11"/>
        <v>53.097490000000001</v>
      </c>
      <c r="R34" s="5">
        <f t="shared" ca="1" si="11"/>
        <v>53.157490000000003</v>
      </c>
      <c r="S34" s="5">
        <f t="shared" ca="1" si="11"/>
        <v>53.152500000000003</v>
      </c>
      <c r="T34" s="5">
        <f t="shared" ca="1" si="11"/>
        <v>53.267490000000002</v>
      </c>
      <c r="U34" s="5">
        <f t="shared" ca="1" si="11"/>
        <v>53.327489999999997</v>
      </c>
      <c r="W34" s="5">
        <f t="shared" ca="1" si="12"/>
        <v>53.257459999999995</v>
      </c>
      <c r="Y34" s="5">
        <f ca="1">Total!E34</f>
        <v>53.003740000000001</v>
      </c>
      <c r="AB34" s="5">
        <f t="shared" ca="1" si="1"/>
        <v>5.5420617488502293E-3</v>
      </c>
      <c r="AC34" s="5">
        <f t="shared" ca="1" si="2"/>
        <v>1.7687431113351624E-3</v>
      </c>
      <c r="AD34" s="5">
        <f t="shared" ca="1" si="3"/>
        <v>5.2532142071483306E-3</v>
      </c>
      <c r="AE34" s="5">
        <f t="shared" ca="1" si="4"/>
        <v>1.0447375977619709E-2</v>
      </c>
      <c r="AF34" s="5">
        <f t="shared" ca="1" si="5"/>
        <v>6.296725476353216E-3</v>
      </c>
      <c r="AG34" s="5">
        <f t="shared" ca="1" si="6"/>
        <v>1.7687431113351624E-3</v>
      </c>
      <c r="AH34" s="5">
        <f t="shared" ca="1" si="7"/>
        <v>2.900738702589709E-3</v>
      </c>
      <c r="AI34" s="5">
        <f t="shared" ca="1" si="8"/>
        <v>2.8065944025837211E-3</v>
      </c>
      <c r="AJ34" s="5">
        <f t="shared" ca="1" si="9"/>
        <v>4.9760639532229556E-3</v>
      </c>
      <c r="AK34" s="5">
        <f t="shared" ca="1" si="10"/>
        <v>6.1080595444773685E-3</v>
      </c>
      <c r="AM34" s="5">
        <f t="shared" ca="1" si="13"/>
        <v>4.7868320235515557E-2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1.2273000000000001</v>
      </c>
      <c r="F35" s="5">
        <v>22</v>
      </c>
      <c r="H35" s="5" t="s">
        <v>0</v>
      </c>
      <c r="I35" s="5">
        <v>100</v>
      </c>
      <c r="J35" s="5">
        <v>0.4</v>
      </c>
      <c r="L35" s="5">
        <f t="shared" ca="1" si="11"/>
        <v>148.18338</v>
      </c>
      <c r="M35" s="5">
        <f t="shared" ca="1" si="11"/>
        <v>148.18812</v>
      </c>
      <c r="N35" s="5">
        <f t="shared" ca="1" si="11"/>
        <v>148.25653</v>
      </c>
      <c r="O35" s="5">
        <f t="shared" ca="1" si="11"/>
        <v>148.16146000000001</v>
      </c>
      <c r="P35" s="5">
        <f t="shared" ca="1" si="11"/>
        <v>148.18033</v>
      </c>
      <c r="Q35" s="5">
        <f t="shared" ca="1" si="11"/>
        <v>148.23902000000001</v>
      </c>
      <c r="R35" s="5">
        <f t="shared" ca="1" si="11"/>
        <v>148.18630999999999</v>
      </c>
      <c r="S35" s="5">
        <f t="shared" ca="1" si="11"/>
        <v>148.27403000000001</v>
      </c>
      <c r="T35" s="5">
        <f t="shared" ca="1" si="11"/>
        <v>148.21413999999999</v>
      </c>
      <c r="U35" s="5">
        <f t="shared" ca="1" si="11"/>
        <v>148.27366000000001</v>
      </c>
      <c r="W35" s="5">
        <f t="shared" ca="1" si="12"/>
        <v>148.21569800000003</v>
      </c>
      <c r="Y35" s="5">
        <f ca="1">Total!E35</f>
        <v>147.96312</v>
      </c>
      <c r="AB35" s="5">
        <f t="shared" ca="1" si="1"/>
        <v>1.4886141898061904E-3</v>
      </c>
      <c r="AC35" s="5">
        <f t="shared" ca="1" si="2"/>
        <v>1.5206491996113242E-3</v>
      </c>
      <c r="AD35" s="5">
        <f t="shared" ca="1" si="3"/>
        <v>1.9829941407020503E-3</v>
      </c>
      <c r="AE35" s="5">
        <f t="shared" ca="1" si="4"/>
        <v>1.3404691655596458E-3</v>
      </c>
      <c r="AF35" s="5">
        <f t="shared" ca="1" si="5"/>
        <v>1.4680009451003354E-3</v>
      </c>
      <c r="AG35" s="5">
        <f t="shared" ca="1" si="6"/>
        <v>1.8646538407679368E-3</v>
      </c>
      <c r="AH35" s="5">
        <f t="shared" ca="1" si="7"/>
        <v>1.5084164216055205E-3</v>
      </c>
      <c r="AI35" s="5">
        <f t="shared" ca="1" si="8"/>
        <v>2.1012668562274631E-3</v>
      </c>
      <c r="AJ35" s="5">
        <f t="shared" ca="1" si="9"/>
        <v>1.6965038314951909E-3</v>
      </c>
      <c r="AK35" s="5">
        <f t="shared" ca="1" si="10"/>
        <v>2.0987662330991881E-3</v>
      </c>
      <c r="AM35" s="5">
        <f t="shared" ca="1" si="13"/>
        <v>1.7070334823974846E-2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1.20204</v>
      </c>
      <c r="F36" s="5">
        <v>21</v>
      </c>
      <c r="H36" s="5" t="s">
        <v>0</v>
      </c>
      <c r="I36" s="5">
        <v>100</v>
      </c>
      <c r="J36" s="5">
        <v>0.7</v>
      </c>
      <c r="L36" s="5">
        <f t="shared" ca="1" si="11"/>
        <v>108.25627</v>
      </c>
      <c r="M36" s="5">
        <f t="shared" ca="1" si="11"/>
        <v>108.08117</v>
      </c>
      <c r="N36" s="5">
        <f t="shared" ca="1" si="11"/>
        <v>108.00002000000001</v>
      </c>
      <c r="O36" s="5">
        <f t="shared" ca="1" si="11"/>
        <v>108.19337</v>
      </c>
      <c r="P36" s="5">
        <f t="shared" ca="1" si="11"/>
        <v>108.21080000000001</v>
      </c>
      <c r="Q36" s="5">
        <f t="shared" ca="1" si="11"/>
        <v>108.1208</v>
      </c>
      <c r="R36" s="5">
        <f t="shared" ca="1" si="11"/>
        <v>108.12163</v>
      </c>
      <c r="S36" s="5">
        <f t="shared" ca="1" si="11"/>
        <v>108.10849</v>
      </c>
      <c r="T36" s="5">
        <f t="shared" ca="1" si="11"/>
        <v>108.07163</v>
      </c>
      <c r="U36" s="5">
        <f t="shared" ca="1" si="11"/>
        <v>108.28447</v>
      </c>
      <c r="W36" s="5">
        <f t="shared" ca="1" si="12"/>
        <v>108.14486500000001</v>
      </c>
      <c r="Y36" s="5">
        <f ca="1">Total!E36</f>
        <v>107.28163000000001</v>
      </c>
      <c r="AB36" s="5">
        <f t="shared" ca="1" si="1"/>
        <v>9.0848731511629123E-3</v>
      </c>
      <c r="AC36" s="5">
        <f t="shared" ca="1" si="2"/>
        <v>7.4527204704103881E-3</v>
      </c>
      <c r="AD36" s="5">
        <f t="shared" ca="1" si="3"/>
        <v>6.6963001960354202E-3</v>
      </c>
      <c r="AE36" s="5">
        <f t="shared" ca="1" si="4"/>
        <v>8.4985658774945402E-3</v>
      </c>
      <c r="AF36" s="5">
        <f t="shared" ca="1" si="5"/>
        <v>8.6610354447448183E-3</v>
      </c>
      <c r="AG36" s="5">
        <f t="shared" ca="1" si="6"/>
        <v>7.8221220166024303E-3</v>
      </c>
      <c r="AH36" s="5">
        <f t="shared" ca="1" si="7"/>
        <v>7.8298586626619031E-3</v>
      </c>
      <c r="AI36" s="5">
        <f t="shared" ca="1" si="8"/>
        <v>7.7073773021531858E-3</v>
      </c>
      <c r="AJ36" s="5">
        <f t="shared" ca="1" si="9"/>
        <v>7.363795647027287E-3</v>
      </c>
      <c r="AK36" s="5">
        <f t="shared" ca="1" si="10"/>
        <v>9.3477326919808347E-3</v>
      </c>
      <c r="AM36" s="5">
        <f t="shared" ca="1" si="13"/>
        <v>8.0464381460273723E-2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1.2224600000000001</v>
      </c>
      <c r="F37" s="5">
        <v>22</v>
      </c>
      <c r="H37" s="5" t="s">
        <v>0</v>
      </c>
      <c r="I37" s="5">
        <v>100</v>
      </c>
      <c r="J37" s="5">
        <v>1</v>
      </c>
      <c r="L37" s="5">
        <f t="shared" ca="1" si="11"/>
        <v>103.95663</v>
      </c>
      <c r="M37" s="5">
        <f t="shared" ca="1" si="11"/>
        <v>103.95423</v>
      </c>
      <c r="N37" s="5">
        <f t="shared" ca="1" si="11"/>
        <v>104.05609</v>
      </c>
      <c r="O37" s="5">
        <f t="shared" ca="1" si="11"/>
        <v>103.9858</v>
      </c>
      <c r="P37" s="5">
        <f t="shared" ca="1" si="11"/>
        <v>103.96253</v>
      </c>
      <c r="Q37" s="5">
        <f t="shared" ca="1" si="11"/>
        <v>103.99996</v>
      </c>
      <c r="R37" s="5">
        <f t="shared" ca="1" si="11"/>
        <v>104.08163</v>
      </c>
      <c r="S37" s="5">
        <f t="shared" ca="1" si="11"/>
        <v>104.0284</v>
      </c>
      <c r="T37" s="5">
        <f t="shared" ca="1" si="11"/>
        <v>103.93828999999999</v>
      </c>
      <c r="U37" s="5">
        <f t="shared" ca="1" si="11"/>
        <v>103.63079999999999</v>
      </c>
      <c r="W37" s="5">
        <f t="shared" ca="1" si="12"/>
        <v>103.95943599999998</v>
      </c>
      <c r="Y37" s="5">
        <f ca="1">Total!E37</f>
        <v>103.21266</v>
      </c>
      <c r="AB37" s="5">
        <f t="shared" ca="1" si="1"/>
        <v>7.2081273750720549E-3</v>
      </c>
      <c r="AC37" s="5">
        <f t="shared" ca="1" si="2"/>
        <v>7.1848744136620048E-3</v>
      </c>
      <c r="AD37" s="5">
        <f t="shared" ca="1" si="3"/>
        <v>8.1717688508366887E-3</v>
      </c>
      <c r="AE37" s="5">
        <f t="shared" ca="1" si="4"/>
        <v>7.4907477435422936E-3</v>
      </c>
      <c r="AF37" s="5">
        <f t="shared" ca="1" si="5"/>
        <v>7.2652909052048596E-3</v>
      </c>
      <c r="AG37" s="5">
        <f t="shared" ca="1" si="6"/>
        <v>7.6279402158611342E-3</v>
      </c>
      <c r="AH37" s="5">
        <f t="shared" ca="1" si="7"/>
        <v>8.4192191151744797E-3</v>
      </c>
      <c r="AI37" s="5">
        <f t="shared" ca="1" si="8"/>
        <v>7.9034878085692713E-3</v>
      </c>
      <c r="AJ37" s="5">
        <f t="shared" ca="1" si="9"/>
        <v>7.0304359949641387E-3</v>
      </c>
      <c r="AK37" s="5">
        <f t="shared" ca="1" si="10"/>
        <v>4.0512472016513666E-3</v>
      </c>
      <c r="AM37" s="5">
        <f t="shared" ca="1" si="13"/>
        <v>7.2353139624538293E-2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1.2150000000000001</v>
      </c>
      <c r="F38" s="5">
        <v>22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1.20112</v>
      </c>
      <c r="F39" s="5">
        <v>20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1.20374</v>
      </c>
      <c r="F40" s="5">
        <v>21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2.9058700000000002</v>
      </c>
      <c r="F41" s="5">
        <v>69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2.8999600000000001</v>
      </c>
      <c r="F42" s="5">
        <v>71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2.91371</v>
      </c>
      <c r="F43" s="5">
        <v>71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2.9118400000000002</v>
      </c>
      <c r="F44" s="5">
        <v>71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2.89771</v>
      </c>
      <c r="F45" s="5">
        <v>69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2.9168500000000002</v>
      </c>
      <c r="F46" s="5">
        <v>71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2.9020100000000002</v>
      </c>
      <c r="F47" s="5">
        <v>70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2.9222700000000001</v>
      </c>
      <c r="F48" s="5">
        <v>71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2.9124699999999999</v>
      </c>
      <c r="F49" s="5">
        <v>72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2.8900600000000001</v>
      </c>
      <c r="F50" s="5">
        <v>69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182.34583000000001</v>
      </c>
      <c r="E51" s="5">
        <v>4.6061300000000003</v>
      </c>
      <c r="F51" s="5">
        <v>115</v>
      </c>
    </row>
    <row r="52" spans="1:6" x14ac:dyDescent="0.25">
      <c r="A52" s="5" t="s">
        <v>27</v>
      </c>
      <c r="B52" s="5">
        <v>50</v>
      </c>
      <c r="C52" s="5">
        <v>1</v>
      </c>
      <c r="D52" s="5">
        <v>179.93769</v>
      </c>
      <c r="E52" s="5">
        <v>4.6029499999999999</v>
      </c>
      <c r="F52" s="5">
        <v>115</v>
      </c>
    </row>
    <row r="53" spans="1:6" x14ac:dyDescent="0.25">
      <c r="A53" s="5" t="s">
        <v>27</v>
      </c>
      <c r="B53" s="5">
        <v>50</v>
      </c>
      <c r="C53" s="5">
        <v>1</v>
      </c>
      <c r="D53" s="5">
        <v>179.67332999999999</v>
      </c>
      <c r="E53" s="5">
        <v>4.5982799999999999</v>
      </c>
      <c r="F53" s="5">
        <v>116</v>
      </c>
    </row>
    <row r="54" spans="1:6" x14ac:dyDescent="0.25">
      <c r="A54" s="5" t="s">
        <v>27</v>
      </c>
      <c r="B54" s="5">
        <v>50</v>
      </c>
      <c r="C54" s="5">
        <v>1</v>
      </c>
      <c r="D54" s="5">
        <v>180.25484</v>
      </c>
      <c r="E54" s="5">
        <v>4.5972299999999997</v>
      </c>
      <c r="F54" s="5">
        <v>116</v>
      </c>
    </row>
    <row r="55" spans="1:6" x14ac:dyDescent="0.25">
      <c r="A55" s="5" t="s">
        <v>27</v>
      </c>
      <c r="B55" s="5">
        <v>50</v>
      </c>
      <c r="C55" s="5">
        <v>1</v>
      </c>
      <c r="D55" s="5">
        <v>179.94333</v>
      </c>
      <c r="E55" s="5">
        <v>4.6093500000000001</v>
      </c>
      <c r="F55" s="5">
        <v>115</v>
      </c>
    </row>
    <row r="56" spans="1:6" x14ac:dyDescent="0.25">
      <c r="A56" s="5" t="s">
        <v>27</v>
      </c>
      <c r="B56" s="5">
        <v>50</v>
      </c>
      <c r="C56" s="5">
        <v>1</v>
      </c>
      <c r="D56" s="5">
        <v>182.34583000000001</v>
      </c>
      <c r="E56" s="5">
        <v>4.59361</v>
      </c>
      <c r="F56" s="5">
        <v>115</v>
      </c>
    </row>
    <row r="57" spans="1:6" x14ac:dyDescent="0.25">
      <c r="A57" s="5" t="s">
        <v>27</v>
      </c>
      <c r="B57" s="5">
        <v>50</v>
      </c>
      <c r="C57" s="5">
        <v>1</v>
      </c>
      <c r="D57" s="5">
        <v>182.07667000000001</v>
      </c>
      <c r="E57" s="5">
        <v>4.6113999999999997</v>
      </c>
      <c r="F57" s="5">
        <v>115</v>
      </c>
    </row>
    <row r="58" spans="1:6" x14ac:dyDescent="0.25">
      <c r="A58" s="5" t="s">
        <v>27</v>
      </c>
      <c r="B58" s="5">
        <v>50</v>
      </c>
      <c r="C58" s="5">
        <v>1</v>
      </c>
      <c r="D58" s="5">
        <v>182.34583000000001</v>
      </c>
      <c r="E58" s="5">
        <v>4.6085200000000004</v>
      </c>
      <c r="F58" s="5">
        <v>115</v>
      </c>
    </row>
    <row r="59" spans="1:6" x14ac:dyDescent="0.25">
      <c r="A59" s="5" t="s">
        <v>27</v>
      </c>
      <c r="B59" s="5">
        <v>50</v>
      </c>
      <c r="C59" s="5">
        <v>1</v>
      </c>
      <c r="D59" s="5">
        <v>181.5967</v>
      </c>
      <c r="E59" s="5">
        <v>4.6026600000000002</v>
      </c>
      <c r="F59" s="5">
        <v>114</v>
      </c>
    </row>
    <row r="60" spans="1:6" x14ac:dyDescent="0.25">
      <c r="A60" s="5" t="s">
        <v>27</v>
      </c>
      <c r="B60" s="5">
        <v>50</v>
      </c>
      <c r="C60" s="5">
        <v>1</v>
      </c>
      <c r="D60" s="5">
        <v>180.56969000000001</v>
      </c>
      <c r="E60" s="5">
        <v>4.6180199999999996</v>
      </c>
      <c r="F60" s="5">
        <v>115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5.6962700000000002</v>
      </c>
      <c r="F61" s="5">
        <v>42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5.6482299999999999</v>
      </c>
      <c r="F62" s="5">
        <v>42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5.6745799999999997</v>
      </c>
      <c r="F63" s="5">
        <v>42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5.6736300000000002</v>
      </c>
      <c r="F64" s="5">
        <v>42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5.6791499999999999</v>
      </c>
      <c r="F65" s="5">
        <v>42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5.7134</v>
      </c>
      <c r="F66" s="5">
        <v>42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5.6535099999999998</v>
      </c>
      <c r="F67" s="5">
        <v>42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5.6692999999999998</v>
      </c>
      <c r="F68" s="5">
        <v>42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5.66031</v>
      </c>
      <c r="F69" s="5">
        <v>42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5.7064399999999997</v>
      </c>
      <c r="F70" s="5">
        <v>42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256.58694000000003</v>
      </c>
      <c r="E71" s="5">
        <v>11.699780000000001</v>
      </c>
      <c r="F71" s="5">
        <v>83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258.71722</v>
      </c>
      <c r="E72" s="5">
        <v>11.65855</v>
      </c>
      <c r="F72" s="5">
        <v>81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256.53282999999999</v>
      </c>
      <c r="E73" s="5">
        <v>11.728210000000001</v>
      </c>
      <c r="F73" s="5">
        <v>82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258.15060999999997</v>
      </c>
      <c r="E74" s="5">
        <v>11.67652</v>
      </c>
      <c r="F74" s="5">
        <v>83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256.78617000000003</v>
      </c>
      <c r="E75" s="5">
        <v>11.74104</v>
      </c>
      <c r="F75" s="5">
        <v>82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258.46994000000001</v>
      </c>
      <c r="E76" s="5">
        <v>11.716530000000001</v>
      </c>
      <c r="F76" s="5">
        <v>83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257.44711000000001</v>
      </c>
      <c r="E77" s="5">
        <v>11.67347</v>
      </c>
      <c r="F77" s="5">
        <v>81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258.79205999999999</v>
      </c>
      <c r="E78" s="5">
        <v>11.686199999999999</v>
      </c>
      <c r="F78" s="5">
        <v>81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258.80128999999999</v>
      </c>
      <c r="E79" s="5">
        <v>11.74563</v>
      </c>
      <c r="F79" s="5">
        <v>83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256.17185000000001</v>
      </c>
      <c r="E80" s="5">
        <v>11.685689999999999</v>
      </c>
      <c r="F80" s="5">
        <v>82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239.11667</v>
      </c>
      <c r="E81" s="5">
        <v>30.199590000000001</v>
      </c>
      <c r="F81" s="5">
        <v>206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239.19873000000001</v>
      </c>
      <c r="E82" s="5">
        <v>30.23798</v>
      </c>
      <c r="F82" s="5">
        <v>207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239.61258000000001</v>
      </c>
      <c r="E83" s="5">
        <v>30.13156</v>
      </c>
      <c r="F83" s="5">
        <v>206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239.08756</v>
      </c>
      <c r="E84" s="5">
        <v>30.190249999999999</v>
      </c>
      <c r="F84" s="5">
        <v>206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239.56759</v>
      </c>
      <c r="E85" s="5">
        <v>30.19481</v>
      </c>
      <c r="F85" s="5">
        <v>206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240.35</v>
      </c>
      <c r="E86" s="5">
        <v>30.142320000000002</v>
      </c>
      <c r="F86" s="5">
        <v>207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239.12036000000001</v>
      </c>
      <c r="E87" s="5">
        <v>30.20729</v>
      </c>
      <c r="F87" s="5">
        <v>207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239.16</v>
      </c>
      <c r="E88" s="5">
        <v>30.183240000000001</v>
      </c>
      <c r="F88" s="5">
        <v>204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239.40593000000001</v>
      </c>
      <c r="E89" s="5">
        <v>30.140429999999999</v>
      </c>
      <c r="F89" s="5">
        <v>205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239.42823000000001</v>
      </c>
      <c r="E90" s="5">
        <v>30.17286</v>
      </c>
      <c r="F90" s="5">
        <v>206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0.58577999999999997</v>
      </c>
      <c r="F91" s="5">
        <v>50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0.58381000000000005</v>
      </c>
      <c r="F92" s="5">
        <v>56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0.58753</v>
      </c>
      <c r="F93" s="5">
        <v>59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0.58214999999999995</v>
      </c>
      <c r="F94" s="5">
        <v>59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0.58204999999999996</v>
      </c>
      <c r="F95" s="5">
        <v>60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0.58665999999999996</v>
      </c>
      <c r="F96" s="5">
        <v>61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0.58567999999999998</v>
      </c>
      <c r="F97" s="5">
        <v>62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0.58142000000000005</v>
      </c>
      <c r="F98" s="5">
        <v>52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0.58133999999999997</v>
      </c>
      <c r="F99" s="5">
        <v>59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0.58645999999999998</v>
      </c>
      <c r="F100" s="5">
        <v>60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0.73856999999999995</v>
      </c>
      <c r="F101" s="5">
        <v>73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0.73765999999999998</v>
      </c>
      <c r="F102" s="5">
        <v>77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0.73914000000000002</v>
      </c>
      <c r="F103" s="5">
        <v>71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0.73692999999999997</v>
      </c>
      <c r="F104" s="5">
        <v>76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0.73712</v>
      </c>
      <c r="F105" s="5">
        <v>76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0.73882999999999999</v>
      </c>
      <c r="F106" s="5">
        <v>77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0.73531000000000002</v>
      </c>
      <c r="F107" s="5">
        <v>76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0.73836999999999997</v>
      </c>
      <c r="F108" s="5">
        <v>68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0.73406000000000005</v>
      </c>
      <c r="F109" s="5">
        <v>76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0.73970000000000002</v>
      </c>
      <c r="F110" s="5">
        <v>77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1.27536</v>
      </c>
      <c r="F111" s="5">
        <v>125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1.27732</v>
      </c>
      <c r="F112" s="5">
        <v>124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1.28125</v>
      </c>
      <c r="F113" s="5">
        <v>127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1.27874</v>
      </c>
      <c r="F114" s="5">
        <v>128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1.27826</v>
      </c>
      <c r="F115" s="5">
        <v>119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1.27901</v>
      </c>
      <c r="F116" s="5">
        <v>126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1.2766500000000001</v>
      </c>
      <c r="F117" s="5">
        <v>128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1.2776099999999999</v>
      </c>
      <c r="F118" s="5">
        <v>128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1.2806500000000001</v>
      </c>
      <c r="F119" s="5">
        <v>123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1.27925</v>
      </c>
      <c r="F120" s="5">
        <v>127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4348.0289499999999</v>
      </c>
      <c r="E121" s="5">
        <v>2.0036499999999999</v>
      </c>
      <c r="F121" s="5">
        <v>67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4350.8413700000001</v>
      </c>
      <c r="E122" s="5">
        <v>2.00223</v>
      </c>
      <c r="F122" s="5">
        <v>66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4348.0289499999999</v>
      </c>
      <c r="E123" s="5">
        <v>2.0125799999999998</v>
      </c>
      <c r="F123" s="5">
        <v>68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4348.0289499999999</v>
      </c>
      <c r="E124" s="5">
        <v>1.9942599999999999</v>
      </c>
      <c r="F124" s="5">
        <v>65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4348.0289499999999</v>
      </c>
      <c r="E125" s="5">
        <v>1.9961100000000001</v>
      </c>
      <c r="F125" s="5">
        <v>67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4348.0289499999999</v>
      </c>
      <c r="E126" s="5">
        <v>1.9911700000000001</v>
      </c>
      <c r="F126" s="5">
        <v>66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1.99444</v>
      </c>
      <c r="F127" s="5">
        <v>67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2.0057800000000001</v>
      </c>
      <c r="F128" s="5">
        <v>68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2.00556</v>
      </c>
      <c r="F129" s="5">
        <v>67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4350.8413700000001</v>
      </c>
      <c r="E130" s="5">
        <v>1.9973700000000001</v>
      </c>
      <c r="F130" s="5">
        <v>68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2.8631799999999998</v>
      </c>
      <c r="F131" s="5">
        <v>89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2.8786100000000001</v>
      </c>
      <c r="F132" s="5">
        <v>93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2.8809900000000002</v>
      </c>
      <c r="F133" s="5">
        <v>92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2.8763100000000001</v>
      </c>
      <c r="F134" s="5">
        <v>90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2.8723999999999998</v>
      </c>
      <c r="F135" s="5">
        <v>92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2.8625699999999998</v>
      </c>
      <c r="F136" s="5">
        <v>90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2.87147</v>
      </c>
      <c r="F137" s="5">
        <v>91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2.8786200000000002</v>
      </c>
      <c r="F138" s="5">
        <v>92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2.8676599999999999</v>
      </c>
      <c r="F139" s="5">
        <v>91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2.8773</v>
      </c>
      <c r="F140" s="5">
        <v>91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3.5165899999999999</v>
      </c>
      <c r="F141" s="5">
        <v>106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3.5215000000000001</v>
      </c>
      <c r="F142" s="5">
        <v>110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3.5171199999999998</v>
      </c>
      <c r="F143" s="5">
        <v>110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3.5157099999999999</v>
      </c>
      <c r="F144" s="5">
        <v>109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3.52393</v>
      </c>
      <c r="F145" s="5">
        <v>111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3.5215700000000001</v>
      </c>
      <c r="F146" s="5">
        <v>113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3.5285600000000001</v>
      </c>
      <c r="F147" s="5">
        <v>113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3.52684</v>
      </c>
      <c r="F148" s="5">
        <v>111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3.5361099999999999</v>
      </c>
      <c r="F149" s="5">
        <v>111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3.5215999999999998</v>
      </c>
      <c r="F150" s="5">
        <v>110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42986.673049999998</v>
      </c>
      <c r="E151" s="5">
        <v>4.9990899999999998</v>
      </c>
      <c r="F151" s="5">
        <v>39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42986.345820000002</v>
      </c>
      <c r="E152" s="5">
        <v>4.97248</v>
      </c>
      <c r="F152" s="5">
        <v>39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42986.673049999998</v>
      </c>
      <c r="E153" s="5">
        <v>4.8870199999999997</v>
      </c>
      <c r="F153" s="5">
        <v>38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42987.644590000004</v>
      </c>
      <c r="E154" s="5">
        <v>4.9107200000000004</v>
      </c>
      <c r="F154" s="5">
        <v>38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42986.403050000001</v>
      </c>
      <c r="E155" s="5">
        <v>4.9855999999999998</v>
      </c>
      <c r="F155" s="5">
        <v>39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42987.644590000004</v>
      </c>
      <c r="E156" s="5">
        <v>4.9001700000000001</v>
      </c>
      <c r="F156" s="5">
        <v>38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42986.802479999998</v>
      </c>
      <c r="E157" s="5">
        <v>4.9096599999999997</v>
      </c>
      <c r="F157" s="5">
        <v>38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42986.45392</v>
      </c>
      <c r="E158" s="5">
        <v>4.8874899999999997</v>
      </c>
      <c r="F158" s="5">
        <v>38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42986.673049999998</v>
      </c>
      <c r="E159" s="5">
        <v>4.9138900000000003</v>
      </c>
      <c r="F159" s="5">
        <v>38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42986.836920000002</v>
      </c>
      <c r="E160" s="5">
        <v>4.9788699999999997</v>
      </c>
      <c r="F160" s="5">
        <v>39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35397.55083</v>
      </c>
      <c r="E161" s="5">
        <v>12.783910000000001</v>
      </c>
      <c r="F161" s="5">
        <v>94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35597.437570000002</v>
      </c>
      <c r="E162" s="5">
        <v>12.7072</v>
      </c>
      <c r="F162" s="5">
        <v>94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35765.892</v>
      </c>
      <c r="E163" s="5">
        <v>12.74333</v>
      </c>
      <c r="F163" s="5">
        <v>94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35579.21542</v>
      </c>
      <c r="E164" s="5">
        <v>12.76102</v>
      </c>
      <c r="F164" s="5">
        <v>94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35336.072039999999</v>
      </c>
      <c r="E165" s="5">
        <v>12.80603</v>
      </c>
      <c r="F165" s="5">
        <v>95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35571.893900000003</v>
      </c>
      <c r="E166" s="5">
        <v>12.7857</v>
      </c>
      <c r="F166" s="5">
        <v>94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35595.838609999999</v>
      </c>
      <c r="E167" s="5">
        <v>12.75794</v>
      </c>
      <c r="F167" s="5">
        <v>94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35750.447849999997</v>
      </c>
      <c r="E168" s="5">
        <v>12.71069</v>
      </c>
      <c r="F168" s="5">
        <v>94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35641.497560000003</v>
      </c>
      <c r="E169" s="5">
        <v>12.785629999999999</v>
      </c>
      <c r="F169" s="5">
        <v>94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35599.420570000002</v>
      </c>
      <c r="E170" s="5">
        <v>12.705489999999999</v>
      </c>
      <c r="F170" s="5">
        <v>94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35246.867899999997</v>
      </c>
      <c r="E171" s="5">
        <v>28.496500000000001</v>
      </c>
      <c r="F171" s="5">
        <v>218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35307.038330000003</v>
      </c>
      <c r="E172" s="5">
        <v>28.539549999999998</v>
      </c>
      <c r="F172" s="5">
        <v>212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35244.03901</v>
      </c>
      <c r="E173" s="5">
        <v>28.539400000000001</v>
      </c>
      <c r="F173" s="5">
        <v>218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35354.054859999997</v>
      </c>
      <c r="E174" s="5">
        <v>28.553550000000001</v>
      </c>
      <c r="F174" s="5">
        <v>216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35272.774299999997</v>
      </c>
      <c r="E175" s="5">
        <v>28.53098</v>
      </c>
      <c r="F175" s="5">
        <v>216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35272.600709999999</v>
      </c>
      <c r="E176" s="5">
        <v>28.528849999999998</v>
      </c>
      <c r="F176" s="5">
        <v>211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35304.502719999997</v>
      </c>
      <c r="E177" s="5">
        <v>28.586919999999999</v>
      </c>
      <c r="F177" s="5">
        <v>216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35247.82</v>
      </c>
      <c r="E178" s="5">
        <v>28.501629999999999</v>
      </c>
      <c r="F178" s="5">
        <v>216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35283.446669999998</v>
      </c>
      <c r="E179" s="5">
        <v>28.583159999999999</v>
      </c>
      <c r="F179" s="5">
        <v>213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35250.980000000003</v>
      </c>
      <c r="E180" s="5">
        <v>28.55819</v>
      </c>
      <c r="F180" s="5">
        <v>215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0.73392999999999997</v>
      </c>
      <c r="F181" s="5">
        <v>47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0.74019999999999997</v>
      </c>
      <c r="F182" s="5">
        <v>47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0.73124</v>
      </c>
      <c r="F183" s="5">
        <v>50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0.73514999999999997</v>
      </c>
      <c r="F184" s="5">
        <v>50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0.73928000000000005</v>
      </c>
      <c r="F185" s="5">
        <v>50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0.73995999999999995</v>
      </c>
      <c r="F186" s="5">
        <v>50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0.73094999999999999</v>
      </c>
      <c r="F187" s="5">
        <v>50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0.74161999999999995</v>
      </c>
      <c r="F188" s="5">
        <v>46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0.73126000000000002</v>
      </c>
      <c r="F189" s="5">
        <v>51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0.73446</v>
      </c>
      <c r="F190" s="5">
        <v>51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675.36989000000005</v>
      </c>
      <c r="E191" s="5">
        <v>1.14459</v>
      </c>
      <c r="F191" s="5">
        <v>74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675.36989000000005</v>
      </c>
      <c r="E192" s="5">
        <v>1.1352199999999999</v>
      </c>
      <c r="F192" s="5">
        <v>79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677.26074000000006</v>
      </c>
      <c r="E193" s="5">
        <v>1.1448499999999999</v>
      </c>
      <c r="F193" s="5">
        <v>79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677.27696000000003</v>
      </c>
      <c r="E194" s="5">
        <v>1.14625</v>
      </c>
      <c r="F194" s="5">
        <v>78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675.36581000000001</v>
      </c>
      <c r="E195" s="5">
        <v>1.14577</v>
      </c>
      <c r="F195" s="5">
        <v>76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675.36581000000001</v>
      </c>
      <c r="E196" s="5">
        <v>1.13507</v>
      </c>
      <c r="F196" s="5">
        <v>79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675.36989000000005</v>
      </c>
      <c r="E197" s="5">
        <v>1.1353599999999999</v>
      </c>
      <c r="F197" s="5">
        <v>80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675.78093999999999</v>
      </c>
      <c r="E198" s="5">
        <v>1.1443399999999999</v>
      </c>
      <c r="F198" s="5">
        <v>74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675.47965999999997</v>
      </c>
      <c r="E199" s="5">
        <v>1.1402099999999999</v>
      </c>
      <c r="F199" s="5">
        <v>81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675.36989000000005</v>
      </c>
      <c r="E200" s="5">
        <v>1.1401399999999999</v>
      </c>
      <c r="F200" s="5">
        <v>81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655.43295999999998</v>
      </c>
      <c r="E201" s="5">
        <v>2.0733999999999999</v>
      </c>
      <c r="F201" s="5">
        <v>138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657.32992999999999</v>
      </c>
      <c r="E202" s="5">
        <v>2.0851299999999999</v>
      </c>
      <c r="F202" s="5">
        <v>136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656.34204</v>
      </c>
      <c r="E203" s="5">
        <v>2.0691899999999999</v>
      </c>
      <c r="F203" s="5">
        <v>140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655.43295999999998</v>
      </c>
      <c r="E204" s="5">
        <v>2.0705</v>
      </c>
      <c r="F204" s="5">
        <v>134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657.95457999999996</v>
      </c>
      <c r="E205" s="5">
        <v>2.0661900000000002</v>
      </c>
      <c r="F205" s="5">
        <v>139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657.46325999999999</v>
      </c>
      <c r="E206" s="5">
        <v>2.0725199999999999</v>
      </c>
      <c r="F206" s="5">
        <v>133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657.35562000000004</v>
      </c>
      <c r="E207" s="5">
        <v>2.0746799999999999</v>
      </c>
      <c r="F207" s="5">
        <v>141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657.32380999999998</v>
      </c>
      <c r="E208" s="5">
        <v>2.0764</v>
      </c>
      <c r="F208" s="5">
        <v>138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655.43295999999998</v>
      </c>
      <c r="E209" s="5">
        <v>2.0696699999999999</v>
      </c>
      <c r="F209" s="5">
        <v>140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657.32380999999998</v>
      </c>
      <c r="E210" s="5">
        <v>2.07077</v>
      </c>
      <c r="F210" s="5">
        <v>139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1459.9687899999999</v>
      </c>
      <c r="E211" s="5">
        <v>1.60528</v>
      </c>
      <c r="F211" s="5">
        <v>48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1460.0209400000001</v>
      </c>
      <c r="E212" s="5">
        <v>1.60791</v>
      </c>
      <c r="F212" s="5">
        <v>50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1467.0858700000001</v>
      </c>
      <c r="E213" s="5">
        <v>1.6133</v>
      </c>
      <c r="F213" s="5">
        <v>50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1460.8056899999999</v>
      </c>
      <c r="E214" s="5">
        <v>1.5957699999999999</v>
      </c>
      <c r="F214" s="5">
        <v>49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1459.9687899999999</v>
      </c>
      <c r="E215" s="5">
        <v>1.6129199999999999</v>
      </c>
      <c r="F215" s="5">
        <v>50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1460.0209400000001</v>
      </c>
      <c r="E216" s="5">
        <v>1.61219</v>
      </c>
      <c r="F216" s="5">
        <v>48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1459.9687899999999</v>
      </c>
      <c r="E217" s="5">
        <v>1.6069</v>
      </c>
      <c r="F217" s="5">
        <v>50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1468.7958699999999</v>
      </c>
      <c r="E218" s="5">
        <v>1.6001099999999999</v>
      </c>
      <c r="F218" s="5">
        <v>50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1459.9687899999999</v>
      </c>
      <c r="E219" s="5">
        <v>1.59656</v>
      </c>
      <c r="F219" s="5">
        <v>48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1459.9687899999999</v>
      </c>
      <c r="E220" s="5">
        <v>1.5864499999999999</v>
      </c>
      <c r="F220" s="5">
        <v>49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1012.4457200000001</v>
      </c>
      <c r="E221" s="5">
        <v>4.5639000000000003</v>
      </c>
      <c r="F221" s="5">
        <v>137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1011.33063</v>
      </c>
      <c r="E222" s="5">
        <v>4.5491999999999999</v>
      </c>
      <c r="F222" s="5">
        <v>137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1016.21518</v>
      </c>
      <c r="E223" s="5">
        <v>4.5595400000000001</v>
      </c>
      <c r="F223" s="5">
        <v>137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1014.94335</v>
      </c>
      <c r="E224" s="5">
        <v>4.5531899999999998</v>
      </c>
      <c r="F224" s="5">
        <v>136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1013.2638899999999</v>
      </c>
      <c r="E225" s="5">
        <v>4.5476900000000002</v>
      </c>
      <c r="F225" s="5">
        <v>136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1016.20559</v>
      </c>
      <c r="E226" s="5">
        <v>4.5596300000000003</v>
      </c>
      <c r="F226" s="5">
        <v>136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1015.67494</v>
      </c>
      <c r="E227" s="5">
        <v>4.54861</v>
      </c>
      <c r="F227" s="5">
        <v>137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1005.95922</v>
      </c>
      <c r="E228" s="5">
        <v>4.5480200000000002</v>
      </c>
      <c r="F228" s="5">
        <v>136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1015.7056700000001</v>
      </c>
      <c r="E229" s="5">
        <v>4.5509000000000004</v>
      </c>
      <c r="F229" s="5">
        <v>136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1012.64239</v>
      </c>
      <c r="E230" s="5">
        <v>4.5536899999999996</v>
      </c>
      <c r="F230" s="5">
        <v>135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993.37738999999999</v>
      </c>
      <c r="E231" s="5">
        <v>8.3914600000000004</v>
      </c>
      <c r="F231" s="5">
        <v>242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995.22631000000001</v>
      </c>
      <c r="E232" s="5">
        <v>8.4078800000000005</v>
      </c>
      <c r="F232" s="5">
        <v>244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994.09427000000005</v>
      </c>
      <c r="E233" s="5">
        <v>8.3910699999999991</v>
      </c>
      <c r="F233" s="5">
        <v>239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996.33298000000002</v>
      </c>
      <c r="E234" s="5">
        <v>8.4053799999999992</v>
      </c>
      <c r="F234" s="5">
        <v>242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993.96097999999995</v>
      </c>
      <c r="E235" s="5">
        <v>8.3882100000000008</v>
      </c>
      <c r="F235" s="5">
        <v>240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992.33966999999996</v>
      </c>
      <c r="E236" s="5">
        <v>8.4194600000000008</v>
      </c>
      <c r="F236" s="5">
        <v>241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994.48231999999996</v>
      </c>
      <c r="E237" s="5">
        <v>8.38748</v>
      </c>
      <c r="F237" s="5">
        <v>238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996.20426999999995</v>
      </c>
      <c r="E238" s="5">
        <v>8.4118700000000004</v>
      </c>
      <c r="F238" s="5">
        <v>242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992.57797000000005</v>
      </c>
      <c r="E239" s="5">
        <v>8.3870799999999992</v>
      </c>
      <c r="F239" s="5">
        <v>240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994.31488000000002</v>
      </c>
      <c r="E240" s="5">
        <v>8.3879099999999998</v>
      </c>
      <c r="F240" s="5">
        <v>240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1863.6757600000001</v>
      </c>
      <c r="E241" s="5">
        <v>5.0814000000000004</v>
      </c>
      <c r="F241" s="5">
        <v>43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1835.05051</v>
      </c>
      <c r="E242" s="5">
        <v>5.1291000000000002</v>
      </c>
      <c r="F242" s="5">
        <v>44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1826.65005</v>
      </c>
      <c r="E243" s="5">
        <v>5.1330099999999996</v>
      </c>
      <c r="F243" s="5">
        <v>44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1861.6447800000001</v>
      </c>
      <c r="E244" s="5">
        <v>5.1261299999999999</v>
      </c>
      <c r="F244" s="5">
        <v>44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1840.96648</v>
      </c>
      <c r="E245" s="5">
        <v>5.0643599999999998</v>
      </c>
      <c r="F245" s="5">
        <v>43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1854.72081</v>
      </c>
      <c r="E246" s="5">
        <v>5.1358199999999998</v>
      </c>
      <c r="F246" s="5">
        <v>44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1852.1881100000001</v>
      </c>
      <c r="E247" s="5">
        <v>5.0543699999999996</v>
      </c>
      <c r="F247" s="5">
        <v>43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1875.66704</v>
      </c>
      <c r="E248" s="5">
        <v>5.0932000000000004</v>
      </c>
      <c r="F248" s="5">
        <v>43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1846.99245</v>
      </c>
      <c r="E249" s="5">
        <v>5.1260500000000002</v>
      </c>
      <c r="F249" s="5">
        <v>44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1864.37573</v>
      </c>
      <c r="E250" s="5">
        <v>5.05647</v>
      </c>
      <c r="F250" s="5">
        <v>43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1773.19371</v>
      </c>
      <c r="E251" s="5">
        <v>9.3988899999999997</v>
      </c>
      <c r="F251" s="5">
        <v>77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1782.5927200000001</v>
      </c>
      <c r="E252" s="5">
        <v>9.3743200000000009</v>
      </c>
      <c r="F252" s="5">
        <v>77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1783.05242</v>
      </c>
      <c r="E253" s="5">
        <v>9.4106500000000004</v>
      </c>
      <c r="F253" s="5">
        <v>77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1788.0802000000001</v>
      </c>
      <c r="E254" s="5">
        <v>9.4076599999999999</v>
      </c>
      <c r="F254" s="5">
        <v>77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1784.68</v>
      </c>
      <c r="E255" s="5">
        <v>9.4454200000000004</v>
      </c>
      <c r="F255" s="5">
        <v>77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1783.9566500000001</v>
      </c>
      <c r="E256" s="5">
        <v>9.3805700000000005</v>
      </c>
      <c r="F256" s="5">
        <v>78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1782.3958700000001</v>
      </c>
      <c r="E257" s="5">
        <v>9.4168699999999994</v>
      </c>
      <c r="F257" s="5">
        <v>77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1787.6733300000001</v>
      </c>
      <c r="E258" s="5">
        <v>9.4373799999999992</v>
      </c>
      <c r="F258" s="5">
        <v>77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1775.12156</v>
      </c>
      <c r="E259" s="5">
        <v>9.4456600000000002</v>
      </c>
      <c r="F259" s="5">
        <v>78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1785.8593000000001</v>
      </c>
      <c r="E260" s="5">
        <v>9.4445800000000002</v>
      </c>
      <c r="F260" s="5">
        <v>77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1756.5966699999999</v>
      </c>
      <c r="E261" s="5">
        <v>15.37637</v>
      </c>
      <c r="F261" s="5">
        <v>124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1758.78333</v>
      </c>
      <c r="E262" s="5">
        <v>15.38621</v>
      </c>
      <c r="F262" s="5">
        <v>124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1755.55333</v>
      </c>
      <c r="E263" s="5">
        <v>15.411759999999999</v>
      </c>
      <c r="F263" s="5">
        <v>124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1755.74</v>
      </c>
      <c r="E264" s="5">
        <v>15.33493</v>
      </c>
      <c r="F264" s="5">
        <v>123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1755.27333</v>
      </c>
      <c r="E265" s="5">
        <v>15.405469999999999</v>
      </c>
      <c r="F265" s="5">
        <v>124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1757.49667</v>
      </c>
      <c r="E266" s="5">
        <v>15.378819999999999</v>
      </c>
      <c r="F266" s="5">
        <v>123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1758.6869099999999</v>
      </c>
      <c r="E267" s="5">
        <v>15.4236</v>
      </c>
      <c r="F267" s="5">
        <v>124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1757.6415199999999</v>
      </c>
      <c r="E268" s="5">
        <v>15.350160000000001</v>
      </c>
      <c r="F268" s="5">
        <v>123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1757.9361699999999</v>
      </c>
      <c r="E269" s="5">
        <v>15.36543</v>
      </c>
      <c r="F269" s="5">
        <v>124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1759.5933299999999</v>
      </c>
      <c r="E270" s="5">
        <v>15.407970000000001</v>
      </c>
      <c r="F270" s="5">
        <v>126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42.424349999999997</v>
      </c>
      <c r="E271" s="5">
        <v>0.58860999999999997</v>
      </c>
      <c r="F271" s="5">
        <v>44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42.424349999999997</v>
      </c>
      <c r="E272" s="5">
        <v>0.58743999999999996</v>
      </c>
      <c r="F272" s="5">
        <v>41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41.319229999999997</v>
      </c>
      <c r="E273" s="5">
        <v>0.58728999999999998</v>
      </c>
      <c r="F273" s="5">
        <v>44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41.318849999999998</v>
      </c>
      <c r="E274" s="5">
        <v>0.59186000000000005</v>
      </c>
      <c r="F274" s="5">
        <v>42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41.318849999999998</v>
      </c>
      <c r="E275" s="5">
        <v>0.58889999999999998</v>
      </c>
      <c r="F275" s="5">
        <v>44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41.318849999999998</v>
      </c>
      <c r="E276" s="5">
        <v>0.58599999999999997</v>
      </c>
      <c r="F276" s="5">
        <v>42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41.318849999999998</v>
      </c>
      <c r="E277" s="5">
        <v>0.59025000000000005</v>
      </c>
      <c r="F277" s="5">
        <v>44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41.318849999999998</v>
      </c>
      <c r="E278" s="5">
        <v>0.58791000000000004</v>
      </c>
      <c r="F278" s="5">
        <v>42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42.185079999999999</v>
      </c>
      <c r="E279" s="5">
        <v>0.58513999999999999</v>
      </c>
      <c r="F279" s="5">
        <v>43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42.424349999999997</v>
      </c>
      <c r="E280" s="5">
        <v>0.59257000000000004</v>
      </c>
      <c r="F280" s="5">
        <v>41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0.87802999999999998</v>
      </c>
      <c r="F281" s="5">
        <v>71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0.87544999999999995</v>
      </c>
      <c r="F282" s="5">
        <v>75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28.65436</v>
      </c>
      <c r="E283" s="5">
        <v>0.87580000000000002</v>
      </c>
      <c r="F283" s="5">
        <v>78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0.87312999999999996</v>
      </c>
      <c r="F284" s="5">
        <v>70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0.88080000000000003</v>
      </c>
      <c r="F285" s="5">
        <v>78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28.65436</v>
      </c>
      <c r="E286" s="5">
        <v>0.87534000000000001</v>
      </c>
      <c r="F286" s="5">
        <v>79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28.65436</v>
      </c>
      <c r="E287" s="5">
        <v>0.87553999999999998</v>
      </c>
      <c r="F287" s="5">
        <v>79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0.88144999999999996</v>
      </c>
      <c r="F288" s="5">
        <v>79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28.65624</v>
      </c>
      <c r="E289" s="5">
        <v>0.87551000000000001</v>
      </c>
      <c r="F289" s="5">
        <v>71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0.87405999999999995</v>
      </c>
      <c r="F290" s="5">
        <v>80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28.546240000000001</v>
      </c>
      <c r="E291" s="5">
        <v>1.13341</v>
      </c>
      <c r="F291" s="5">
        <v>94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28.587009999999999</v>
      </c>
      <c r="E292" s="5">
        <v>1.1369</v>
      </c>
      <c r="F292" s="5">
        <v>91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28.592030000000001</v>
      </c>
      <c r="E293" s="5">
        <v>1.1312199999999999</v>
      </c>
      <c r="F293" s="5">
        <v>95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28.546240000000001</v>
      </c>
      <c r="E294" s="5">
        <v>1.1391899999999999</v>
      </c>
      <c r="F294" s="5">
        <v>97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28.602029999999999</v>
      </c>
      <c r="E295" s="5">
        <v>1.1350800000000001</v>
      </c>
      <c r="F295" s="5">
        <v>95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28.546240000000001</v>
      </c>
      <c r="E296" s="5">
        <v>1.1359999999999999</v>
      </c>
      <c r="F296" s="5">
        <v>93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28.616240000000001</v>
      </c>
      <c r="E297" s="5">
        <v>1.13646</v>
      </c>
      <c r="F297" s="5">
        <v>95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28.587009999999999</v>
      </c>
      <c r="E298" s="5">
        <v>1.13462</v>
      </c>
      <c r="F298" s="5">
        <v>97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28.602029999999999</v>
      </c>
      <c r="E299" s="5">
        <v>1.1357600000000001</v>
      </c>
      <c r="F299" s="5">
        <v>98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28.592030000000001</v>
      </c>
      <c r="E300" s="5">
        <v>1.1326400000000001</v>
      </c>
      <c r="F300" s="5">
        <v>92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59.072850000000003</v>
      </c>
      <c r="E301" s="5">
        <v>1.94224</v>
      </c>
      <c r="F301" s="5">
        <v>56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59.132849999999998</v>
      </c>
      <c r="E302" s="5">
        <v>1.9478500000000001</v>
      </c>
      <c r="F302" s="5">
        <v>58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57.381279999999997</v>
      </c>
      <c r="E303" s="5">
        <v>1.92808</v>
      </c>
      <c r="F303" s="5">
        <v>56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59.061019999999999</v>
      </c>
      <c r="E304" s="5">
        <v>1.93418</v>
      </c>
      <c r="F304" s="5">
        <v>58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56.911659999999998</v>
      </c>
      <c r="E305" s="5">
        <v>1.9424300000000001</v>
      </c>
      <c r="F305" s="5">
        <v>56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57.090179999999997</v>
      </c>
      <c r="E306" s="5">
        <v>1.9245300000000001</v>
      </c>
      <c r="F306" s="5">
        <v>57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59.071339999999999</v>
      </c>
      <c r="E307" s="5">
        <v>1.94614</v>
      </c>
      <c r="F307" s="5">
        <v>56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59.050690000000003</v>
      </c>
      <c r="E308" s="5">
        <v>1.9307399999999999</v>
      </c>
      <c r="F308" s="5">
        <v>57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56.901339999999998</v>
      </c>
      <c r="E309" s="5">
        <v>1.9295500000000001</v>
      </c>
      <c r="F309" s="5">
        <v>56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56.801659999999998</v>
      </c>
      <c r="E310" s="5">
        <v>1.9228400000000001</v>
      </c>
      <c r="F310" s="5">
        <v>57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53.642749999999999</v>
      </c>
      <c r="E311" s="5">
        <v>3.76213</v>
      </c>
      <c r="F311" s="5">
        <v>104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53.182749999999999</v>
      </c>
      <c r="E312" s="5">
        <v>3.7653400000000001</v>
      </c>
      <c r="F312" s="5">
        <v>104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53.472749999999998</v>
      </c>
      <c r="E313" s="5">
        <v>3.7677200000000002</v>
      </c>
      <c r="F313" s="5">
        <v>106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53.662750000000003</v>
      </c>
      <c r="E314" s="5">
        <v>3.7652999999999999</v>
      </c>
      <c r="F314" s="5">
        <v>108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53.564480000000003</v>
      </c>
      <c r="E315" s="5">
        <v>3.76355</v>
      </c>
      <c r="F315" s="5">
        <v>106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53.444980000000001</v>
      </c>
      <c r="E316" s="5">
        <v>3.7510699999999999</v>
      </c>
      <c r="F316" s="5">
        <v>105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53.264479999999999</v>
      </c>
      <c r="E317" s="5">
        <v>3.7773500000000002</v>
      </c>
      <c r="F317" s="5">
        <v>107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53.634979999999999</v>
      </c>
      <c r="E318" s="5">
        <v>3.7800699999999998</v>
      </c>
      <c r="F318" s="5">
        <v>104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53.642749999999999</v>
      </c>
      <c r="E319" s="5">
        <v>3.7551800000000002</v>
      </c>
      <c r="F319" s="5">
        <v>104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53.16498</v>
      </c>
      <c r="E320" s="5">
        <v>3.7744399999999998</v>
      </c>
      <c r="F320" s="5">
        <v>107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53.297490000000003</v>
      </c>
      <c r="E321" s="5">
        <v>6.0940899999999996</v>
      </c>
      <c r="F321" s="5">
        <v>162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53.097490000000001</v>
      </c>
      <c r="E322" s="5">
        <v>6.0807099999999998</v>
      </c>
      <c r="F322" s="5">
        <v>162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53.282179999999997</v>
      </c>
      <c r="E323" s="5">
        <v>6.0917599999999998</v>
      </c>
      <c r="F323" s="5">
        <v>162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53.557490000000001</v>
      </c>
      <c r="E324" s="5">
        <v>6.0987799999999996</v>
      </c>
      <c r="F324" s="5">
        <v>161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53.337490000000003</v>
      </c>
      <c r="E325" s="5">
        <v>6.1017599999999996</v>
      </c>
      <c r="F325" s="5">
        <v>162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53.097490000000001</v>
      </c>
      <c r="E326" s="5">
        <v>6.0871899999999997</v>
      </c>
      <c r="F326" s="5">
        <v>161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53.157490000000003</v>
      </c>
      <c r="E327" s="5">
        <v>6.09267</v>
      </c>
      <c r="F327" s="5">
        <v>159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53.152500000000003</v>
      </c>
      <c r="E328" s="5">
        <v>6.0815200000000003</v>
      </c>
      <c r="F328" s="5">
        <v>161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53.267490000000002</v>
      </c>
      <c r="E329" s="5">
        <v>6.0958600000000001</v>
      </c>
      <c r="F329" s="5">
        <v>162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53.327489999999997</v>
      </c>
      <c r="E330" s="5">
        <v>6.0773599999999997</v>
      </c>
      <c r="F330" s="5">
        <v>162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148.18338</v>
      </c>
      <c r="E331" s="5">
        <v>7.0819599999999996</v>
      </c>
      <c r="F331" s="5">
        <v>58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148.18812</v>
      </c>
      <c r="E332" s="5">
        <v>7.1161300000000001</v>
      </c>
      <c r="F332" s="5">
        <v>58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148.25653</v>
      </c>
      <c r="E333" s="5">
        <v>7.05443</v>
      </c>
      <c r="F333" s="5">
        <v>57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148.16146000000001</v>
      </c>
      <c r="E334" s="5">
        <v>7.1020099999999999</v>
      </c>
      <c r="F334" s="5">
        <v>58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148.18033</v>
      </c>
      <c r="E335" s="5">
        <v>7.0440399999999999</v>
      </c>
      <c r="F335" s="5">
        <v>58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148.23902000000001</v>
      </c>
      <c r="E336" s="5">
        <v>7.0739400000000003</v>
      </c>
      <c r="F336" s="5">
        <v>58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148.18630999999999</v>
      </c>
      <c r="E337" s="5">
        <v>7.0461200000000002</v>
      </c>
      <c r="F337" s="5">
        <v>58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148.27403000000001</v>
      </c>
      <c r="E338" s="5">
        <v>7.0424300000000004</v>
      </c>
      <c r="F338" s="5">
        <v>57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148.21413999999999</v>
      </c>
      <c r="E339" s="5">
        <v>7.0934100000000004</v>
      </c>
      <c r="F339" s="5">
        <v>58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148.27366000000001</v>
      </c>
      <c r="E340" s="5">
        <v>7.0620599999999998</v>
      </c>
      <c r="F340" s="5">
        <v>58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108.25627</v>
      </c>
      <c r="E341" s="5">
        <v>16.888120000000001</v>
      </c>
      <c r="F341" s="5">
        <v>132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108.08117</v>
      </c>
      <c r="E342" s="5">
        <v>16.8367</v>
      </c>
      <c r="F342" s="5">
        <v>132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108.00002000000001</v>
      </c>
      <c r="E343" s="5">
        <v>16.85989</v>
      </c>
      <c r="F343" s="5">
        <v>131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108.19337</v>
      </c>
      <c r="E344" s="5">
        <v>16.8871</v>
      </c>
      <c r="F344" s="5">
        <v>132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108.21080000000001</v>
      </c>
      <c r="E345" s="5">
        <v>16.81915</v>
      </c>
      <c r="F345" s="5">
        <v>131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108.1208</v>
      </c>
      <c r="E346" s="5">
        <v>16.80593</v>
      </c>
      <c r="F346" s="5">
        <v>131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108.12163</v>
      </c>
      <c r="E347" s="5">
        <v>16.881049999999998</v>
      </c>
      <c r="F347" s="5">
        <v>131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108.10849</v>
      </c>
      <c r="E348" s="5">
        <v>16.803519999999999</v>
      </c>
      <c r="F348" s="5">
        <v>131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108.07163</v>
      </c>
      <c r="E349" s="5">
        <v>16.894490000000001</v>
      </c>
      <c r="F349" s="5">
        <v>132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108.28447</v>
      </c>
      <c r="E350" s="5">
        <v>16.885159999999999</v>
      </c>
      <c r="F350" s="5">
        <v>132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103.95663</v>
      </c>
      <c r="E351" s="5">
        <v>29.405799999999999</v>
      </c>
      <c r="F351" s="5">
        <v>220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103.95423</v>
      </c>
      <c r="E352" s="5">
        <v>29.34403</v>
      </c>
      <c r="F352" s="5">
        <v>221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104.05609</v>
      </c>
      <c r="E353" s="5">
        <v>29.42605</v>
      </c>
      <c r="F353" s="5">
        <v>220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103.9858</v>
      </c>
      <c r="E354" s="5">
        <v>29.388850000000001</v>
      </c>
      <c r="F354" s="5">
        <v>221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103.96253</v>
      </c>
      <c r="E355" s="5">
        <v>29.387350000000001</v>
      </c>
      <c r="F355" s="5">
        <v>221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103.99996</v>
      </c>
      <c r="E356" s="5">
        <v>29.336659999999998</v>
      </c>
      <c r="F356" s="5">
        <v>220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104.08163</v>
      </c>
      <c r="E357" s="5">
        <v>29.408899999999999</v>
      </c>
      <c r="F357" s="5">
        <v>221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104.0284</v>
      </c>
      <c r="E358" s="5">
        <v>29.364139999999999</v>
      </c>
      <c r="F358" s="5">
        <v>220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103.93828999999999</v>
      </c>
      <c r="E359" s="5">
        <v>29.39575</v>
      </c>
      <c r="F359" s="5">
        <v>221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103.63079999999999</v>
      </c>
      <c r="E360" s="5">
        <v>29.391449999999999</v>
      </c>
      <c r="F360" s="5">
        <v>221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0.54720000000000002</v>
      </c>
      <c r="F361" s="5">
        <v>38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0.54791000000000001</v>
      </c>
      <c r="F362" s="5">
        <v>36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0.54359999999999997</v>
      </c>
      <c r="F363" s="5">
        <v>38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0.54595000000000005</v>
      </c>
      <c r="F364" s="5">
        <v>38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0.54613999999999996</v>
      </c>
      <c r="F365" s="5">
        <v>39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0.54134000000000004</v>
      </c>
      <c r="F366" s="5">
        <v>36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0.54332000000000003</v>
      </c>
      <c r="F367" s="5">
        <v>39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0.54686999999999997</v>
      </c>
      <c r="F368" s="5">
        <v>34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0.55042999999999997</v>
      </c>
      <c r="F369" s="5">
        <v>39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0.55095000000000005</v>
      </c>
      <c r="F370" s="5">
        <v>39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0.87483999999999995</v>
      </c>
      <c r="F371" s="5">
        <v>56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0.88012999999999997</v>
      </c>
      <c r="F372" s="5">
        <v>64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0.87329999999999997</v>
      </c>
      <c r="F373" s="5">
        <v>66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0.87453000000000003</v>
      </c>
      <c r="F374" s="5">
        <v>66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0.87200999999999995</v>
      </c>
      <c r="F375" s="5">
        <v>66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0.87748999999999999</v>
      </c>
      <c r="F376" s="5">
        <v>63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0.87614000000000003</v>
      </c>
      <c r="F377" s="5">
        <v>65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0.87300999999999995</v>
      </c>
      <c r="F378" s="5">
        <v>65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0.87980000000000003</v>
      </c>
      <c r="F379" s="5">
        <v>66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0.87148999999999999</v>
      </c>
      <c r="F380" s="5">
        <v>60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1.14967</v>
      </c>
      <c r="F381" s="5">
        <v>78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1.15097</v>
      </c>
      <c r="F382" s="5">
        <v>85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1.1481300000000001</v>
      </c>
      <c r="F383" s="5">
        <v>85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1.15713</v>
      </c>
      <c r="F384" s="5">
        <v>80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1.1528499999999999</v>
      </c>
      <c r="F385" s="5">
        <v>83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1.1561399999999999</v>
      </c>
      <c r="F386" s="5">
        <v>85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1.15038</v>
      </c>
      <c r="F387" s="5">
        <v>82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1.15001</v>
      </c>
      <c r="F388" s="5">
        <v>83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1.1525000000000001</v>
      </c>
      <c r="F389" s="5">
        <v>83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1.1508799999999999</v>
      </c>
      <c r="F390" s="5">
        <v>84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1.13469</v>
      </c>
      <c r="F391" s="5">
        <v>24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1.11554</v>
      </c>
      <c r="F392" s="5">
        <v>26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1.1106499999999999</v>
      </c>
      <c r="F393" s="5">
        <v>26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1.1263700000000001</v>
      </c>
      <c r="F394" s="5">
        <v>25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1.1218399999999999</v>
      </c>
      <c r="F395" s="5">
        <v>26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1.1369199999999999</v>
      </c>
      <c r="F396" s="5">
        <v>27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1.115</v>
      </c>
      <c r="F397" s="5">
        <v>25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1.1109500000000001</v>
      </c>
      <c r="F398" s="5">
        <v>25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1.1369199999999999</v>
      </c>
      <c r="F399" s="5">
        <v>27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1.1116999999999999</v>
      </c>
      <c r="F400" s="5">
        <v>26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2.5158200000000002</v>
      </c>
      <c r="F401" s="5">
        <v>58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2.51145</v>
      </c>
      <c r="F402" s="5">
        <v>57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2.4923299999999999</v>
      </c>
      <c r="F403" s="5">
        <v>56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2.5073099999999999</v>
      </c>
      <c r="F404" s="5">
        <v>58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2.5091899999999998</v>
      </c>
      <c r="F405" s="5">
        <v>57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2.4988299999999999</v>
      </c>
      <c r="F406" s="5">
        <v>58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2.5139300000000002</v>
      </c>
      <c r="F407" s="5">
        <v>57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2.5177900000000002</v>
      </c>
      <c r="F408" s="5">
        <v>57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2.4918499999999999</v>
      </c>
      <c r="F409" s="5">
        <v>57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2.51566</v>
      </c>
      <c r="F410" s="5">
        <v>57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2.7297400000000001</v>
      </c>
      <c r="F411" s="5">
        <v>60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2.7325200000000001</v>
      </c>
      <c r="F412" s="5">
        <v>60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2.7318699999999998</v>
      </c>
      <c r="F413" s="5">
        <v>60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2.7463299999999999</v>
      </c>
      <c r="F414" s="5">
        <v>61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2.73272</v>
      </c>
      <c r="F415" s="5">
        <v>60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2.7530800000000002</v>
      </c>
      <c r="F416" s="5">
        <v>60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2.7341600000000001</v>
      </c>
      <c r="F417" s="5">
        <v>61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2.7553299999999998</v>
      </c>
      <c r="F418" s="5">
        <v>60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2.7301299999999999</v>
      </c>
      <c r="F419" s="5">
        <v>59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2.7572299999999998</v>
      </c>
      <c r="F420" s="5">
        <v>62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2.98367</v>
      </c>
      <c r="F421" s="5">
        <v>26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3.0480299999999998</v>
      </c>
      <c r="F422" s="5">
        <v>27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2.9697499999999999</v>
      </c>
      <c r="F423" s="5">
        <v>26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2.9655900000000002</v>
      </c>
      <c r="F424" s="5">
        <v>26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2.9845299999999999</v>
      </c>
      <c r="F425" s="5">
        <v>26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3.01736</v>
      </c>
      <c r="F426" s="5">
        <v>26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2.9694400000000001</v>
      </c>
      <c r="F427" s="5">
        <v>26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3.0527000000000002</v>
      </c>
      <c r="F428" s="5">
        <v>27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3.0561699999999998</v>
      </c>
      <c r="F429" s="5">
        <v>27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3.0537899999999998</v>
      </c>
      <c r="F430" s="5">
        <v>27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3.84849</v>
      </c>
      <c r="F431" s="5">
        <v>33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3.7742900000000001</v>
      </c>
      <c r="F432" s="5">
        <v>32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3.77861</v>
      </c>
      <c r="F433" s="5">
        <v>32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3.7850700000000002</v>
      </c>
      <c r="F434" s="5">
        <v>32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3.7964099999999998</v>
      </c>
      <c r="F435" s="5">
        <v>32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3.80274</v>
      </c>
      <c r="F436" s="5">
        <v>32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3.7913399999999999</v>
      </c>
      <c r="F437" s="5">
        <v>32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3.79257</v>
      </c>
      <c r="F438" s="5">
        <v>32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3.77434</v>
      </c>
      <c r="F439" s="5">
        <v>32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3.7700800000000001</v>
      </c>
      <c r="F440" s="5">
        <v>32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5.4830399999999999</v>
      </c>
      <c r="F441" s="5">
        <v>42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5.5478100000000001</v>
      </c>
      <c r="F442" s="5">
        <v>43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5.5651200000000003</v>
      </c>
      <c r="F443" s="5">
        <v>42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5.5637499999999998</v>
      </c>
      <c r="F444" s="5">
        <v>42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5.5630600000000001</v>
      </c>
      <c r="F445" s="5">
        <v>43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5.5173100000000002</v>
      </c>
      <c r="F446" s="5">
        <v>44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5.4910500000000004</v>
      </c>
      <c r="F447" s="5">
        <v>42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5.5472700000000001</v>
      </c>
      <c r="F448" s="5">
        <v>42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5.5196800000000001</v>
      </c>
      <c r="F449" s="5">
        <v>40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5.5213299999999998</v>
      </c>
      <c r="F450" s="5">
        <v>42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U1"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0.55401</v>
      </c>
      <c r="F1" s="5">
        <v>27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0.55345999999999995</v>
      </c>
      <c r="F2" s="5">
        <v>25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0.54415000000000002</v>
      </c>
      <c r="F3" s="5">
        <v>26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170.35004000000001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0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0.58577999999999997</v>
      </c>
      <c r="F4" s="5">
        <v>23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0.54603000000000002</v>
      </c>
      <c r="F5" s="5">
        <v>23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0.55495000000000005</v>
      </c>
      <c r="F6" s="5">
        <v>22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0.54571000000000003</v>
      </c>
      <c r="F7" s="5">
        <v>22</v>
      </c>
      <c r="H7" s="5" t="s">
        <v>27</v>
      </c>
      <c r="I7" s="5">
        <v>50</v>
      </c>
      <c r="J7" s="5">
        <v>1</v>
      </c>
      <c r="L7" s="5">
        <f t="shared" ca="1" si="11"/>
        <v>182.34583000000001</v>
      </c>
      <c r="M7" s="5">
        <f t="shared" ca="1" si="0"/>
        <v>182.41480000000001</v>
      </c>
      <c r="N7" s="5">
        <f t="shared" ca="1" si="0"/>
        <v>182.34583000000001</v>
      </c>
      <c r="O7" s="5">
        <f t="shared" ca="1" si="0"/>
        <v>180.25</v>
      </c>
      <c r="P7" s="5">
        <f t="shared" ca="1" si="0"/>
        <v>180.43671000000001</v>
      </c>
      <c r="Q7" s="5">
        <f t="shared" ca="1" si="0"/>
        <v>180.34135000000001</v>
      </c>
      <c r="R7" s="5">
        <f t="shared" ca="1" si="0"/>
        <v>180.25</v>
      </c>
      <c r="S7" s="5">
        <f t="shared" ca="1" si="0"/>
        <v>180.62098</v>
      </c>
      <c r="T7" s="5">
        <f t="shared" ca="1" si="0"/>
        <v>180.05332999999999</v>
      </c>
      <c r="U7" s="5">
        <f t="shared" ca="1" si="0"/>
        <v>180.11959999999999</v>
      </c>
      <c r="W7" s="5">
        <f t="shared" ca="1" si="12"/>
        <v>180.91784299999998</v>
      </c>
      <c r="Y7" s="5">
        <f ca="1">Total!E7</f>
        <v>179.67332999999999</v>
      </c>
      <c r="AB7" s="5">
        <f t="shared" ca="1" si="1"/>
        <v>1.4874216446035779E-2</v>
      </c>
      <c r="AC7" s="5">
        <f t="shared" ca="1" si="2"/>
        <v>1.5258079760641276E-2</v>
      </c>
      <c r="AD7" s="5">
        <f t="shared" ca="1" si="3"/>
        <v>1.4874216446035779E-2</v>
      </c>
      <c r="AE7" s="5">
        <f t="shared" ca="1" si="4"/>
        <v>3.209547015130221E-3</v>
      </c>
      <c r="AF7" s="5">
        <f t="shared" ca="1" si="5"/>
        <v>4.2487107018053943E-3</v>
      </c>
      <c r="AG7" s="5">
        <f t="shared" ca="1" si="6"/>
        <v>3.717969717598114E-3</v>
      </c>
      <c r="AH7" s="5">
        <f t="shared" ca="1" si="7"/>
        <v>3.209547015130221E-3</v>
      </c>
      <c r="AI7" s="5">
        <f t="shared" ca="1" si="8"/>
        <v>5.274294187122875E-3</v>
      </c>
      <c r="AJ7" s="5">
        <f t="shared" ca="1" si="9"/>
        <v>2.1149493917655754E-3</v>
      </c>
      <c r="AK7" s="5">
        <f t="shared" ca="1" si="10"/>
        <v>2.4837854343769238E-3</v>
      </c>
      <c r="AM7" s="5">
        <f t="shared" ca="1" si="13"/>
        <v>6.9265316115642156E-2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0.54510000000000003</v>
      </c>
      <c r="F8" s="5">
        <v>28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0.55067999999999995</v>
      </c>
      <c r="F9" s="5">
        <v>21</v>
      </c>
      <c r="H9" s="5" t="s">
        <v>27</v>
      </c>
      <c r="I9" s="5">
        <v>100</v>
      </c>
      <c r="J9" s="5">
        <v>0.7</v>
      </c>
      <c r="L9" s="5">
        <f t="shared" ca="1" si="11"/>
        <v>258.76731999999998</v>
      </c>
      <c r="M9" s="5">
        <f t="shared" ca="1" si="0"/>
        <v>256.36216000000002</v>
      </c>
      <c r="N9" s="5">
        <f t="shared" ca="1" si="0"/>
        <v>257.42671000000001</v>
      </c>
      <c r="O9" s="5">
        <f t="shared" ca="1" si="0"/>
        <v>257.05128999999999</v>
      </c>
      <c r="P9" s="5">
        <f t="shared" ca="1" si="0"/>
        <v>256.15795000000003</v>
      </c>
      <c r="Q9" s="5">
        <f t="shared" ca="1" si="0"/>
        <v>257.27206999999999</v>
      </c>
      <c r="R9" s="5">
        <f t="shared" ca="1" si="0"/>
        <v>256.76731999999998</v>
      </c>
      <c r="S9" s="5">
        <f t="shared" ca="1" si="0"/>
        <v>256.65732000000003</v>
      </c>
      <c r="T9" s="5">
        <f t="shared" ca="1" si="0"/>
        <v>257.40206999999998</v>
      </c>
      <c r="U9" s="5">
        <f t="shared" ca="1" si="0"/>
        <v>257.44295</v>
      </c>
      <c r="W9" s="5">
        <f t="shared" ca="1" si="12"/>
        <v>257.13071600000001</v>
      </c>
      <c r="Y9" s="5">
        <f ca="1">Total!E9</f>
        <v>255.18879999999999</v>
      </c>
      <c r="AB9" s="5">
        <f t="shared" ca="1" si="1"/>
        <v>1.4023029223853076E-2</v>
      </c>
      <c r="AC9" s="5">
        <f t="shared" ca="1" si="2"/>
        <v>4.598007436063146E-3</v>
      </c>
      <c r="AD9" s="5">
        <f t="shared" ca="1" si="3"/>
        <v>8.7696246857229942E-3</v>
      </c>
      <c r="AE9" s="5">
        <f t="shared" ca="1" si="4"/>
        <v>7.2984786166164356E-3</v>
      </c>
      <c r="AF9" s="5">
        <f t="shared" ca="1" si="5"/>
        <v>3.7977763914405402E-3</v>
      </c>
      <c r="AG9" s="5">
        <f t="shared" ca="1" si="6"/>
        <v>8.1636419780178396E-3</v>
      </c>
      <c r="AH9" s="5">
        <f t="shared" ca="1" si="7"/>
        <v>6.1856946699855074E-3</v>
      </c>
      <c r="AI9" s="5">
        <f t="shared" ca="1" si="8"/>
        <v>5.7546412695229599E-3</v>
      </c>
      <c r="AJ9" s="5">
        <f t="shared" ca="1" si="9"/>
        <v>8.6730687240192134E-3</v>
      </c>
      <c r="AK9" s="5">
        <f t="shared" ca="1" si="10"/>
        <v>8.8332638423003276E-3</v>
      </c>
      <c r="AM9" s="5">
        <f t="shared" ca="1" si="13"/>
        <v>7.6097226837542054E-2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0.54806999999999995</v>
      </c>
      <c r="F10" s="5">
        <v>27</v>
      </c>
      <c r="H10" s="5" t="s">
        <v>27</v>
      </c>
      <c r="I10" s="5">
        <v>100</v>
      </c>
      <c r="J10" s="5">
        <v>1</v>
      </c>
      <c r="L10" s="5">
        <f t="shared" ca="1" si="11"/>
        <v>239.16030000000001</v>
      </c>
      <c r="M10" s="5">
        <f t="shared" ca="1" si="0"/>
        <v>238.91</v>
      </c>
      <c r="N10" s="5">
        <f t="shared" ca="1" si="0"/>
        <v>238.81255999999999</v>
      </c>
      <c r="O10" s="5">
        <f t="shared" ca="1" si="0"/>
        <v>239.40666999999999</v>
      </c>
      <c r="P10" s="5">
        <f t="shared" ca="1" si="0"/>
        <v>238.91333</v>
      </c>
      <c r="Q10" s="5">
        <f t="shared" ca="1" si="0"/>
        <v>239.40666999999999</v>
      </c>
      <c r="R10" s="5">
        <f t="shared" ca="1" si="0"/>
        <v>238.93</v>
      </c>
      <c r="S10" s="5">
        <f t="shared" ca="1" si="0"/>
        <v>239.52332999999999</v>
      </c>
      <c r="T10" s="5">
        <f t="shared" ca="1" si="0"/>
        <v>239.13896</v>
      </c>
      <c r="U10" s="5">
        <f t="shared" ca="1" si="0"/>
        <v>239.08053000000001</v>
      </c>
      <c r="W10" s="5">
        <f t="shared" ca="1" si="12"/>
        <v>239.12823500000005</v>
      </c>
      <c r="Y10" s="5">
        <f ca="1">Total!E10</f>
        <v>238.77667</v>
      </c>
      <c r="AB10" s="5">
        <f t="shared" ca="1" si="1"/>
        <v>1.606647751641778E-3</v>
      </c>
      <c r="AC10" s="5">
        <f t="shared" ca="1" si="2"/>
        <v>5.5838788605269034E-4</v>
      </c>
      <c r="AD10" s="5">
        <f t="shared" ca="1" si="3"/>
        <v>1.5030781692363358E-4</v>
      </c>
      <c r="AE10" s="5">
        <f t="shared" ca="1" si="4"/>
        <v>2.6384487228169966E-3</v>
      </c>
      <c r="AF10" s="5">
        <f t="shared" ca="1" si="5"/>
        <v>5.723339721590314E-4</v>
      </c>
      <c r="AG10" s="5">
        <f t="shared" ca="1" si="6"/>
        <v>2.6384487228169966E-3</v>
      </c>
      <c r="AH10" s="5">
        <f t="shared" ca="1" si="7"/>
        <v>6.4214816296755909E-4</v>
      </c>
      <c r="AI10" s="5">
        <f t="shared" ca="1" si="8"/>
        <v>3.1270224180611592E-3</v>
      </c>
      <c r="AJ10" s="5">
        <f t="shared" ca="1" si="9"/>
        <v>1.51727553617362E-3</v>
      </c>
      <c r="AK10" s="5">
        <f t="shared" ca="1" si="10"/>
        <v>1.2725698871670103E-3</v>
      </c>
      <c r="AM10" s="5">
        <f t="shared" ca="1" si="13"/>
        <v>1.4723590876780473E-2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1.4289400000000001</v>
      </c>
      <c r="F11" s="5">
        <v>93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1.43221</v>
      </c>
      <c r="F12" s="5">
        <v>97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1.42584</v>
      </c>
      <c r="F13" s="5">
        <v>92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1.43221</v>
      </c>
      <c r="F14" s="5">
        <v>97</v>
      </c>
      <c r="H14" s="5" t="s">
        <v>2</v>
      </c>
      <c r="I14" s="5">
        <v>47</v>
      </c>
      <c r="J14" s="5">
        <v>0.4</v>
      </c>
      <c r="L14" s="5">
        <f t="shared" ca="1" si="11"/>
        <v>4348.0289499999999</v>
      </c>
      <c r="M14" s="5">
        <f t="shared" ca="1" si="0"/>
        <v>4348.0289499999999</v>
      </c>
      <c r="N14" s="5">
        <f t="shared" ca="1" si="0"/>
        <v>4348.0289499999999</v>
      </c>
      <c r="O14" s="5">
        <f t="shared" ca="1" si="0"/>
        <v>4348.0289499999999</v>
      </c>
      <c r="P14" s="5">
        <f t="shared" ca="1" si="0"/>
        <v>4348.0289499999999</v>
      </c>
      <c r="Q14" s="5">
        <f t="shared" ca="1" si="0"/>
        <v>4348.0289499999999</v>
      </c>
      <c r="R14" s="5">
        <f t="shared" ca="1" si="0"/>
        <v>4348.0289499999999</v>
      </c>
      <c r="S14" s="5">
        <f t="shared" ca="1" si="0"/>
        <v>4348.0289499999999</v>
      </c>
      <c r="T14" s="5">
        <f t="shared" ca="1" si="0"/>
        <v>4348.0289499999999</v>
      </c>
      <c r="U14" s="5">
        <f t="shared" ca="1" si="0"/>
        <v>4348.0289499999999</v>
      </c>
      <c r="W14" s="5">
        <f t="shared" ca="1" si="12"/>
        <v>4348.0289499999999</v>
      </c>
      <c r="Y14" s="5">
        <f ca="1">Total!E14</f>
        <v>4348.0289499999999</v>
      </c>
      <c r="AB14" s="5">
        <f t="shared" ca="1" si="1"/>
        <v>0</v>
      </c>
      <c r="AC14" s="5">
        <f t="shared" ca="1" si="2"/>
        <v>0</v>
      </c>
      <c r="AD14" s="5">
        <f t="shared" ca="1" si="3"/>
        <v>0</v>
      </c>
      <c r="AE14" s="5">
        <f t="shared" ca="1" si="4"/>
        <v>0</v>
      </c>
      <c r="AF14" s="5">
        <f t="shared" ca="1" si="5"/>
        <v>0</v>
      </c>
      <c r="AG14" s="5">
        <f t="shared" ca="1" si="6"/>
        <v>0</v>
      </c>
      <c r="AH14" s="5">
        <f t="shared" ca="1" si="7"/>
        <v>0</v>
      </c>
      <c r="AI14" s="5">
        <f t="shared" ca="1" si="8"/>
        <v>0</v>
      </c>
      <c r="AJ14" s="5">
        <f t="shared" ca="1" si="9"/>
        <v>0</v>
      </c>
      <c r="AK14" s="5">
        <f t="shared" ca="1" si="10"/>
        <v>0</v>
      </c>
      <c r="AM14" s="5">
        <f t="shared" ca="1" si="13"/>
        <v>0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1.44889</v>
      </c>
      <c r="F15" s="5">
        <v>96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1.4309499999999999</v>
      </c>
      <c r="F16" s="5">
        <v>97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1.43062</v>
      </c>
      <c r="F17" s="5">
        <v>98</v>
      </c>
      <c r="H17" s="5" t="s">
        <v>2</v>
      </c>
      <c r="I17" s="5">
        <v>100</v>
      </c>
      <c r="J17" s="5">
        <v>0.4</v>
      </c>
      <c r="L17" s="5">
        <f t="shared" ca="1" si="11"/>
        <v>42986.802479999998</v>
      </c>
      <c r="M17" s="5">
        <f t="shared" ca="1" si="0"/>
        <v>42986.802479999998</v>
      </c>
      <c r="N17" s="5">
        <f t="shared" ca="1" si="0"/>
        <v>42986.853589999999</v>
      </c>
      <c r="O17" s="5">
        <f t="shared" ca="1" si="0"/>
        <v>42986.802479999998</v>
      </c>
      <c r="P17" s="5">
        <f t="shared" ca="1" si="0"/>
        <v>42987.644590000004</v>
      </c>
      <c r="Q17" s="5">
        <f t="shared" ca="1" si="0"/>
        <v>42986.802479999998</v>
      </c>
      <c r="R17" s="5">
        <f t="shared" ca="1" si="0"/>
        <v>42988.218220000002</v>
      </c>
      <c r="S17" s="5">
        <f t="shared" ca="1" si="0"/>
        <v>42988.025869999998</v>
      </c>
      <c r="T17" s="5">
        <f t="shared" ca="1" si="0"/>
        <v>42988.218220000002</v>
      </c>
      <c r="U17" s="5">
        <f t="shared" ca="1" si="0"/>
        <v>42986.673049999998</v>
      </c>
      <c r="W17" s="5">
        <f t="shared" ca="1" si="12"/>
        <v>42987.284345999993</v>
      </c>
      <c r="Y17" s="5">
        <f ca="1">Total!E17</f>
        <v>42986.193919999998</v>
      </c>
      <c r="AB17" s="5">
        <f t="shared" ca="1" si="1"/>
        <v>1.4157103583842479E-5</v>
      </c>
      <c r="AC17" s="5">
        <f t="shared" ca="1" si="2"/>
        <v>1.4157103583842479E-5</v>
      </c>
      <c r="AD17" s="5">
        <f t="shared" ca="1" si="3"/>
        <v>1.5346089984812385E-5</v>
      </c>
      <c r="AE17" s="5">
        <f t="shared" ca="1" si="4"/>
        <v>1.4157103583842479E-5</v>
      </c>
      <c r="AF17" s="5">
        <f t="shared" ca="1" si="5"/>
        <v>3.3747346943658645E-5</v>
      </c>
      <c r="AG17" s="5">
        <f t="shared" ca="1" si="6"/>
        <v>1.4157103583842479E-5</v>
      </c>
      <c r="AH17" s="5">
        <f t="shared" ca="1" si="7"/>
        <v>4.7091864047604123E-5</v>
      </c>
      <c r="AI17" s="5">
        <f t="shared" ca="1" si="8"/>
        <v>4.2617171536729972E-5</v>
      </c>
      <c r="AJ17" s="5">
        <f t="shared" ca="1" si="9"/>
        <v>4.7091864047604123E-5</v>
      </c>
      <c r="AK17" s="5">
        <f t="shared" ca="1" si="10"/>
        <v>1.1146136847830832E-5</v>
      </c>
      <c r="AM17" s="5">
        <f t="shared" ca="1" si="13"/>
        <v>2.5366888774360998E-4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1.444</v>
      </c>
      <c r="F18" s="5">
        <v>94</v>
      </c>
      <c r="H18" s="5" t="s">
        <v>2</v>
      </c>
      <c r="I18" s="5">
        <v>100</v>
      </c>
      <c r="J18" s="5">
        <v>0.7</v>
      </c>
      <c r="L18" s="5">
        <f t="shared" ca="1" si="11"/>
        <v>35534.394110000001</v>
      </c>
      <c r="M18" s="5">
        <f t="shared" ca="1" si="11"/>
        <v>35797.298609999998</v>
      </c>
      <c r="N18" s="5">
        <f t="shared" ca="1" si="11"/>
        <v>35651.185080000003</v>
      </c>
      <c r="O18" s="5">
        <f t="shared" ca="1" si="11"/>
        <v>35767.464529999997</v>
      </c>
      <c r="P18" s="5">
        <f t="shared" ca="1" si="11"/>
        <v>35920.302940000001</v>
      </c>
      <c r="Q18" s="5">
        <f t="shared" ca="1" si="11"/>
        <v>35925.309679999998</v>
      </c>
      <c r="R18" s="5">
        <f t="shared" ca="1" si="11"/>
        <v>35752.19369</v>
      </c>
      <c r="S18" s="5">
        <f t="shared" ca="1" si="11"/>
        <v>35973.250039999999</v>
      </c>
      <c r="T18" s="5">
        <f t="shared" ca="1" si="11"/>
        <v>35419.438029999998</v>
      </c>
      <c r="U18" s="5">
        <f t="shared" ca="1" si="11"/>
        <v>35605.718840000001</v>
      </c>
      <c r="W18" s="5">
        <f t="shared" ca="1" si="12"/>
        <v>35734.655554999998</v>
      </c>
      <c r="Y18" s="5">
        <f ca="1">Total!E18</f>
        <v>35336.072039999999</v>
      </c>
      <c r="AB18" s="5">
        <f t="shared" ca="1" si="1"/>
        <v>5.6124537491180071E-3</v>
      </c>
      <c r="AC18" s="5">
        <f t="shared" ca="1" si="2"/>
        <v>1.3052570457686867E-2</v>
      </c>
      <c r="AD18" s="5">
        <f t="shared" ca="1" si="3"/>
        <v>8.9176023764978678E-3</v>
      </c>
      <c r="AE18" s="5">
        <f t="shared" ca="1" si="4"/>
        <v>1.2208275144777478E-2</v>
      </c>
      <c r="AF18" s="5">
        <f t="shared" ca="1" si="5"/>
        <v>1.6533555267225518E-2</v>
      </c>
      <c r="AG18" s="5">
        <f t="shared" ca="1" si="6"/>
        <v>1.66752444734941E-2</v>
      </c>
      <c r="AH18" s="5">
        <f t="shared" ca="1" si="7"/>
        <v>1.1776115056844925E-2</v>
      </c>
      <c r="AI18" s="5">
        <f t="shared" ca="1" si="8"/>
        <v>1.803194195661369E-2</v>
      </c>
      <c r="AJ18" s="5">
        <f t="shared" ca="1" si="9"/>
        <v>2.3592319459171678E-3</v>
      </c>
      <c r="AK18" s="5">
        <f t="shared" ca="1" si="10"/>
        <v>7.6309217304845146E-3</v>
      </c>
      <c r="AM18" s="5">
        <f t="shared" ca="1" si="13"/>
        <v>0.11279791215866013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1.4271199999999999</v>
      </c>
      <c r="F19" s="5">
        <v>96</v>
      </c>
      <c r="H19" s="5" t="s">
        <v>2</v>
      </c>
      <c r="I19" s="5">
        <v>100</v>
      </c>
      <c r="J19" s="5">
        <v>1</v>
      </c>
      <c r="L19" s="5">
        <f t="shared" ca="1" si="11"/>
        <v>35246.879999999997</v>
      </c>
      <c r="M19" s="5">
        <f t="shared" ca="1" si="11"/>
        <v>35317.881719999998</v>
      </c>
      <c r="N19" s="5">
        <f t="shared" ca="1" si="11"/>
        <v>35281.853009999999</v>
      </c>
      <c r="O19" s="5">
        <f t="shared" ca="1" si="11"/>
        <v>35248.177969999997</v>
      </c>
      <c r="P19" s="5">
        <f t="shared" ca="1" si="11"/>
        <v>35231.849249999999</v>
      </c>
      <c r="Q19" s="5">
        <f t="shared" ca="1" si="11"/>
        <v>35273.608200000002</v>
      </c>
      <c r="R19" s="5">
        <f t="shared" ca="1" si="11"/>
        <v>35281.935859999998</v>
      </c>
      <c r="S19" s="5">
        <f t="shared" ca="1" si="11"/>
        <v>35223.067869999999</v>
      </c>
      <c r="T19" s="5">
        <f t="shared" ca="1" si="11"/>
        <v>35265.69</v>
      </c>
      <c r="U19" s="5">
        <f t="shared" ca="1" si="11"/>
        <v>35242.015930000001</v>
      </c>
      <c r="W19" s="5">
        <f t="shared" ca="1" si="12"/>
        <v>35261.295980999996</v>
      </c>
      <c r="Y19" s="5">
        <f ca="1">Total!E19</f>
        <v>35203.853329999998</v>
      </c>
      <c r="AB19" s="5">
        <f t="shared" ca="1" si="1"/>
        <v>1.2222147841791185E-3</v>
      </c>
      <c r="AC19" s="5">
        <f t="shared" ca="1" si="2"/>
        <v>3.2390883160175778E-3</v>
      </c>
      <c r="AD19" s="5">
        <f t="shared" ca="1" si="3"/>
        <v>2.2156574528598861E-3</v>
      </c>
      <c r="AE19" s="5">
        <f t="shared" ca="1" si="4"/>
        <v>1.259084895749931E-3</v>
      </c>
      <c r="AF19" s="5">
        <f t="shared" ca="1" si="5"/>
        <v>7.9525158048944771E-4</v>
      </c>
      <c r="AG19" s="5">
        <f t="shared" ca="1" si="6"/>
        <v>1.9814555340327087E-3</v>
      </c>
      <c r="AH19" s="5">
        <f t="shared" ca="1" si="7"/>
        <v>2.2180108884120183E-3</v>
      </c>
      <c r="AI19" s="5">
        <f t="shared" ca="1" si="8"/>
        <v>5.4580786426656927E-4</v>
      </c>
      <c r="AJ19" s="5">
        <f t="shared" ca="1" si="9"/>
        <v>1.7565312927635764E-3</v>
      </c>
      <c r="AK19" s="5">
        <f t="shared" ca="1" si="10"/>
        <v>1.0840461026316659E-3</v>
      </c>
      <c r="AM19" s="5">
        <f t="shared" ca="1" si="13"/>
        <v>1.6317148711402499E-2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1.42659</v>
      </c>
      <c r="F20" s="5">
        <v>98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1.7740899999999999</v>
      </c>
      <c r="F21" s="5">
        <v>116</v>
      </c>
      <c r="H21" s="5" t="s">
        <v>1</v>
      </c>
      <c r="I21" s="5">
        <v>30</v>
      </c>
      <c r="J21" s="5">
        <v>0.7</v>
      </c>
      <c r="L21" s="5">
        <f t="shared" ca="1" si="11"/>
        <v>675.36989000000005</v>
      </c>
      <c r="M21" s="5">
        <f t="shared" ca="1" si="11"/>
        <v>675.36989000000005</v>
      </c>
      <c r="N21" s="5">
        <f t="shared" ca="1" si="11"/>
        <v>675.36989000000005</v>
      </c>
      <c r="O21" s="5">
        <f t="shared" ca="1" si="11"/>
        <v>675.36989000000005</v>
      </c>
      <c r="P21" s="5">
        <f t="shared" ca="1" si="11"/>
        <v>675.36581000000001</v>
      </c>
      <c r="Q21" s="5">
        <f t="shared" ca="1" si="11"/>
        <v>675.36989000000005</v>
      </c>
      <c r="R21" s="5">
        <f t="shared" ca="1" si="11"/>
        <v>675.36581000000001</v>
      </c>
      <c r="S21" s="5">
        <f t="shared" ca="1" si="11"/>
        <v>675.36989000000005</v>
      </c>
      <c r="T21" s="5">
        <f t="shared" ca="1" si="11"/>
        <v>675.36989000000005</v>
      </c>
      <c r="U21" s="5">
        <f t="shared" ca="1" si="11"/>
        <v>675.36989000000005</v>
      </c>
      <c r="W21" s="5">
        <f t="shared" ca="1" si="12"/>
        <v>675.36907399999996</v>
      </c>
      <c r="Y21" s="5">
        <f ca="1">Total!E21</f>
        <v>675.36581000000001</v>
      </c>
      <c r="AB21" s="5">
        <f t="shared" ca="1" si="1"/>
        <v>6.0411704881010963E-6</v>
      </c>
      <c r="AC21" s="5">
        <f t="shared" ca="1" si="2"/>
        <v>6.0411704881010963E-6</v>
      </c>
      <c r="AD21" s="5">
        <f t="shared" ca="1" si="3"/>
        <v>6.0411704881010963E-6</v>
      </c>
      <c r="AE21" s="5">
        <f t="shared" ca="1" si="4"/>
        <v>6.0411704881010963E-6</v>
      </c>
      <c r="AF21" s="5">
        <f t="shared" ca="1" si="5"/>
        <v>0</v>
      </c>
      <c r="AG21" s="5">
        <f t="shared" ca="1" si="6"/>
        <v>6.0411704881010963E-6</v>
      </c>
      <c r="AH21" s="5">
        <f t="shared" ca="1" si="7"/>
        <v>0</v>
      </c>
      <c r="AI21" s="5">
        <f t="shared" ca="1" si="8"/>
        <v>6.0411704881010963E-6</v>
      </c>
      <c r="AJ21" s="5">
        <f t="shared" ca="1" si="9"/>
        <v>6.0411704881010963E-6</v>
      </c>
      <c r="AK21" s="5">
        <f t="shared" ca="1" si="10"/>
        <v>6.0411704881010963E-6</v>
      </c>
      <c r="AM21" s="5">
        <f t="shared" ca="1" si="13"/>
        <v>4.832936390480877E-5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1.7764</v>
      </c>
      <c r="F22" s="5">
        <v>115</v>
      </c>
      <c r="H22" s="5" t="s">
        <v>1</v>
      </c>
      <c r="I22" s="5">
        <v>30</v>
      </c>
      <c r="J22" s="5">
        <v>1</v>
      </c>
      <c r="L22" s="5">
        <f t="shared" ca="1" si="11"/>
        <v>657.48895000000005</v>
      </c>
      <c r="M22" s="5">
        <f t="shared" ca="1" si="11"/>
        <v>655.43907999999999</v>
      </c>
      <c r="N22" s="5">
        <f t="shared" ca="1" si="11"/>
        <v>655.43295999999998</v>
      </c>
      <c r="O22" s="5">
        <f t="shared" ca="1" si="11"/>
        <v>655.43295999999998</v>
      </c>
      <c r="P22" s="5">
        <f t="shared" ca="1" si="11"/>
        <v>655.43295999999998</v>
      </c>
      <c r="Q22" s="5">
        <f t="shared" ca="1" si="11"/>
        <v>655.46475999999996</v>
      </c>
      <c r="R22" s="5">
        <f t="shared" ca="1" si="11"/>
        <v>658.23289</v>
      </c>
      <c r="S22" s="5">
        <f t="shared" ca="1" si="11"/>
        <v>655.43295999999998</v>
      </c>
      <c r="T22" s="5">
        <f t="shared" ca="1" si="11"/>
        <v>656.34204</v>
      </c>
      <c r="U22" s="5">
        <f t="shared" ca="1" si="11"/>
        <v>657.95457999999996</v>
      </c>
      <c r="W22" s="5">
        <f t="shared" ca="1" si="12"/>
        <v>656.26541400000008</v>
      </c>
      <c r="Y22" s="5">
        <f ca="1">Total!E22</f>
        <v>655.43295999999998</v>
      </c>
      <c r="AB22" s="5">
        <f t="shared" ca="1" si="1"/>
        <v>3.1368425536611177E-3</v>
      </c>
      <c r="AC22" s="5">
        <f t="shared" ca="1" si="2"/>
        <v>9.337339397777456E-6</v>
      </c>
      <c r="AD22" s="5">
        <f t="shared" ca="1" si="3"/>
        <v>0</v>
      </c>
      <c r="AE22" s="5">
        <f t="shared" ca="1" si="4"/>
        <v>0</v>
      </c>
      <c r="AF22" s="5">
        <f t="shared" ca="1" si="5"/>
        <v>0</v>
      </c>
      <c r="AG22" s="5">
        <f t="shared" ca="1" si="6"/>
        <v>4.8517547851080951E-5</v>
      </c>
      <c r="AH22" s="5">
        <f t="shared" ca="1" si="7"/>
        <v>4.2718785457478634E-3</v>
      </c>
      <c r="AI22" s="5">
        <f t="shared" ca="1" si="8"/>
        <v>0</v>
      </c>
      <c r="AJ22" s="5">
        <f t="shared" ca="1" si="9"/>
        <v>1.3869915849212362E-3</v>
      </c>
      <c r="AK22" s="5">
        <f t="shared" ca="1" si="10"/>
        <v>3.847258459507414E-3</v>
      </c>
      <c r="AM22" s="5">
        <f t="shared" ca="1" si="13"/>
        <v>1.2700826031086489E-2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1.7781</v>
      </c>
      <c r="F23" s="5">
        <v>119</v>
      </c>
      <c r="H23" s="5" t="s">
        <v>1</v>
      </c>
      <c r="I23" s="5">
        <v>50</v>
      </c>
      <c r="J23" s="5">
        <v>0.4</v>
      </c>
      <c r="L23" s="5">
        <f t="shared" ca="1" si="11"/>
        <v>1459.9687899999999</v>
      </c>
      <c r="M23" s="5">
        <f t="shared" ca="1" si="11"/>
        <v>1459.9687899999999</v>
      </c>
      <c r="N23" s="5">
        <f t="shared" ca="1" si="11"/>
        <v>1459.9687899999999</v>
      </c>
      <c r="O23" s="5">
        <f t="shared" ca="1" si="11"/>
        <v>1459.9687899999999</v>
      </c>
      <c r="P23" s="5">
        <f t="shared" ca="1" si="11"/>
        <v>1459.9687899999999</v>
      </c>
      <c r="Q23" s="5">
        <f t="shared" ca="1" si="11"/>
        <v>1460.80863</v>
      </c>
      <c r="R23" s="5">
        <f t="shared" ca="1" si="11"/>
        <v>1460.0209400000001</v>
      </c>
      <c r="S23" s="5">
        <f t="shared" ca="1" si="11"/>
        <v>1459.9687899999999</v>
      </c>
      <c r="T23" s="5">
        <f t="shared" ca="1" si="11"/>
        <v>1460.86942</v>
      </c>
      <c r="U23" s="5">
        <f t="shared" ca="1" si="11"/>
        <v>1459.9687899999999</v>
      </c>
      <c r="W23" s="5">
        <f t="shared" ca="1" si="12"/>
        <v>1460.1480519999998</v>
      </c>
      <c r="Y23" s="5">
        <f ca="1">Total!E23</f>
        <v>1459.9687899999999</v>
      </c>
      <c r="AB23" s="5">
        <f t="shared" ca="1" si="1"/>
        <v>0</v>
      </c>
      <c r="AC23" s="5">
        <f t="shared" ca="1" si="2"/>
        <v>0</v>
      </c>
      <c r="AD23" s="5">
        <f t="shared" ca="1" si="3"/>
        <v>0</v>
      </c>
      <c r="AE23" s="5">
        <f t="shared" ca="1" si="4"/>
        <v>0</v>
      </c>
      <c r="AF23" s="5">
        <f t="shared" ca="1" si="5"/>
        <v>0</v>
      </c>
      <c r="AG23" s="5">
        <f t="shared" ca="1" si="6"/>
        <v>5.7524517356298749E-4</v>
      </c>
      <c r="AH23" s="5">
        <f t="shared" ca="1" si="7"/>
        <v>3.5719941657253266E-5</v>
      </c>
      <c r="AI23" s="5">
        <f t="shared" ca="1" si="8"/>
        <v>0</v>
      </c>
      <c r="AJ23" s="5">
        <f t="shared" ca="1" si="9"/>
        <v>6.1688304994526085E-4</v>
      </c>
      <c r="AK23" s="5">
        <f t="shared" ca="1" si="10"/>
        <v>0</v>
      </c>
      <c r="AM23" s="5">
        <f t="shared" ca="1" si="13"/>
        <v>1.2278481651655016E-3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1.77484</v>
      </c>
      <c r="F24" s="5">
        <v>117</v>
      </c>
      <c r="H24" s="5" t="s">
        <v>1</v>
      </c>
      <c r="I24" s="5">
        <v>50</v>
      </c>
      <c r="J24" s="5">
        <v>0.7</v>
      </c>
      <c r="L24" s="5">
        <f t="shared" ca="1" si="11"/>
        <v>1022.96318</v>
      </c>
      <c r="M24" s="5">
        <f t="shared" ca="1" si="11"/>
        <v>1014.8792</v>
      </c>
      <c r="N24" s="5">
        <f t="shared" ca="1" si="11"/>
        <v>1013.27109</v>
      </c>
      <c r="O24" s="5">
        <f t="shared" ca="1" si="11"/>
        <v>1016.33789</v>
      </c>
      <c r="P24" s="5">
        <f t="shared" ca="1" si="11"/>
        <v>1017.42238</v>
      </c>
      <c r="Q24" s="5">
        <f t="shared" ca="1" si="11"/>
        <v>1018.27212</v>
      </c>
      <c r="R24" s="5">
        <f t="shared" ca="1" si="11"/>
        <v>1012.28598</v>
      </c>
      <c r="S24" s="5">
        <f t="shared" ca="1" si="11"/>
        <v>1019.63383</v>
      </c>
      <c r="T24" s="5">
        <f t="shared" ca="1" si="11"/>
        <v>1011.6739700000001</v>
      </c>
      <c r="U24" s="5">
        <f t="shared" ca="1" si="11"/>
        <v>1015.7268299999999</v>
      </c>
      <c r="W24" s="5">
        <f t="shared" ca="1" si="12"/>
        <v>1016.2466469999999</v>
      </c>
      <c r="Y24" s="5">
        <f ca="1">Total!E24</f>
        <v>1005.95063</v>
      </c>
      <c r="AB24" s="5">
        <f t="shared" ca="1" si="1"/>
        <v>1.6911913460405027E-2</v>
      </c>
      <c r="AC24" s="5">
        <f t="shared" ca="1" si="2"/>
        <v>8.8757536739153108E-3</v>
      </c>
      <c r="AD24" s="5">
        <f t="shared" ca="1" si="3"/>
        <v>7.2771563351969985E-3</v>
      </c>
      <c r="AE24" s="5">
        <f t="shared" ca="1" si="4"/>
        <v>1.0325814896104761E-2</v>
      </c>
      <c r="AF24" s="5">
        <f t="shared" ca="1" si="5"/>
        <v>1.140388967200103E-2</v>
      </c>
      <c r="AG24" s="5">
        <f t="shared" ca="1" si="6"/>
        <v>1.2248603094964934E-2</v>
      </c>
      <c r="AH24" s="5">
        <f t="shared" ca="1" si="7"/>
        <v>6.2978736839202024E-3</v>
      </c>
      <c r="AI24" s="5">
        <f t="shared" ca="1" si="8"/>
        <v>1.3602257995504154E-2</v>
      </c>
      <c r="AJ24" s="5">
        <f t="shared" ca="1" si="9"/>
        <v>5.6894839859089382E-3</v>
      </c>
      <c r="AK24" s="5">
        <f t="shared" ca="1" si="10"/>
        <v>9.7183695784353787E-3</v>
      </c>
      <c r="AM24" s="5">
        <f t="shared" ca="1" si="13"/>
        <v>0.10235111637635673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1.7705200000000001</v>
      </c>
      <c r="F25" s="5">
        <v>119</v>
      </c>
      <c r="H25" s="5" t="s">
        <v>1</v>
      </c>
      <c r="I25" s="5">
        <v>50</v>
      </c>
      <c r="J25" s="5">
        <v>1</v>
      </c>
      <c r="L25" s="5">
        <f t="shared" ca="1" si="11"/>
        <v>995.65413000000001</v>
      </c>
      <c r="M25" s="5">
        <f t="shared" ca="1" si="11"/>
        <v>996.42753000000005</v>
      </c>
      <c r="N25" s="5">
        <f t="shared" ca="1" si="11"/>
        <v>997.08699000000001</v>
      </c>
      <c r="O25" s="5">
        <f t="shared" ca="1" si="11"/>
        <v>996.85631000000001</v>
      </c>
      <c r="P25" s="5">
        <f t="shared" ca="1" si="11"/>
        <v>1000.65478</v>
      </c>
      <c r="Q25" s="5">
        <f t="shared" ca="1" si="11"/>
        <v>1004.66333</v>
      </c>
      <c r="R25" s="5">
        <f t="shared" ca="1" si="11"/>
        <v>994.47505000000001</v>
      </c>
      <c r="S25" s="5">
        <f t="shared" ca="1" si="11"/>
        <v>996.73572000000001</v>
      </c>
      <c r="T25" s="5">
        <f t="shared" ca="1" si="11"/>
        <v>992.25667999999996</v>
      </c>
      <c r="U25" s="5">
        <f t="shared" ca="1" si="11"/>
        <v>1000.43871</v>
      </c>
      <c r="W25" s="5">
        <f t="shared" ca="1" si="12"/>
        <v>997.52492300000017</v>
      </c>
      <c r="Y25" s="5">
        <f ca="1">Total!E25</f>
        <v>990.69820000000004</v>
      </c>
      <c r="AB25" s="5">
        <f t="shared" ca="1" si="1"/>
        <v>5.0024619001023387E-3</v>
      </c>
      <c r="AC25" s="5">
        <f t="shared" ca="1" si="2"/>
        <v>5.7831234577795784E-3</v>
      </c>
      <c r="AD25" s="5">
        <f t="shared" ca="1" si="3"/>
        <v>6.4487752173164057E-3</v>
      </c>
      <c r="AE25" s="5">
        <f t="shared" ca="1" si="4"/>
        <v>6.2159293314552957E-3</v>
      </c>
      <c r="AF25" s="5">
        <f t="shared" ca="1" si="5"/>
        <v>1.0050063682360498E-2</v>
      </c>
      <c r="AG25" s="5">
        <f t="shared" ca="1" si="6"/>
        <v>1.4096250502928067E-2</v>
      </c>
      <c r="AH25" s="5">
        <f t="shared" ca="1" si="7"/>
        <v>3.8123113577878385E-3</v>
      </c>
      <c r="AI25" s="5">
        <f t="shared" ca="1" si="8"/>
        <v>6.0942070955614658E-3</v>
      </c>
      <c r="AJ25" s="5">
        <f t="shared" ca="1" si="9"/>
        <v>1.5731127804612117E-3</v>
      </c>
      <c r="AK25" s="5">
        <f t="shared" ca="1" si="10"/>
        <v>9.8319649717744234E-3</v>
      </c>
      <c r="AM25" s="5">
        <f t="shared" ca="1" si="13"/>
        <v>6.8908200297527117E-2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1.7698199999999999</v>
      </c>
      <c r="F26" s="5">
        <v>119</v>
      </c>
      <c r="H26" s="5" t="s">
        <v>1</v>
      </c>
      <c r="I26" s="5">
        <v>100</v>
      </c>
      <c r="J26" s="5">
        <v>0.4</v>
      </c>
      <c r="L26" s="5">
        <f t="shared" ca="1" si="11"/>
        <v>1891.8440499999999</v>
      </c>
      <c r="M26" s="5">
        <f t="shared" ca="1" si="11"/>
        <v>1866.87744</v>
      </c>
      <c r="N26" s="5">
        <f t="shared" ca="1" si="11"/>
        <v>1868.16608</v>
      </c>
      <c r="O26" s="5">
        <f t="shared" ca="1" si="11"/>
        <v>1880.47</v>
      </c>
      <c r="P26" s="5">
        <f t="shared" ca="1" si="11"/>
        <v>1861.74333</v>
      </c>
      <c r="Q26" s="5">
        <f t="shared" ca="1" si="11"/>
        <v>1899.9565299999999</v>
      </c>
      <c r="R26" s="5">
        <f t="shared" ca="1" si="11"/>
        <v>1845.6726200000001</v>
      </c>
      <c r="S26" s="5">
        <f t="shared" ca="1" si="11"/>
        <v>1867.03665</v>
      </c>
      <c r="T26" s="5">
        <f t="shared" ca="1" si="11"/>
        <v>1892.3335300000001</v>
      </c>
      <c r="U26" s="5">
        <f t="shared" ca="1" si="11"/>
        <v>1878.12474</v>
      </c>
      <c r="W26" s="5">
        <f t="shared" ca="1" si="12"/>
        <v>1875.222497</v>
      </c>
      <c r="Y26" s="5">
        <f ca="1">Total!E26</f>
        <v>1786.3248599999999</v>
      </c>
      <c r="AB26" s="5">
        <f t="shared" ca="1" si="1"/>
        <v>5.9070548903406059E-2</v>
      </c>
      <c r="AC26" s="5">
        <f t="shared" ca="1" si="2"/>
        <v>4.5094026178418657E-2</v>
      </c>
      <c r="AD26" s="5">
        <f t="shared" ca="1" si="3"/>
        <v>4.5815417919000477E-2</v>
      </c>
      <c r="AE26" s="5">
        <f t="shared" ca="1" si="4"/>
        <v>5.2703258017693426E-2</v>
      </c>
      <c r="AF26" s="5">
        <f t="shared" ca="1" si="5"/>
        <v>4.2219907301743576E-2</v>
      </c>
      <c r="AG26" s="5">
        <f t="shared" ca="1" si="6"/>
        <v>6.3611984888347795E-2</v>
      </c>
      <c r="AH26" s="5">
        <f t="shared" ca="1" si="7"/>
        <v>3.3223385806767591E-2</v>
      </c>
      <c r="AI26" s="5">
        <f t="shared" ca="1" si="8"/>
        <v>4.5183153303929316E-2</v>
      </c>
      <c r="AJ26" s="5">
        <f t="shared" ca="1" si="9"/>
        <v>5.9344564011721904E-2</v>
      </c>
      <c r="AK26" s="5">
        <f t="shared" ca="1" si="10"/>
        <v>5.1390361325431046E-2</v>
      </c>
      <c r="AM26" s="5">
        <f t="shared" ca="1" si="13"/>
        <v>0.49765660765645986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1.7730999999999999</v>
      </c>
      <c r="F27" s="5">
        <v>115</v>
      </c>
      <c r="H27" s="5" t="s">
        <v>1</v>
      </c>
      <c r="I27" s="5">
        <v>100</v>
      </c>
      <c r="J27" s="5">
        <v>0.7</v>
      </c>
      <c r="L27" s="5">
        <f t="shared" ca="1" si="11"/>
        <v>1793.13</v>
      </c>
      <c r="M27" s="5">
        <f t="shared" ca="1" si="11"/>
        <v>1792.6413700000001</v>
      </c>
      <c r="N27" s="5">
        <f t="shared" ca="1" si="11"/>
        <v>1784.25875</v>
      </c>
      <c r="O27" s="5">
        <f t="shared" ca="1" si="11"/>
        <v>1785.3966700000001</v>
      </c>
      <c r="P27" s="5">
        <f t="shared" ca="1" si="11"/>
        <v>1794.1767</v>
      </c>
      <c r="Q27" s="5">
        <f t="shared" ca="1" si="11"/>
        <v>1789.92803</v>
      </c>
      <c r="R27" s="5">
        <f t="shared" ca="1" si="11"/>
        <v>1783.17669</v>
      </c>
      <c r="S27" s="5">
        <f t="shared" ca="1" si="11"/>
        <v>1794.0241699999999</v>
      </c>
      <c r="T27" s="5">
        <f t="shared" ca="1" si="11"/>
        <v>1789.5925199999999</v>
      </c>
      <c r="U27" s="5">
        <f t="shared" ca="1" si="11"/>
        <v>1786.3833299999999</v>
      </c>
      <c r="W27" s="5">
        <f t="shared" ca="1" si="12"/>
        <v>1789.2708230000001</v>
      </c>
      <c r="Y27" s="5">
        <f ca="1">Total!E27</f>
        <v>1761.02206</v>
      </c>
      <c r="AB27" s="5">
        <f t="shared" ca="1" si="1"/>
        <v>1.8232559789739429E-2</v>
      </c>
      <c r="AC27" s="5">
        <f t="shared" ca="1" si="2"/>
        <v>1.7955090238903675E-2</v>
      </c>
      <c r="AD27" s="5">
        <f t="shared" ca="1" si="3"/>
        <v>1.319500222501469E-2</v>
      </c>
      <c r="AE27" s="5">
        <f t="shared" ca="1" si="4"/>
        <v>1.3841172438237416E-2</v>
      </c>
      <c r="AF27" s="5">
        <f t="shared" ca="1" si="5"/>
        <v>1.8826930538280693E-2</v>
      </c>
      <c r="AG27" s="5">
        <f t="shared" ca="1" si="6"/>
        <v>1.6414314537320462E-2</v>
      </c>
      <c r="AH27" s="5">
        <f t="shared" ca="1" si="7"/>
        <v>1.2580552227721666E-2</v>
      </c>
      <c r="AI27" s="5">
        <f t="shared" ca="1" si="8"/>
        <v>1.8740316063956576E-2</v>
      </c>
      <c r="AJ27" s="5">
        <f t="shared" ca="1" si="9"/>
        <v>1.622379449352265E-2</v>
      </c>
      <c r="AK27" s="5">
        <f t="shared" ca="1" si="10"/>
        <v>1.4401449349248854E-2</v>
      </c>
      <c r="AM27" s="5">
        <f t="shared" ca="1" si="13"/>
        <v>0.16041118190194611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1.7775099999999999</v>
      </c>
      <c r="F28" s="5">
        <v>120</v>
      </c>
      <c r="H28" s="5" t="s">
        <v>1</v>
      </c>
      <c r="I28" s="5">
        <v>100</v>
      </c>
      <c r="J28" s="5">
        <v>1</v>
      </c>
      <c r="L28" s="5">
        <f t="shared" ca="1" si="11"/>
        <v>1760.4099000000001</v>
      </c>
      <c r="M28" s="5">
        <f t="shared" ca="1" si="11"/>
        <v>1762.28117</v>
      </c>
      <c r="N28" s="5">
        <f t="shared" ca="1" si="11"/>
        <v>1758.9952599999999</v>
      </c>
      <c r="O28" s="5">
        <f t="shared" ca="1" si="11"/>
        <v>1756.2950000000001</v>
      </c>
      <c r="P28" s="5">
        <f t="shared" ca="1" si="11"/>
        <v>1756.31333</v>
      </c>
      <c r="Q28" s="5">
        <f t="shared" ca="1" si="11"/>
        <v>1758.5711699999999</v>
      </c>
      <c r="R28" s="5">
        <f t="shared" ca="1" si="11"/>
        <v>1758.6166700000001</v>
      </c>
      <c r="S28" s="5">
        <f t="shared" ca="1" si="11"/>
        <v>1757.55</v>
      </c>
      <c r="T28" s="5">
        <f t="shared" ca="1" si="11"/>
        <v>1756.39617</v>
      </c>
      <c r="U28" s="5">
        <f t="shared" ca="1" si="11"/>
        <v>1758.7661700000001</v>
      </c>
      <c r="W28" s="5">
        <f t="shared" ca="1" si="12"/>
        <v>1758.4194839999996</v>
      </c>
      <c r="Y28" s="5">
        <f ca="1">Total!E28</f>
        <v>1753.1198199999999</v>
      </c>
      <c r="AB28" s="5">
        <f t="shared" ca="1" si="1"/>
        <v>4.1583466896177217E-3</v>
      </c>
      <c r="AC28" s="5">
        <f t="shared" ca="1" si="2"/>
        <v>5.2257409308167453E-3</v>
      </c>
      <c r="AD28" s="5">
        <f t="shared" ca="1" si="3"/>
        <v>3.3514195281871984E-3</v>
      </c>
      <c r="AE28" s="5">
        <f t="shared" ca="1" si="4"/>
        <v>1.8111597186780892E-3</v>
      </c>
      <c r="AF28" s="5">
        <f t="shared" ca="1" si="5"/>
        <v>1.8216153645448264E-3</v>
      </c>
      <c r="AG28" s="5">
        <f t="shared" ca="1" si="6"/>
        <v>3.1095136440816968E-3</v>
      </c>
      <c r="AH28" s="5">
        <f t="shared" ca="1" si="7"/>
        <v>3.1354673749568484E-3</v>
      </c>
      <c r="AI28" s="5">
        <f t="shared" ca="1" si="8"/>
        <v>2.5270263614953965E-3</v>
      </c>
      <c r="AJ28" s="5">
        <f t="shared" ca="1" si="9"/>
        <v>1.8688682670874677E-3</v>
      </c>
      <c r="AK28" s="5">
        <f t="shared" ca="1" si="10"/>
        <v>3.2207439192605851E-3</v>
      </c>
      <c r="AM28" s="5">
        <f t="shared" ca="1" si="13"/>
        <v>3.0229901798726578E-2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1.77911</v>
      </c>
      <c r="F29" s="5">
        <v>114</v>
      </c>
      <c r="H29" s="5" t="s">
        <v>0</v>
      </c>
      <c r="I29" s="5">
        <v>25</v>
      </c>
      <c r="J29" s="5">
        <v>0.4</v>
      </c>
      <c r="L29" s="5">
        <f t="shared" ca="1" si="11"/>
        <v>42.424349999999997</v>
      </c>
      <c r="M29" s="5">
        <f t="shared" ca="1" si="11"/>
        <v>41.319229999999997</v>
      </c>
      <c r="N29" s="5">
        <f t="shared" ca="1" si="11"/>
        <v>41.318849999999998</v>
      </c>
      <c r="O29" s="5">
        <f t="shared" ca="1" si="11"/>
        <v>41.318849999999998</v>
      </c>
      <c r="P29" s="5">
        <f t="shared" ca="1" si="11"/>
        <v>41.318849999999998</v>
      </c>
      <c r="Q29" s="5">
        <f t="shared" ca="1" si="11"/>
        <v>41.318849999999998</v>
      </c>
      <c r="R29" s="5">
        <f t="shared" ca="1" si="11"/>
        <v>41.318849999999998</v>
      </c>
      <c r="S29" s="5">
        <f t="shared" ca="1" si="11"/>
        <v>41.318849999999998</v>
      </c>
      <c r="T29" s="5">
        <f t="shared" ca="1" si="11"/>
        <v>41.318849999999998</v>
      </c>
      <c r="U29" s="5">
        <f t="shared" ca="1" si="11"/>
        <v>41.318849999999998</v>
      </c>
      <c r="W29" s="5">
        <f t="shared" ca="1" si="12"/>
        <v>41.429437999999998</v>
      </c>
      <c r="Y29" s="5">
        <f ca="1">Total!E29</f>
        <v>40.897550000000003</v>
      </c>
      <c r="AB29" s="5">
        <f t="shared" ca="1" si="1"/>
        <v>3.7332309637129711E-2</v>
      </c>
      <c r="AC29" s="5">
        <f t="shared" ca="1" si="2"/>
        <v>1.0310642080026675E-2</v>
      </c>
      <c r="AD29" s="5">
        <f t="shared" ca="1" si="3"/>
        <v>1.0301350569899543E-2</v>
      </c>
      <c r="AE29" s="5">
        <f t="shared" ca="1" si="4"/>
        <v>1.0301350569899543E-2</v>
      </c>
      <c r="AF29" s="5">
        <f t="shared" ca="1" si="5"/>
        <v>1.0301350569899543E-2</v>
      </c>
      <c r="AG29" s="5">
        <f t="shared" ca="1" si="6"/>
        <v>1.0301350569899543E-2</v>
      </c>
      <c r="AH29" s="5">
        <f t="shared" ca="1" si="7"/>
        <v>1.0301350569899543E-2</v>
      </c>
      <c r="AI29" s="5">
        <f t="shared" ca="1" si="8"/>
        <v>1.0301350569899543E-2</v>
      </c>
      <c r="AJ29" s="5">
        <f t="shared" ca="1" si="9"/>
        <v>1.0301350569899543E-2</v>
      </c>
      <c r="AK29" s="5">
        <f t="shared" ca="1" si="10"/>
        <v>1.0301350569899543E-2</v>
      </c>
      <c r="AM29" s="5">
        <f t="shared" ca="1" si="13"/>
        <v>0.13005375627635274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1.7785299999999999</v>
      </c>
      <c r="F30" s="5">
        <v>120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1"/>
        <v>28.65436</v>
      </c>
      <c r="N30" s="5">
        <f t="shared" ca="1" si="11"/>
        <v>28.65436</v>
      </c>
      <c r="O30" s="5">
        <f t="shared" ca="1" si="11"/>
        <v>28.65436</v>
      </c>
      <c r="P30" s="5">
        <f t="shared" ca="1" si="11"/>
        <v>28.65436</v>
      </c>
      <c r="Q30" s="5">
        <f t="shared" ca="1" si="11"/>
        <v>28.65436</v>
      </c>
      <c r="R30" s="5">
        <f t="shared" ca="1" si="11"/>
        <v>28.65436</v>
      </c>
      <c r="S30" s="5">
        <f t="shared" ca="1" si="11"/>
        <v>28.65436</v>
      </c>
      <c r="T30" s="5">
        <f t="shared" ca="1" si="11"/>
        <v>28.65436</v>
      </c>
      <c r="U30" s="5">
        <f t="shared" ca="1" si="11"/>
        <v>28.65436</v>
      </c>
      <c r="W30" s="5">
        <f t="shared" ca="1" si="12"/>
        <v>28.654360000000004</v>
      </c>
      <c r="Y30" s="5">
        <f ca="1">Total!E30</f>
        <v>28.65436</v>
      </c>
      <c r="AB30" s="5">
        <f t="shared" ca="1" si="1"/>
        <v>0</v>
      </c>
      <c r="AC30" s="5">
        <f t="shared" ca="1" si="2"/>
        <v>0</v>
      </c>
      <c r="AD30" s="5">
        <f t="shared" ca="1" si="3"/>
        <v>0</v>
      </c>
      <c r="AE30" s="5">
        <f t="shared" ca="1" si="4"/>
        <v>0</v>
      </c>
      <c r="AF30" s="5">
        <f t="shared" ca="1" si="5"/>
        <v>0</v>
      </c>
      <c r="AG30" s="5">
        <f t="shared" ca="1" si="6"/>
        <v>0</v>
      </c>
      <c r="AH30" s="5">
        <f t="shared" ca="1" si="7"/>
        <v>0</v>
      </c>
      <c r="AI30" s="5">
        <f t="shared" ca="1" si="8"/>
        <v>0</v>
      </c>
      <c r="AJ30" s="5">
        <f t="shared" ca="1" si="9"/>
        <v>0</v>
      </c>
      <c r="AK30" s="5">
        <f t="shared" ca="1" si="10"/>
        <v>0</v>
      </c>
      <c r="AM30" s="5">
        <f t="shared" ca="1" si="13"/>
        <v>0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1.2080599999999999</v>
      </c>
      <c r="F31" s="5">
        <v>26</v>
      </c>
      <c r="H31" s="5" t="s">
        <v>0</v>
      </c>
      <c r="I31" s="5">
        <v>25</v>
      </c>
      <c r="J31" s="5">
        <v>1</v>
      </c>
      <c r="L31" s="5">
        <f t="shared" ca="1" si="11"/>
        <v>28.546240000000001</v>
      </c>
      <c r="M31" s="5">
        <f t="shared" ca="1" si="11"/>
        <v>28.546240000000001</v>
      </c>
      <c r="N31" s="5">
        <f t="shared" ca="1" si="11"/>
        <v>28.592030000000001</v>
      </c>
      <c r="O31" s="5">
        <f t="shared" ca="1" si="11"/>
        <v>28.592030000000001</v>
      </c>
      <c r="P31" s="5">
        <f t="shared" ca="1" si="11"/>
        <v>28.592030000000001</v>
      </c>
      <c r="Q31" s="5">
        <f t="shared" ca="1" si="11"/>
        <v>28.612030000000001</v>
      </c>
      <c r="R31" s="5">
        <f t="shared" ca="1" si="11"/>
        <v>28.592030000000001</v>
      </c>
      <c r="S31" s="5">
        <f t="shared" ca="1" si="11"/>
        <v>28.546240000000001</v>
      </c>
      <c r="T31" s="5">
        <f t="shared" ca="1" si="11"/>
        <v>28.546240000000001</v>
      </c>
      <c r="U31" s="5">
        <f t="shared" ca="1" si="11"/>
        <v>28.602029999999999</v>
      </c>
      <c r="W31" s="5">
        <f t="shared" ca="1" si="12"/>
        <v>28.576714000000003</v>
      </c>
      <c r="Y31" s="5">
        <f ca="1">Total!E31</f>
        <v>28.504100000000001</v>
      </c>
      <c r="AB31" s="5">
        <f t="shared" ca="1" si="1"/>
        <v>1.4783838114516804E-3</v>
      </c>
      <c r="AC31" s="5">
        <f t="shared" ca="1" si="2"/>
        <v>1.4783838114516804E-3</v>
      </c>
      <c r="AD31" s="5">
        <f t="shared" ca="1" si="3"/>
        <v>3.0848193768615766E-3</v>
      </c>
      <c r="AE31" s="5">
        <f t="shared" ca="1" si="4"/>
        <v>3.0848193768615766E-3</v>
      </c>
      <c r="AF31" s="5">
        <f t="shared" ca="1" si="5"/>
        <v>3.0848193768615766E-3</v>
      </c>
      <c r="AG31" s="5">
        <f t="shared" ca="1" si="6"/>
        <v>3.7864728232078764E-3</v>
      </c>
      <c r="AH31" s="5">
        <f t="shared" ca="1" si="7"/>
        <v>3.0848193768615766E-3</v>
      </c>
      <c r="AI31" s="5">
        <f t="shared" ca="1" si="8"/>
        <v>1.4783838114516804E-3</v>
      </c>
      <c r="AJ31" s="5">
        <f t="shared" ca="1" si="9"/>
        <v>1.4783838114516804E-3</v>
      </c>
      <c r="AK31" s="5">
        <f t="shared" ca="1" si="10"/>
        <v>3.4356461000346642E-3</v>
      </c>
      <c r="AM31" s="5">
        <f t="shared" ca="1" si="13"/>
        <v>2.5474931676495567E-2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1.2052</v>
      </c>
      <c r="F32" s="5">
        <v>25</v>
      </c>
      <c r="H32" s="5" t="s">
        <v>0</v>
      </c>
      <c r="I32" s="5">
        <v>50</v>
      </c>
      <c r="J32" s="5">
        <v>0.4</v>
      </c>
      <c r="L32" s="5">
        <f t="shared" ca="1" si="11"/>
        <v>58.911859999999997</v>
      </c>
      <c r="M32" s="5">
        <f t="shared" ca="1" si="11"/>
        <v>56.911659999999998</v>
      </c>
      <c r="N32" s="5">
        <f t="shared" ca="1" si="11"/>
        <v>59.044020000000003</v>
      </c>
      <c r="O32" s="5">
        <f t="shared" ca="1" si="11"/>
        <v>59.21264</v>
      </c>
      <c r="P32" s="5">
        <f t="shared" ca="1" si="11"/>
        <v>58.991019999999999</v>
      </c>
      <c r="Q32" s="5">
        <f t="shared" ca="1" si="11"/>
        <v>59.119509999999998</v>
      </c>
      <c r="R32" s="5">
        <f t="shared" ca="1" si="11"/>
        <v>59.089509999999997</v>
      </c>
      <c r="S32" s="5">
        <f t="shared" ca="1" si="11"/>
        <v>56.911659999999998</v>
      </c>
      <c r="T32" s="5">
        <f t="shared" ca="1" si="11"/>
        <v>59.090690000000002</v>
      </c>
      <c r="U32" s="5">
        <f t="shared" ca="1" si="11"/>
        <v>58.98686</v>
      </c>
      <c r="W32" s="5">
        <f t="shared" ca="1" si="12"/>
        <v>58.626943000000004</v>
      </c>
      <c r="Y32" s="5">
        <f ca="1">Total!E32</f>
        <v>56.511339999999997</v>
      </c>
      <c r="AB32" s="5">
        <f t="shared" ca="1" si="1"/>
        <v>4.2478553861932847E-2</v>
      </c>
      <c r="AC32" s="5">
        <f t="shared" ca="1" si="2"/>
        <v>7.0838879417830245E-3</v>
      </c>
      <c r="AD32" s="5">
        <f t="shared" ca="1" si="3"/>
        <v>4.4817199521370511E-2</v>
      </c>
      <c r="AE32" s="5">
        <f t="shared" ca="1" si="4"/>
        <v>4.7801025422508178E-2</v>
      </c>
      <c r="AF32" s="5">
        <f t="shared" ca="1" si="5"/>
        <v>4.3879334660972505E-2</v>
      </c>
      <c r="AG32" s="5">
        <f t="shared" ca="1" si="6"/>
        <v>4.6153037602718348E-2</v>
      </c>
      <c r="AH32" s="5">
        <f t="shared" ca="1" si="7"/>
        <v>4.5622170700606292E-2</v>
      </c>
      <c r="AI32" s="5">
        <f t="shared" ca="1" si="8"/>
        <v>7.0838879417830245E-3</v>
      </c>
      <c r="AJ32" s="5">
        <f t="shared" ca="1" si="9"/>
        <v>4.5643051465422788E-2</v>
      </c>
      <c r="AK32" s="5">
        <f t="shared" ca="1" si="10"/>
        <v>4.3805721117212988E-2</v>
      </c>
      <c r="AM32" s="5">
        <f t="shared" ca="1" si="13"/>
        <v>0.37436787023631052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1.22305</v>
      </c>
      <c r="F33" s="5">
        <v>26</v>
      </c>
      <c r="H33" s="5" t="s">
        <v>0</v>
      </c>
      <c r="I33" s="5">
        <v>50</v>
      </c>
      <c r="J33" s="5">
        <v>0.7</v>
      </c>
      <c r="L33" s="5">
        <f t="shared" ca="1" si="11"/>
        <v>53.725070000000002</v>
      </c>
      <c r="M33" s="5">
        <f t="shared" ca="1" si="11"/>
        <v>53.618090000000002</v>
      </c>
      <c r="N33" s="5">
        <f t="shared" ca="1" si="11"/>
        <v>53.645969999999998</v>
      </c>
      <c r="O33" s="5">
        <f t="shared" ca="1" si="11"/>
        <v>53.35275</v>
      </c>
      <c r="P33" s="5">
        <f t="shared" ca="1" si="11"/>
        <v>53.815069999999999</v>
      </c>
      <c r="Q33" s="5">
        <f t="shared" ca="1" si="11"/>
        <v>53.722749999999998</v>
      </c>
      <c r="R33" s="5">
        <f t="shared" ca="1" si="11"/>
        <v>53.542749999999998</v>
      </c>
      <c r="S33" s="5">
        <f t="shared" ca="1" si="11"/>
        <v>53.725070000000002</v>
      </c>
      <c r="T33" s="5">
        <f t="shared" ca="1" si="11"/>
        <v>53.702060000000003</v>
      </c>
      <c r="U33" s="5">
        <f t="shared" ca="1" si="11"/>
        <v>53.602409999999999</v>
      </c>
      <c r="W33" s="5">
        <f t="shared" ca="1" si="12"/>
        <v>53.645199000000005</v>
      </c>
      <c r="Y33" s="5">
        <f ca="1">Total!E33</f>
        <v>53.115070000000003</v>
      </c>
      <c r="AB33" s="5">
        <f t="shared" ca="1" si="1"/>
        <v>1.1484499596818744E-2</v>
      </c>
      <c r="AC33" s="5">
        <f t="shared" ca="1" si="2"/>
        <v>9.4703819462160048E-3</v>
      </c>
      <c r="AD33" s="5">
        <f t="shared" ca="1" si="3"/>
        <v>9.9952800589361065E-3</v>
      </c>
      <c r="AE33" s="5">
        <f t="shared" ca="1" si="4"/>
        <v>4.4748128920850038E-3</v>
      </c>
      <c r="AF33" s="5">
        <f t="shared" ca="1" si="5"/>
        <v>1.3178933963562426E-2</v>
      </c>
      <c r="AG33" s="5">
        <f t="shared" ca="1" si="6"/>
        <v>1.1440820844253709E-2</v>
      </c>
      <c r="AH33" s="5">
        <f t="shared" ca="1" si="7"/>
        <v>8.0519521107662133E-3</v>
      </c>
      <c r="AI33" s="5">
        <f t="shared" ca="1" si="8"/>
        <v>1.1484499596818744E-2</v>
      </c>
      <c r="AJ33" s="5">
        <f t="shared" ca="1" si="9"/>
        <v>1.1051289210387939E-2</v>
      </c>
      <c r="AK33" s="5">
        <f t="shared" ca="1" si="10"/>
        <v>9.1751738254321428E-3</v>
      </c>
      <c r="AM33" s="5">
        <f t="shared" ca="1" si="13"/>
        <v>9.9807644045277047E-2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1.21383</v>
      </c>
      <c r="F34" s="5">
        <v>26</v>
      </c>
      <c r="H34" s="5" t="s">
        <v>0</v>
      </c>
      <c r="I34" s="5">
        <v>50</v>
      </c>
      <c r="J34" s="5">
        <v>1</v>
      </c>
      <c r="L34" s="5">
        <f t="shared" ca="1" si="11"/>
        <v>53.38749</v>
      </c>
      <c r="M34" s="5">
        <f t="shared" ca="1" si="11"/>
        <v>53.24241</v>
      </c>
      <c r="N34" s="5">
        <f t="shared" ca="1" si="11"/>
        <v>53.357489999999999</v>
      </c>
      <c r="O34" s="5">
        <f t="shared" ca="1" si="11"/>
        <v>53.222410000000004</v>
      </c>
      <c r="P34" s="5">
        <f t="shared" ca="1" si="11"/>
        <v>53.118850000000002</v>
      </c>
      <c r="Q34" s="5">
        <f t="shared" ca="1" si="11"/>
        <v>53.487569999999998</v>
      </c>
      <c r="R34" s="5">
        <f t="shared" ca="1" si="11"/>
        <v>53.265520000000002</v>
      </c>
      <c r="S34" s="5">
        <f t="shared" ca="1" si="11"/>
        <v>53.124980000000001</v>
      </c>
      <c r="T34" s="5">
        <f t="shared" ca="1" si="11"/>
        <v>53.357570000000003</v>
      </c>
      <c r="U34" s="5">
        <f t="shared" ca="1" si="11"/>
        <v>53.097569999999997</v>
      </c>
      <c r="W34" s="5">
        <f t="shared" ca="1" si="12"/>
        <v>53.26618599999999</v>
      </c>
      <c r="Y34" s="5">
        <f ca="1">Total!E34</f>
        <v>53.003740000000001</v>
      </c>
      <c r="AB34" s="5">
        <f t="shared" ca="1" si="1"/>
        <v>7.2400551357319149E-3</v>
      </c>
      <c r="AC34" s="5">
        <f t="shared" ca="1" si="2"/>
        <v>4.5028897960785229E-3</v>
      </c>
      <c r="AD34" s="5">
        <f t="shared" ca="1" si="3"/>
        <v>6.6740573401046421E-3</v>
      </c>
      <c r="AE34" s="5">
        <f t="shared" ca="1" si="4"/>
        <v>4.1255579323270968E-3</v>
      </c>
      <c r="AF34" s="5">
        <f t="shared" ca="1" si="5"/>
        <v>2.1717335418217918E-3</v>
      </c>
      <c r="AG34" s="5">
        <f t="shared" ca="1" si="6"/>
        <v>9.1282237819443977E-3</v>
      </c>
      <c r="AH34" s="5">
        <f t="shared" ca="1" si="7"/>
        <v>4.9388967646434318E-3</v>
      </c>
      <c r="AI34" s="5">
        <f t="shared" ca="1" si="8"/>
        <v>2.2873857580616055E-3</v>
      </c>
      <c r="AJ34" s="5">
        <f t="shared" ca="1" si="9"/>
        <v>6.6755666675597245E-3</v>
      </c>
      <c r="AK34" s="5">
        <f t="shared" ca="1" si="10"/>
        <v>1.7702524387901112E-3</v>
      </c>
      <c r="AM34" s="5">
        <f t="shared" ca="1" si="13"/>
        <v>4.9514619157063226E-2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1.22129</v>
      </c>
      <c r="F35" s="5">
        <v>26</v>
      </c>
      <c r="H35" s="5" t="s">
        <v>0</v>
      </c>
      <c r="I35" s="5">
        <v>100</v>
      </c>
      <c r="J35" s="5">
        <v>0.4</v>
      </c>
      <c r="L35" s="5">
        <f t="shared" ca="1" si="11"/>
        <v>148.38403</v>
      </c>
      <c r="M35" s="5">
        <f t="shared" ca="1" si="11"/>
        <v>148.32798</v>
      </c>
      <c r="N35" s="5">
        <f t="shared" ca="1" si="11"/>
        <v>148.32395</v>
      </c>
      <c r="O35" s="5">
        <f t="shared" ca="1" si="11"/>
        <v>148.29381000000001</v>
      </c>
      <c r="P35" s="5">
        <f t="shared" ca="1" si="11"/>
        <v>148.25146000000001</v>
      </c>
      <c r="Q35" s="5">
        <f t="shared" ca="1" si="11"/>
        <v>148.26199</v>
      </c>
      <c r="R35" s="5">
        <f t="shared" ca="1" si="11"/>
        <v>148.36866000000001</v>
      </c>
      <c r="S35" s="5">
        <f t="shared" ca="1" si="11"/>
        <v>148.24381</v>
      </c>
      <c r="T35" s="5">
        <f t="shared" ca="1" si="11"/>
        <v>148.21485999999999</v>
      </c>
      <c r="U35" s="5">
        <f t="shared" ca="1" si="11"/>
        <v>148.30986999999999</v>
      </c>
      <c r="W35" s="5">
        <f t="shared" ca="1" si="12"/>
        <v>148.29804200000001</v>
      </c>
      <c r="Y35" s="5">
        <f ca="1">Total!E35</f>
        <v>147.96312</v>
      </c>
      <c r="AB35" s="5">
        <f t="shared" ca="1" si="1"/>
        <v>2.8446953538151408E-3</v>
      </c>
      <c r="AC35" s="5">
        <f t="shared" ca="1" si="2"/>
        <v>2.4658847420897388E-3</v>
      </c>
      <c r="AD35" s="5">
        <f t="shared" ca="1" si="3"/>
        <v>2.4386482253144761E-3</v>
      </c>
      <c r="AE35" s="5">
        <f t="shared" ca="1" si="4"/>
        <v>2.2349488169755012E-3</v>
      </c>
      <c r="AF35" s="5">
        <f t="shared" ca="1" si="5"/>
        <v>1.9487288454042139E-3</v>
      </c>
      <c r="AG35" s="5">
        <f t="shared" ca="1" si="6"/>
        <v>2.0198952279459484E-3</v>
      </c>
      <c r="AH35" s="5">
        <f t="shared" ca="1" si="7"/>
        <v>2.7408181173795335E-3</v>
      </c>
      <c r="AI35" s="5">
        <f t="shared" ca="1" si="8"/>
        <v>1.8970267726173438E-3</v>
      </c>
      <c r="AJ35" s="5">
        <f t="shared" ca="1" si="9"/>
        <v>1.7013699089339551E-3</v>
      </c>
      <c r="AK35" s="5">
        <f t="shared" ca="1" si="10"/>
        <v>2.3434893776231934E-3</v>
      </c>
      <c r="AM35" s="5">
        <f t="shared" ca="1" si="13"/>
        <v>2.2635505388099043E-2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1.21418</v>
      </c>
      <c r="F36" s="5">
        <v>26</v>
      </c>
      <c r="H36" s="5" t="s">
        <v>0</v>
      </c>
      <c r="I36" s="5">
        <v>100</v>
      </c>
      <c r="J36" s="5">
        <v>0.7</v>
      </c>
      <c r="L36" s="5">
        <f t="shared" ca="1" si="11"/>
        <v>108.24845000000001</v>
      </c>
      <c r="M36" s="5">
        <f t="shared" ca="1" si="11"/>
        <v>108.10163</v>
      </c>
      <c r="N36" s="5">
        <f t="shared" ca="1" si="11"/>
        <v>108.46753</v>
      </c>
      <c r="O36" s="5">
        <f t="shared" ca="1" si="11"/>
        <v>108.5442</v>
      </c>
      <c r="P36" s="5">
        <f t="shared" ca="1" si="11"/>
        <v>108.26336000000001</v>
      </c>
      <c r="Q36" s="5">
        <f t="shared" ca="1" si="11"/>
        <v>108.40837000000001</v>
      </c>
      <c r="R36" s="5">
        <f t="shared" ca="1" si="11"/>
        <v>107.91753</v>
      </c>
      <c r="S36" s="5">
        <f t="shared" ca="1" si="11"/>
        <v>108.23594</v>
      </c>
      <c r="T36" s="5">
        <f t="shared" ca="1" si="11"/>
        <v>107.89413</v>
      </c>
      <c r="U36" s="5">
        <f t="shared" ca="1" si="11"/>
        <v>108.49928</v>
      </c>
      <c r="W36" s="5">
        <f t="shared" ca="1" si="12"/>
        <v>108.25804200000002</v>
      </c>
      <c r="Y36" s="5">
        <f ca="1">Total!E36</f>
        <v>107.28163000000001</v>
      </c>
      <c r="AB36" s="5">
        <f t="shared" ca="1" si="1"/>
        <v>9.0119808955176992E-3</v>
      </c>
      <c r="AC36" s="5">
        <f t="shared" ca="1" si="2"/>
        <v>7.643433456408083E-3</v>
      </c>
      <c r="AD36" s="5">
        <f t="shared" ca="1" si="3"/>
        <v>1.1054082604822367E-2</v>
      </c>
      <c r="AE36" s="5">
        <f t="shared" ca="1" si="4"/>
        <v>1.1768743632996596E-2</v>
      </c>
      <c r="AF36" s="5">
        <f t="shared" ca="1" si="5"/>
        <v>9.1509608867799529E-3</v>
      </c>
      <c r="AG36" s="5">
        <f t="shared" ca="1" si="6"/>
        <v>1.0502636844723537E-2</v>
      </c>
      <c r="AH36" s="5">
        <f t="shared" ca="1" si="7"/>
        <v>5.92738943284132E-3</v>
      </c>
      <c r="AI36" s="5">
        <f t="shared" ca="1" si="8"/>
        <v>8.895371929005854E-3</v>
      </c>
      <c r="AJ36" s="5">
        <f t="shared" ca="1" si="9"/>
        <v>5.7092719415243517E-3</v>
      </c>
      <c r="AK36" s="5">
        <f t="shared" ca="1" si="10"/>
        <v>1.1350032619750388E-2</v>
      </c>
      <c r="AM36" s="5">
        <f t="shared" ca="1" si="13"/>
        <v>9.1013904244370142E-2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1.2156100000000001</v>
      </c>
      <c r="F37" s="5">
        <v>26</v>
      </c>
      <c r="H37" s="5" t="s">
        <v>0</v>
      </c>
      <c r="I37" s="5">
        <v>100</v>
      </c>
      <c r="J37" s="5">
        <v>1</v>
      </c>
      <c r="L37" s="5">
        <f t="shared" ca="1" si="11"/>
        <v>103.96247</v>
      </c>
      <c r="M37" s="5">
        <f t="shared" ca="1" si="11"/>
        <v>103.97086</v>
      </c>
      <c r="N37" s="5">
        <f t="shared" ca="1" si="11"/>
        <v>103.99836999999999</v>
      </c>
      <c r="O37" s="5">
        <f t="shared" ca="1" si="11"/>
        <v>104.06247</v>
      </c>
      <c r="P37" s="5">
        <f t="shared" ca="1" si="11"/>
        <v>103.81586</v>
      </c>
      <c r="Q37" s="5">
        <f t="shared" ca="1" si="11"/>
        <v>104.0558</v>
      </c>
      <c r="R37" s="5">
        <f t="shared" ca="1" si="11"/>
        <v>103.95829000000001</v>
      </c>
      <c r="S37" s="5">
        <f t="shared" ca="1" si="11"/>
        <v>104.07003</v>
      </c>
      <c r="T37" s="5">
        <f t="shared" ca="1" si="11"/>
        <v>103.98086000000001</v>
      </c>
      <c r="U37" s="5">
        <f t="shared" ca="1" si="11"/>
        <v>103.87503</v>
      </c>
      <c r="W37" s="5">
        <f t="shared" ca="1" si="12"/>
        <v>103.97500399999998</v>
      </c>
      <c r="Y37" s="5">
        <f ca="1">Total!E37</f>
        <v>103.21266</v>
      </c>
      <c r="AB37" s="5">
        <f t="shared" ca="1" si="1"/>
        <v>7.2647095811695633E-3</v>
      </c>
      <c r="AC37" s="5">
        <f t="shared" ca="1" si="2"/>
        <v>7.3459980587652933E-3</v>
      </c>
      <c r="AD37" s="5">
        <f t="shared" ca="1" si="3"/>
        <v>7.6125351289269613E-3</v>
      </c>
      <c r="AE37" s="5">
        <f t="shared" ca="1" si="4"/>
        <v>8.2335829732515867E-3</v>
      </c>
      <c r="AF37" s="5">
        <f t="shared" ca="1" si="5"/>
        <v>5.8442443010382743E-3</v>
      </c>
      <c r="AG37" s="5">
        <f t="shared" ca="1" si="6"/>
        <v>8.1689591179997228E-3</v>
      </c>
      <c r="AH37" s="5">
        <f t="shared" ca="1" si="7"/>
        <v>7.2242106733806256E-3</v>
      </c>
      <c r="AI37" s="5">
        <f t="shared" ca="1" si="8"/>
        <v>8.306829801692962E-3</v>
      </c>
      <c r="AJ37" s="5">
        <f t="shared" ca="1" si="9"/>
        <v>7.4428853979735367E-3</v>
      </c>
      <c r="AK37" s="5">
        <f t="shared" ca="1" si="10"/>
        <v>6.4175266871331063E-3</v>
      </c>
      <c r="AM37" s="5">
        <f t="shared" ca="1" si="13"/>
        <v>7.386148172133164E-2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1.2013100000000001</v>
      </c>
      <c r="F38" s="5">
        <v>25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1.20777</v>
      </c>
      <c r="F39" s="5">
        <v>26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1.2073799999999999</v>
      </c>
      <c r="F40" s="5">
        <v>26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2.8914800000000001</v>
      </c>
      <c r="F41" s="5">
        <v>73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2.9138999999999999</v>
      </c>
      <c r="F42" s="5">
        <v>77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2.9134199999999999</v>
      </c>
      <c r="F43" s="5">
        <v>75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2.8904800000000002</v>
      </c>
      <c r="F44" s="5">
        <v>74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2.9084099999999999</v>
      </c>
      <c r="F45" s="5">
        <v>77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2.9034</v>
      </c>
      <c r="F46" s="5">
        <v>75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2.89514</v>
      </c>
      <c r="F47" s="5">
        <v>75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2.9238499999999998</v>
      </c>
      <c r="F48" s="5">
        <v>75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2.9139300000000001</v>
      </c>
      <c r="F49" s="5">
        <v>77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2.9043899999999998</v>
      </c>
      <c r="F50" s="5">
        <v>75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182.34583000000001</v>
      </c>
      <c r="E51" s="5">
        <v>4.6053499999999996</v>
      </c>
      <c r="F51" s="5">
        <v>118</v>
      </c>
    </row>
    <row r="52" spans="1:6" x14ac:dyDescent="0.25">
      <c r="A52" s="5" t="s">
        <v>27</v>
      </c>
      <c r="B52" s="5">
        <v>50</v>
      </c>
      <c r="C52" s="5">
        <v>1</v>
      </c>
      <c r="D52" s="5">
        <v>182.41480000000001</v>
      </c>
      <c r="E52" s="5">
        <v>4.6091100000000003</v>
      </c>
      <c r="F52" s="5">
        <v>119</v>
      </c>
    </row>
    <row r="53" spans="1:6" x14ac:dyDescent="0.25">
      <c r="A53" s="5" t="s">
        <v>27</v>
      </c>
      <c r="B53" s="5">
        <v>50</v>
      </c>
      <c r="C53" s="5">
        <v>1</v>
      </c>
      <c r="D53" s="5">
        <v>182.34583000000001</v>
      </c>
      <c r="E53" s="5">
        <v>4.6060800000000004</v>
      </c>
      <c r="F53" s="5">
        <v>119</v>
      </c>
    </row>
    <row r="54" spans="1:6" x14ac:dyDescent="0.25">
      <c r="A54" s="5" t="s">
        <v>27</v>
      </c>
      <c r="B54" s="5">
        <v>50</v>
      </c>
      <c r="C54" s="5">
        <v>1</v>
      </c>
      <c r="D54" s="5">
        <v>180.25</v>
      </c>
      <c r="E54" s="5">
        <v>4.5965400000000001</v>
      </c>
      <c r="F54" s="5">
        <v>119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180.43671000000001</v>
      </c>
      <c r="E55" s="5">
        <v>4.6196099999999998</v>
      </c>
      <c r="F55" s="5">
        <v>119</v>
      </c>
    </row>
    <row r="56" spans="1:6" x14ac:dyDescent="0.25">
      <c r="A56" s="5" t="s">
        <v>27</v>
      </c>
      <c r="B56" s="5">
        <v>50</v>
      </c>
      <c r="C56" s="5">
        <v>1</v>
      </c>
      <c r="D56" s="5">
        <v>180.34135000000001</v>
      </c>
      <c r="E56" s="5">
        <v>4.5965600000000002</v>
      </c>
      <c r="F56" s="5">
        <v>120</v>
      </c>
    </row>
    <row r="57" spans="1:6" x14ac:dyDescent="0.25">
      <c r="A57" s="5" t="s">
        <v>27</v>
      </c>
      <c r="B57" s="5">
        <v>50</v>
      </c>
      <c r="C57" s="5">
        <v>1</v>
      </c>
      <c r="D57" s="5">
        <v>180.25</v>
      </c>
      <c r="E57" s="5">
        <v>4.6002799999999997</v>
      </c>
      <c r="F57" s="5">
        <v>119</v>
      </c>
    </row>
    <row r="58" spans="1:6" x14ac:dyDescent="0.25">
      <c r="A58" s="5" t="s">
        <v>27</v>
      </c>
      <c r="B58" s="5">
        <v>50</v>
      </c>
      <c r="C58" s="5">
        <v>1</v>
      </c>
      <c r="D58" s="5">
        <v>180.62098</v>
      </c>
      <c r="E58" s="5">
        <v>4.5958800000000002</v>
      </c>
      <c r="F58" s="5">
        <v>119</v>
      </c>
    </row>
    <row r="59" spans="1:6" x14ac:dyDescent="0.25">
      <c r="A59" s="5" t="s">
        <v>27</v>
      </c>
      <c r="B59" s="5">
        <v>50</v>
      </c>
      <c r="C59" s="5">
        <v>1</v>
      </c>
      <c r="D59" s="5">
        <v>180.05332999999999</v>
      </c>
      <c r="E59" s="5">
        <v>4.6066200000000004</v>
      </c>
      <c r="F59" s="5">
        <v>120</v>
      </c>
    </row>
    <row r="60" spans="1:6" x14ac:dyDescent="0.25">
      <c r="A60" s="5" t="s">
        <v>27</v>
      </c>
      <c r="B60" s="5">
        <v>50</v>
      </c>
      <c r="C60" s="5">
        <v>1</v>
      </c>
      <c r="D60" s="5">
        <v>180.11959999999999</v>
      </c>
      <c r="E60" s="5">
        <v>4.6021599999999996</v>
      </c>
      <c r="F60" s="5">
        <v>119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5.6063799999999997</v>
      </c>
      <c r="F61" s="5">
        <v>40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5.5940300000000001</v>
      </c>
      <c r="F62" s="5">
        <v>40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5.6413399999999996</v>
      </c>
      <c r="F63" s="5">
        <v>40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5.5960900000000002</v>
      </c>
      <c r="F64" s="5">
        <v>40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5.6421999999999999</v>
      </c>
      <c r="F65" s="5">
        <v>40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5.5991299999999997</v>
      </c>
      <c r="F66" s="5">
        <v>40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5.6315299999999997</v>
      </c>
      <c r="F67" s="5">
        <v>40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5.59971</v>
      </c>
      <c r="F68" s="5">
        <v>40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5.6210100000000001</v>
      </c>
      <c r="F69" s="5">
        <v>40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5.6405900000000004</v>
      </c>
      <c r="F70" s="5">
        <v>40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258.76731999999998</v>
      </c>
      <c r="E71" s="5">
        <v>11.647069999999999</v>
      </c>
      <c r="F71" s="5">
        <v>81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256.36216000000002</v>
      </c>
      <c r="E72" s="5">
        <v>11.67442</v>
      </c>
      <c r="F72" s="5">
        <v>80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257.42671000000001</v>
      </c>
      <c r="E73" s="5">
        <v>11.68249</v>
      </c>
      <c r="F73" s="5">
        <v>80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257.05128999999999</v>
      </c>
      <c r="E74" s="5">
        <v>11.663740000000001</v>
      </c>
      <c r="F74" s="5">
        <v>80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256.15795000000003</v>
      </c>
      <c r="E75" s="5">
        <v>11.7454</v>
      </c>
      <c r="F75" s="5">
        <v>81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257.27206999999999</v>
      </c>
      <c r="E76" s="5">
        <v>11.719620000000001</v>
      </c>
      <c r="F76" s="5">
        <v>80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256.76731999999998</v>
      </c>
      <c r="E77" s="5">
        <v>11.655480000000001</v>
      </c>
      <c r="F77" s="5">
        <v>80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256.65732000000003</v>
      </c>
      <c r="E78" s="5">
        <v>11.708640000000001</v>
      </c>
      <c r="F78" s="5">
        <v>81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257.40206999999998</v>
      </c>
      <c r="E79" s="5">
        <v>11.74817</v>
      </c>
      <c r="F79" s="5">
        <v>81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257.44295</v>
      </c>
      <c r="E80" s="5">
        <v>11.759829999999999</v>
      </c>
      <c r="F80" s="5">
        <v>81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239.16030000000001</v>
      </c>
      <c r="E81" s="5">
        <v>30.233229999999999</v>
      </c>
      <c r="F81" s="5">
        <v>206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238.91</v>
      </c>
      <c r="E82" s="5">
        <v>30.241019999999999</v>
      </c>
      <c r="F82" s="5">
        <v>205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238.81255999999999</v>
      </c>
      <c r="E83" s="5">
        <v>30.233630000000002</v>
      </c>
      <c r="F83" s="5">
        <v>206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239.40666999999999</v>
      </c>
      <c r="E84" s="5">
        <v>30.139050000000001</v>
      </c>
      <c r="F84" s="5">
        <v>206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238.91333</v>
      </c>
      <c r="E85" s="5">
        <v>30.132619999999999</v>
      </c>
      <c r="F85" s="5">
        <v>205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239.40666999999999</v>
      </c>
      <c r="E86" s="5">
        <v>30.195530000000002</v>
      </c>
      <c r="F86" s="5">
        <v>204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238.93</v>
      </c>
      <c r="E87" s="5">
        <v>30.195789999999999</v>
      </c>
      <c r="F87" s="5">
        <v>205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239.52332999999999</v>
      </c>
      <c r="E88" s="5">
        <v>30.226220000000001</v>
      </c>
      <c r="F88" s="5">
        <v>206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239.13896</v>
      </c>
      <c r="E89" s="5">
        <v>30.136469999999999</v>
      </c>
      <c r="F89" s="5">
        <v>204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239.08053000000001</v>
      </c>
      <c r="E90" s="5">
        <v>30.225090000000002</v>
      </c>
      <c r="F90" s="5">
        <v>206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0.58704999999999996</v>
      </c>
      <c r="F91" s="5">
        <v>62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0.58687999999999996</v>
      </c>
      <c r="F92" s="5">
        <v>58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0.58816999999999997</v>
      </c>
      <c r="F93" s="5">
        <v>62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0.58692999999999995</v>
      </c>
      <c r="F94" s="5">
        <v>62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0.58282999999999996</v>
      </c>
      <c r="F95" s="5">
        <v>53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0.58155999999999997</v>
      </c>
      <c r="F96" s="5">
        <v>61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0.58243999999999996</v>
      </c>
      <c r="F97" s="5">
        <v>61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0.58801999999999999</v>
      </c>
      <c r="F98" s="5">
        <v>62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0.58176000000000005</v>
      </c>
      <c r="F99" s="5">
        <v>62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0.58128999999999997</v>
      </c>
      <c r="F100" s="5">
        <v>60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0.73897999999999997</v>
      </c>
      <c r="F101" s="5">
        <v>75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0.73426999999999998</v>
      </c>
      <c r="F102" s="5">
        <v>80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0.74134999999999995</v>
      </c>
      <c r="F103" s="5">
        <v>80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0.73726000000000003</v>
      </c>
      <c r="F104" s="5">
        <v>68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0.73411000000000004</v>
      </c>
      <c r="F105" s="5">
        <v>76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0.74073999999999995</v>
      </c>
      <c r="F106" s="5">
        <v>77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0.73702000000000001</v>
      </c>
      <c r="F107" s="5">
        <v>79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0.73536000000000001</v>
      </c>
      <c r="F108" s="5">
        <v>79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0.73514999999999997</v>
      </c>
      <c r="F109" s="5">
        <v>73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0.73984000000000005</v>
      </c>
      <c r="F110" s="5">
        <v>77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1.2798700000000001</v>
      </c>
      <c r="F111" s="5">
        <v>121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1.2801800000000001</v>
      </c>
      <c r="F112" s="5">
        <v>124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1.2786900000000001</v>
      </c>
      <c r="F113" s="5">
        <v>131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1.2747999999999999</v>
      </c>
      <c r="F114" s="5">
        <v>132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1.2744</v>
      </c>
      <c r="F115" s="5">
        <v>123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1.27976</v>
      </c>
      <c r="F116" s="5">
        <v>135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1.27756</v>
      </c>
      <c r="F117" s="5">
        <v>132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1.2787900000000001</v>
      </c>
      <c r="F118" s="5">
        <v>126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1.2762199999999999</v>
      </c>
      <c r="F119" s="5">
        <v>131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1.2777700000000001</v>
      </c>
      <c r="F120" s="5">
        <v>133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4348.0289499999999</v>
      </c>
      <c r="E121" s="5">
        <v>2.0122399999999998</v>
      </c>
      <c r="F121" s="5">
        <v>63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4348.0289499999999</v>
      </c>
      <c r="E122" s="5">
        <v>2.0162599999999999</v>
      </c>
      <c r="F122" s="5">
        <v>66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4348.0289499999999</v>
      </c>
      <c r="E123" s="5">
        <v>2.01118</v>
      </c>
      <c r="F123" s="5">
        <v>64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4348.0289499999999</v>
      </c>
      <c r="E124" s="5">
        <v>1.99247</v>
      </c>
      <c r="F124" s="5">
        <v>65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4348.0289499999999</v>
      </c>
      <c r="E125" s="5">
        <v>2.0014400000000001</v>
      </c>
      <c r="F125" s="5">
        <v>61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4348.0289499999999</v>
      </c>
      <c r="E126" s="5">
        <v>2.0027400000000002</v>
      </c>
      <c r="F126" s="5">
        <v>66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2.0088699999999999</v>
      </c>
      <c r="F127" s="5">
        <v>64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1.9921800000000001</v>
      </c>
      <c r="F128" s="5">
        <v>65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2.0020899999999999</v>
      </c>
      <c r="F129" s="5">
        <v>63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4348.0289499999999</v>
      </c>
      <c r="E130" s="5">
        <v>2.00203</v>
      </c>
      <c r="F130" s="5">
        <v>66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2.8671000000000002</v>
      </c>
      <c r="F131" s="5">
        <v>91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2.8711600000000002</v>
      </c>
      <c r="F132" s="5">
        <v>89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2.8809200000000001</v>
      </c>
      <c r="F133" s="5">
        <v>91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2.8808799999999999</v>
      </c>
      <c r="F134" s="5">
        <v>92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2.8653400000000002</v>
      </c>
      <c r="F135" s="5">
        <v>92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2.8772099999999998</v>
      </c>
      <c r="F136" s="5">
        <v>91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2.86931</v>
      </c>
      <c r="F137" s="5">
        <v>89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2.8816099999999998</v>
      </c>
      <c r="F138" s="5">
        <v>93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2.8736600000000001</v>
      </c>
      <c r="F139" s="5">
        <v>91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2.8614799999999998</v>
      </c>
      <c r="F140" s="5">
        <v>90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3.51179</v>
      </c>
      <c r="F141" s="5">
        <v>111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3.5179100000000001</v>
      </c>
      <c r="F142" s="5">
        <v>112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3.5141399999999998</v>
      </c>
      <c r="F143" s="5">
        <v>110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3.5272899999999998</v>
      </c>
      <c r="F144" s="5">
        <v>112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3.5343599999999999</v>
      </c>
      <c r="F145" s="5">
        <v>111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3.5259200000000002</v>
      </c>
      <c r="F146" s="5">
        <v>112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3.5301</v>
      </c>
      <c r="F147" s="5">
        <v>111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3.5333299999999999</v>
      </c>
      <c r="F148" s="5">
        <v>113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3.5320200000000002</v>
      </c>
      <c r="F149" s="5">
        <v>112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3.5247199999999999</v>
      </c>
      <c r="F150" s="5">
        <v>111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42986.802479999998</v>
      </c>
      <c r="E151" s="5">
        <v>4.9553200000000004</v>
      </c>
      <c r="F151" s="5">
        <v>37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42986.802479999998</v>
      </c>
      <c r="E152" s="5">
        <v>4.8922100000000004</v>
      </c>
      <c r="F152" s="5">
        <v>37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42986.853589999999</v>
      </c>
      <c r="E153" s="5">
        <v>4.9936800000000003</v>
      </c>
      <c r="F153" s="5">
        <v>38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42986.802479999998</v>
      </c>
      <c r="E154" s="5">
        <v>4.9201600000000001</v>
      </c>
      <c r="F154" s="5">
        <v>37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42987.644590000004</v>
      </c>
      <c r="E155" s="5">
        <v>4.90808</v>
      </c>
      <c r="F155" s="5">
        <v>37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42986.802479999998</v>
      </c>
      <c r="E156" s="5">
        <v>4.92713</v>
      </c>
      <c r="F156" s="5">
        <v>37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42988.218220000002</v>
      </c>
      <c r="E157" s="5">
        <v>4.89534</v>
      </c>
      <c r="F157" s="5">
        <v>37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42988.025869999998</v>
      </c>
      <c r="E158" s="5">
        <v>4.8961499999999996</v>
      </c>
      <c r="F158" s="5">
        <v>37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42988.218220000002</v>
      </c>
      <c r="E159" s="5">
        <v>4.8968600000000002</v>
      </c>
      <c r="F159" s="5">
        <v>37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42986.673049999998</v>
      </c>
      <c r="E160" s="5">
        <v>4.9639499999999996</v>
      </c>
      <c r="F160" s="5">
        <v>37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35534.394110000001</v>
      </c>
      <c r="E161" s="5">
        <v>12.73152</v>
      </c>
      <c r="F161" s="5">
        <v>92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35797.298609999998</v>
      </c>
      <c r="E162" s="5">
        <v>12.738899999999999</v>
      </c>
      <c r="F162" s="5">
        <v>92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35651.185080000003</v>
      </c>
      <c r="E163" s="5">
        <v>12.803610000000001</v>
      </c>
      <c r="F163" s="5">
        <v>93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35767.464529999997</v>
      </c>
      <c r="E164" s="5">
        <v>12.7255</v>
      </c>
      <c r="F164" s="5">
        <v>92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35920.302940000001</v>
      </c>
      <c r="E165" s="5">
        <v>12.778029999999999</v>
      </c>
      <c r="F165" s="5">
        <v>92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35925.309679999998</v>
      </c>
      <c r="E166" s="5">
        <v>12.760820000000001</v>
      </c>
      <c r="F166" s="5">
        <v>92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35752.19369</v>
      </c>
      <c r="E167" s="5">
        <v>12.76435</v>
      </c>
      <c r="F167" s="5">
        <v>92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35973.250039999999</v>
      </c>
      <c r="E168" s="5">
        <v>12.722329999999999</v>
      </c>
      <c r="F168" s="5">
        <v>92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35419.438029999998</v>
      </c>
      <c r="E169" s="5">
        <v>12.7103</v>
      </c>
      <c r="F169" s="5">
        <v>92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35605.718840000001</v>
      </c>
      <c r="E170" s="5">
        <v>12.760070000000001</v>
      </c>
      <c r="F170" s="5">
        <v>92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35246.879999999997</v>
      </c>
      <c r="E171" s="5">
        <v>28.51483</v>
      </c>
      <c r="F171" s="5">
        <v>211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35317.881719999998</v>
      </c>
      <c r="E172" s="5">
        <v>28.503679999999999</v>
      </c>
      <c r="F172" s="5">
        <v>208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35281.853009999999</v>
      </c>
      <c r="E173" s="5">
        <v>28.5656</v>
      </c>
      <c r="F173" s="5">
        <v>210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35248.177969999997</v>
      </c>
      <c r="E174" s="5">
        <v>28.533470000000001</v>
      </c>
      <c r="F174" s="5">
        <v>209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35231.849249999999</v>
      </c>
      <c r="E175" s="5">
        <v>28.61346</v>
      </c>
      <c r="F175" s="5">
        <v>211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35273.608200000002</v>
      </c>
      <c r="E176" s="5">
        <v>28.4832</v>
      </c>
      <c r="F176" s="5">
        <v>211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35281.935859999998</v>
      </c>
      <c r="E177" s="5">
        <v>28.49785</v>
      </c>
      <c r="F177" s="5">
        <v>210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35223.067869999999</v>
      </c>
      <c r="E178" s="5">
        <v>28.584980000000002</v>
      </c>
      <c r="F178" s="5">
        <v>210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35265.69</v>
      </c>
      <c r="E179" s="5">
        <v>28.57686</v>
      </c>
      <c r="F179" s="5">
        <v>211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35242.015930000001</v>
      </c>
      <c r="E180" s="5">
        <v>28.551729999999999</v>
      </c>
      <c r="F180" s="5">
        <v>210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0.73306000000000004</v>
      </c>
      <c r="F181" s="5">
        <v>49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0.73665000000000003</v>
      </c>
      <c r="F182" s="5">
        <v>51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0.73023000000000005</v>
      </c>
      <c r="F183" s="5">
        <v>45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0.73370999999999997</v>
      </c>
      <c r="F184" s="5">
        <v>49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0.73921000000000003</v>
      </c>
      <c r="F185" s="5">
        <v>51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0.73694999999999999</v>
      </c>
      <c r="F186" s="5">
        <v>52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0.73112999999999995</v>
      </c>
      <c r="F187" s="5">
        <v>52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0.73085999999999995</v>
      </c>
      <c r="F188" s="5">
        <v>52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0.74100999999999995</v>
      </c>
      <c r="F189" s="5">
        <v>47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0.73345000000000005</v>
      </c>
      <c r="F190" s="5">
        <v>53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675.36989000000005</v>
      </c>
      <c r="E191" s="5">
        <v>1.1447700000000001</v>
      </c>
      <c r="F191" s="5">
        <v>75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675.36989000000005</v>
      </c>
      <c r="E192" s="5">
        <v>1.13663</v>
      </c>
      <c r="F192" s="5">
        <v>72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675.36989000000005</v>
      </c>
      <c r="E193" s="5">
        <v>1.13754</v>
      </c>
      <c r="F193" s="5">
        <v>80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675.36989000000005</v>
      </c>
      <c r="E194" s="5">
        <v>1.1451199999999999</v>
      </c>
      <c r="F194" s="5">
        <v>80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675.36581000000001</v>
      </c>
      <c r="E195" s="5">
        <v>1.1595</v>
      </c>
      <c r="F195" s="5">
        <v>78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675.36989000000005</v>
      </c>
      <c r="E196" s="5">
        <v>1.1391199999999999</v>
      </c>
      <c r="F196" s="5">
        <v>79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675.36581000000001</v>
      </c>
      <c r="E197" s="5">
        <v>1.1445799999999999</v>
      </c>
      <c r="F197" s="5">
        <v>83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675.36989000000005</v>
      </c>
      <c r="E198" s="5">
        <v>1.13615</v>
      </c>
      <c r="F198" s="5">
        <v>79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675.36989000000005</v>
      </c>
      <c r="E199" s="5">
        <v>1.13635</v>
      </c>
      <c r="F199" s="5">
        <v>74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675.36989000000005</v>
      </c>
      <c r="E200" s="5">
        <v>1.14567</v>
      </c>
      <c r="F200" s="5">
        <v>79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657.48895000000005</v>
      </c>
      <c r="E201" s="5">
        <v>2.0760299999999998</v>
      </c>
      <c r="F201" s="5">
        <v>141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655.43907999999999</v>
      </c>
      <c r="E202" s="5">
        <v>2.0670899999999999</v>
      </c>
      <c r="F202" s="5">
        <v>144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655.43295999999998</v>
      </c>
      <c r="E203" s="5">
        <v>2.0701100000000001</v>
      </c>
      <c r="F203" s="5">
        <v>143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655.43295999999998</v>
      </c>
      <c r="E204" s="5">
        <v>2.0689700000000002</v>
      </c>
      <c r="F204" s="5">
        <v>145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655.43295999999998</v>
      </c>
      <c r="E205" s="5">
        <v>2.06752</v>
      </c>
      <c r="F205" s="5">
        <v>141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655.46475999999996</v>
      </c>
      <c r="E206" s="5">
        <v>2.0702099999999999</v>
      </c>
      <c r="F206" s="5">
        <v>145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658.23289</v>
      </c>
      <c r="E207" s="5">
        <v>2.0740699999999999</v>
      </c>
      <c r="F207" s="5">
        <v>143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655.43295999999998</v>
      </c>
      <c r="E208" s="5">
        <v>2.0693600000000001</v>
      </c>
      <c r="F208" s="5">
        <v>146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656.34204</v>
      </c>
      <c r="E209" s="5">
        <v>2.07599</v>
      </c>
      <c r="F209" s="5">
        <v>142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657.95457999999996</v>
      </c>
      <c r="E210" s="5">
        <v>2.0765099999999999</v>
      </c>
      <c r="F210" s="5">
        <v>144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1459.9687899999999</v>
      </c>
      <c r="E211" s="5">
        <v>1.60324</v>
      </c>
      <c r="F211" s="5">
        <v>46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1459.9687899999999</v>
      </c>
      <c r="E212" s="5">
        <v>1.6110100000000001</v>
      </c>
      <c r="F212" s="5">
        <v>49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1459.9687899999999</v>
      </c>
      <c r="E213" s="5">
        <v>1.6081700000000001</v>
      </c>
      <c r="F213" s="5">
        <v>49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1459.9687899999999</v>
      </c>
      <c r="E214" s="5">
        <v>1.6097300000000001</v>
      </c>
      <c r="F214" s="5">
        <v>47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1459.9687899999999</v>
      </c>
      <c r="E215" s="5">
        <v>1.58755</v>
      </c>
      <c r="F215" s="5">
        <v>49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1460.80863</v>
      </c>
      <c r="E216" s="5">
        <v>1.6024400000000001</v>
      </c>
      <c r="F216" s="5">
        <v>49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1460.0209400000001</v>
      </c>
      <c r="E217" s="5">
        <v>1.5968899999999999</v>
      </c>
      <c r="F217" s="5">
        <v>48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1459.9687899999999</v>
      </c>
      <c r="E218" s="5">
        <v>1.5959099999999999</v>
      </c>
      <c r="F218" s="5">
        <v>49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1460.86942</v>
      </c>
      <c r="E219" s="5">
        <v>1.5994200000000001</v>
      </c>
      <c r="F219" s="5">
        <v>47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1459.9687899999999</v>
      </c>
      <c r="E220" s="5">
        <v>1.6043799999999999</v>
      </c>
      <c r="F220" s="5">
        <v>49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1022.96318</v>
      </c>
      <c r="E221" s="5">
        <v>4.5555099999999999</v>
      </c>
      <c r="F221" s="5">
        <v>135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1014.8792</v>
      </c>
      <c r="E222" s="5">
        <v>4.5580999999999996</v>
      </c>
      <c r="F222" s="5">
        <v>137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1013.27109</v>
      </c>
      <c r="E223" s="5">
        <v>4.5674299999999999</v>
      </c>
      <c r="F223" s="5">
        <v>133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1016.33789</v>
      </c>
      <c r="E224" s="5">
        <v>4.5666799999999999</v>
      </c>
      <c r="F224" s="5">
        <v>135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1017.42238</v>
      </c>
      <c r="E225" s="5">
        <v>4.5483099999999999</v>
      </c>
      <c r="F225" s="5">
        <v>135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1018.27212</v>
      </c>
      <c r="E226" s="5">
        <v>4.5483900000000004</v>
      </c>
      <c r="F226" s="5">
        <v>136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1012.28598</v>
      </c>
      <c r="E227" s="5">
        <v>4.5522900000000002</v>
      </c>
      <c r="F227" s="5">
        <v>137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1019.63383</v>
      </c>
      <c r="E228" s="5">
        <v>4.5615500000000004</v>
      </c>
      <c r="F228" s="5">
        <v>136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1011.6739700000001</v>
      </c>
      <c r="E229" s="5">
        <v>4.5501899999999997</v>
      </c>
      <c r="F229" s="5">
        <v>136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1015.7268299999999</v>
      </c>
      <c r="E230" s="5">
        <v>4.5545299999999997</v>
      </c>
      <c r="F230" s="5">
        <v>136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995.65413000000001</v>
      </c>
      <c r="E231" s="5">
        <v>8.3969500000000004</v>
      </c>
      <c r="F231" s="5">
        <v>247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996.42753000000005</v>
      </c>
      <c r="E232" s="5">
        <v>8.3859700000000004</v>
      </c>
      <c r="F232" s="5">
        <v>246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997.08699000000001</v>
      </c>
      <c r="E233" s="5">
        <v>8.3999799999999993</v>
      </c>
      <c r="F233" s="5">
        <v>245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996.85631000000001</v>
      </c>
      <c r="E234" s="5">
        <v>8.3872099999999996</v>
      </c>
      <c r="F234" s="5">
        <v>242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1000.65478</v>
      </c>
      <c r="E235" s="5">
        <v>8.38584</v>
      </c>
      <c r="F235" s="5">
        <v>244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1004.66333</v>
      </c>
      <c r="E236" s="5">
        <v>8.4045299999999994</v>
      </c>
      <c r="F236" s="5">
        <v>243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994.47505000000001</v>
      </c>
      <c r="E237" s="5">
        <v>8.4031000000000002</v>
      </c>
      <c r="F237" s="5">
        <v>244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996.73572000000001</v>
      </c>
      <c r="E238" s="5">
        <v>8.4099900000000005</v>
      </c>
      <c r="F238" s="5">
        <v>245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992.25667999999996</v>
      </c>
      <c r="E239" s="5">
        <v>8.4054699999999993</v>
      </c>
      <c r="F239" s="5">
        <v>245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1000.43871</v>
      </c>
      <c r="E240" s="5">
        <v>8.4109499999999997</v>
      </c>
      <c r="F240" s="5">
        <v>244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1891.8440499999999</v>
      </c>
      <c r="E241" s="5">
        <v>5.08765</v>
      </c>
      <c r="F241" s="5">
        <v>42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1866.87744</v>
      </c>
      <c r="E242" s="5">
        <v>5.0427799999999996</v>
      </c>
      <c r="F242" s="5">
        <v>41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1868.16608</v>
      </c>
      <c r="E243" s="5">
        <v>5.1078700000000001</v>
      </c>
      <c r="F243" s="5">
        <v>42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1880.47</v>
      </c>
      <c r="E244" s="5">
        <v>5.0901899999999998</v>
      </c>
      <c r="F244" s="5">
        <v>42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1861.74333</v>
      </c>
      <c r="E245" s="5">
        <v>5.0975099999999998</v>
      </c>
      <c r="F245" s="5">
        <v>42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1899.9565299999999</v>
      </c>
      <c r="E246" s="5">
        <v>5.1008399999999998</v>
      </c>
      <c r="F246" s="5">
        <v>42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1845.6726200000001</v>
      </c>
      <c r="E247" s="5">
        <v>5.1142500000000002</v>
      </c>
      <c r="F247" s="5">
        <v>42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1867.03665</v>
      </c>
      <c r="E248" s="5">
        <v>5.1004399999999999</v>
      </c>
      <c r="F248" s="5">
        <v>42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1892.3335300000001</v>
      </c>
      <c r="E249" s="5">
        <v>5.1181000000000001</v>
      </c>
      <c r="F249" s="5">
        <v>42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1878.12474</v>
      </c>
      <c r="E250" s="5">
        <v>5.1284700000000001</v>
      </c>
      <c r="F250" s="5">
        <v>42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1793.13</v>
      </c>
      <c r="E251" s="5">
        <v>9.3880400000000002</v>
      </c>
      <c r="F251" s="5">
        <v>75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1792.6413700000001</v>
      </c>
      <c r="E252" s="5">
        <v>9.4416600000000006</v>
      </c>
      <c r="F252" s="5">
        <v>75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1784.25875</v>
      </c>
      <c r="E253" s="5">
        <v>9.4346700000000006</v>
      </c>
      <c r="F253" s="5">
        <v>75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1785.3966700000001</v>
      </c>
      <c r="E254" s="5">
        <v>9.4351699999999994</v>
      </c>
      <c r="F254" s="5">
        <v>75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1794.1767</v>
      </c>
      <c r="E255" s="5">
        <v>9.4022799999999993</v>
      </c>
      <c r="F255" s="5">
        <v>75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1789.92803</v>
      </c>
      <c r="E256" s="5">
        <v>9.4015500000000003</v>
      </c>
      <c r="F256" s="5">
        <v>75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1783.17669</v>
      </c>
      <c r="E257" s="5">
        <v>9.3834599999999995</v>
      </c>
      <c r="F257" s="5">
        <v>75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1794.0241699999999</v>
      </c>
      <c r="E258" s="5">
        <v>9.4452200000000008</v>
      </c>
      <c r="F258" s="5">
        <v>75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1789.5925199999999</v>
      </c>
      <c r="E259" s="5">
        <v>9.46875</v>
      </c>
      <c r="F259" s="5">
        <v>76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1786.3833299999999</v>
      </c>
      <c r="E260" s="5">
        <v>9.3834999999999997</v>
      </c>
      <c r="F260" s="5">
        <v>75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1760.4099000000001</v>
      </c>
      <c r="E261" s="5">
        <v>15.34609</v>
      </c>
      <c r="F261" s="5">
        <v>121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1762.28117</v>
      </c>
      <c r="E262" s="5">
        <v>15.374029999999999</v>
      </c>
      <c r="F262" s="5">
        <v>120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1758.9952599999999</v>
      </c>
      <c r="E263" s="5">
        <v>15.34953</v>
      </c>
      <c r="F263" s="5">
        <v>121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1756.2950000000001</v>
      </c>
      <c r="E264" s="5">
        <v>15.41849</v>
      </c>
      <c r="F264" s="5">
        <v>122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1756.31333</v>
      </c>
      <c r="E265" s="5">
        <v>15.355650000000001</v>
      </c>
      <c r="F265" s="5">
        <v>121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1758.5711699999999</v>
      </c>
      <c r="E266" s="5">
        <v>15.351889999999999</v>
      </c>
      <c r="F266" s="5">
        <v>120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1758.6166700000001</v>
      </c>
      <c r="E267" s="5">
        <v>15.375830000000001</v>
      </c>
      <c r="F267" s="5">
        <v>122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1757.55</v>
      </c>
      <c r="E268" s="5">
        <v>15.38147</v>
      </c>
      <c r="F268" s="5">
        <v>120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1756.39617</v>
      </c>
      <c r="E269" s="5">
        <v>15.3454</v>
      </c>
      <c r="F269" s="5">
        <v>121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1758.7661700000001</v>
      </c>
      <c r="E270" s="5">
        <v>15.420450000000001</v>
      </c>
      <c r="F270" s="5">
        <v>121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42.424349999999997</v>
      </c>
      <c r="E271" s="5">
        <v>0.58572999999999997</v>
      </c>
      <c r="F271" s="5">
        <v>47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41.319229999999997</v>
      </c>
      <c r="E272" s="5">
        <v>0.58984999999999999</v>
      </c>
      <c r="F272" s="5">
        <v>47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41.318849999999998</v>
      </c>
      <c r="E273" s="5">
        <v>0.58808000000000005</v>
      </c>
      <c r="F273" s="5">
        <v>50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41.318849999999998</v>
      </c>
      <c r="E274" s="5">
        <v>0.59221000000000001</v>
      </c>
      <c r="F274" s="5">
        <v>50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41.318849999999998</v>
      </c>
      <c r="E275" s="5">
        <v>0.58630000000000004</v>
      </c>
      <c r="F275" s="5">
        <v>49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41.318849999999998</v>
      </c>
      <c r="E276" s="5">
        <v>0.58845999999999998</v>
      </c>
      <c r="F276" s="5">
        <v>51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41.318849999999998</v>
      </c>
      <c r="E277" s="5">
        <v>0.58823999999999999</v>
      </c>
      <c r="F277" s="5">
        <v>45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41.318849999999998</v>
      </c>
      <c r="E278" s="5">
        <v>0.59211999999999998</v>
      </c>
      <c r="F278" s="5">
        <v>47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41.318849999999998</v>
      </c>
      <c r="E279" s="5">
        <v>0.59286000000000005</v>
      </c>
      <c r="F279" s="5">
        <v>50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41.318849999999998</v>
      </c>
      <c r="E280" s="5">
        <v>0.58742000000000005</v>
      </c>
      <c r="F280" s="5">
        <v>49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0.87368999999999997</v>
      </c>
      <c r="F281" s="5">
        <v>81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0.87478</v>
      </c>
      <c r="F282" s="5">
        <v>83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28.65436</v>
      </c>
      <c r="E283" s="5">
        <v>0.87804000000000004</v>
      </c>
      <c r="F283" s="5">
        <v>83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0.87787999999999999</v>
      </c>
      <c r="F284" s="5">
        <v>77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0.88009000000000004</v>
      </c>
      <c r="F285" s="5">
        <v>83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28.65436</v>
      </c>
      <c r="E286" s="5">
        <v>0.87429999999999997</v>
      </c>
      <c r="F286" s="5">
        <v>83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28.65436</v>
      </c>
      <c r="E287" s="5">
        <v>0.87829000000000002</v>
      </c>
      <c r="F287" s="5">
        <v>82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0.87527999999999995</v>
      </c>
      <c r="F288" s="5">
        <v>74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28.65436</v>
      </c>
      <c r="E289" s="5">
        <v>0.87631000000000003</v>
      </c>
      <c r="F289" s="5">
        <v>81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0.87477000000000005</v>
      </c>
      <c r="F290" s="5">
        <v>81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28.546240000000001</v>
      </c>
      <c r="E291" s="5">
        <v>1.1323799999999999</v>
      </c>
      <c r="F291" s="5">
        <v>98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28.546240000000001</v>
      </c>
      <c r="E292" s="5">
        <v>1.13683</v>
      </c>
      <c r="F292" s="5">
        <v>102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28.592030000000001</v>
      </c>
      <c r="E293" s="5">
        <v>1.1311500000000001</v>
      </c>
      <c r="F293" s="5">
        <v>91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28.592030000000001</v>
      </c>
      <c r="E294" s="5">
        <v>1.1377200000000001</v>
      </c>
      <c r="F294" s="5">
        <v>98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28.592030000000001</v>
      </c>
      <c r="E295" s="5">
        <v>1.1331199999999999</v>
      </c>
      <c r="F295" s="5">
        <v>101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28.612030000000001</v>
      </c>
      <c r="E296" s="5">
        <v>1.1328</v>
      </c>
      <c r="F296" s="5">
        <v>98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28.592030000000001</v>
      </c>
      <c r="E297" s="5">
        <v>1.13334</v>
      </c>
      <c r="F297" s="5">
        <v>94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28.546240000000001</v>
      </c>
      <c r="E298" s="5">
        <v>1.1375599999999999</v>
      </c>
      <c r="F298" s="5">
        <v>102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28.546240000000001</v>
      </c>
      <c r="E299" s="5">
        <v>1.1344000000000001</v>
      </c>
      <c r="F299" s="5">
        <v>106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28.602029999999999</v>
      </c>
      <c r="E300" s="5">
        <v>1.1316299999999999</v>
      </c>
      <c r="F300" s="5">
        <v>105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58.911859999999997</v>
      </c>
      <c r="E301" s="5">
        <v>1.93316</v>
      </c>
      <c r="F301" s="5">
        <v>54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56.911659999999998</v>
      </c>
      <c r="E302" s="5">
        <v>1.9451400000000001</v>
      </c>
      <c r="F302" s="5">
        <v>57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59.044020000000003</v>
      </c>
      <c r="E303" s="5">
        <v>1.94282</v>
      </c>
      <c r="F303" s="5">
        <v>57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59.21264</v>
      </c>
      <c r="E304" s="5">
        <v>1.9391400000000001</v>
      </c>
      <c r="F304" s="5">
        <v>56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58.991019999999999</v>
      </c>
      <c r="E305" s="5">
        <v>1.9415199999999999</v>
      </c>
      <c r="F305" s="5">
        <v>57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59.119509999999998</v>
      </c>
      <c r="E306" s="5">
        <v>1.94049</v>
      </c>
      <c r="F306" s="5">
        <v>55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59.089509999999997</v>
      </c>
      <c r="E307" s="5">
        <v>1.93716</v>
      </c>
      <c r="F307" s="5">
        <v>57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56.911659999999998</v>
      </c>
      <c r="E308" s="5">
        <v>1.9378899999999999</v>
      </c>
      <c r="F308" s="5">
        <v>55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59.090690000000002</v>
      </c>
      <c r="E309" s="5">
        <v>1.94123</v>
      </c>
      <c r="F309" s="5">
        <v>57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58.98686</v>
      </c>
      <c r="E310" s="5">
        <v>1.92161</v>
      </c>
      <c r="F310" s="5">
        <v>55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53.725070000000002</v>
      </c>
      <c r="E311" s="5">
        <v>3.7766600000000001</v>
      </c>
      <c r="F311" s="5">
        <v>106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53.618090000000002</v>
      </c>
      <c r="E312" s="5">
        <v>3.7689599999999999</v>
      </c>
      <c r="F312" s="5">
        <v>107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53.645969999999998</v>
      </c>
      <c r="E313" s="5">
        <v>3.7744300000000002</v>
      </c>
      <c r="F313" s="5">
        <v>108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53.35275</v>
      </c>
      <c r="E314" s="5">
        <v>3.7672300000000001</v>
      </c>
      <c r="F314" s="5">
        <v>107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53.815069999999999</v>
      </c>
      <c r="E315" s="5">
        <v>3.75623</v>
      </c>
      <c r="F315" s="5">
        <v>107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53.722749999999998</v>
      </c>
      <c r="E316" s="5">
        <v>3.7599800000000001</v>
      </c>
      <c r="F316" s="5">
        <v>106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53.542749999999998</v>
      </c>
      <c r="E317" s="5">
        <v>3.7570000000000001</v>
      </c>
      <c r="F317" s="5">
        <v>106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53.725070000000002</v>
      </c>
      <c r="E318" s="5">
        <v>3.7625999999999999</v>
      </c>
      <c r="F318" s="5">
        <v>106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53.702060000000003</v>
      </c>
      <c r="E319" s="5">
        <v>3.7580100000000001</v>
      </c>
      <c r="F319" s="5">
        <v>106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53.602409999999999</v>
      </c>
      <c r="E320" s="5">
        <v>3.7587999999999999</v>
      </c>
      <c r="F320" s="5">
        <v>106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53.38749</v>
      </c>
      <c r="E321" s="5">
        <v>6.0843600000000002</v>
      </c>
      <c r="F321" s="5">
        <v>166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53.24241</v>
      </c>
      <c r="E322" s="5">
        <v>6.0983000000000001</v>
      </c>
      <c r="F322" s="5">
        <v>166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53.357489999999999</v>
      </c>
      <c r="E323" s="5">
        <v>6.0999100000000004</v>
      </c>
      <c r="F323" s="5">
        <v>168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53.222410000000004</v>
      </c>
      <c r="E324" s="5">
        <v>6.0879300000000001</v>
      </c>
      <c r="F324" s="5">
        <v>162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53.118850000000002</v>
      </c>
      <c r="E325" s="5">
        <v>6.0939199999999998</v>
      </c>
      <c r="F325" s="5">
        <v>168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53.487569999999998</v>
      </c>
      <c r="E326" s="5">
        <v>6.0827200000000001</v>
      </c>
      <c r="F326" s="5">
        <v>165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53.265520000000002</v>
      </c>
      <c r="E327" s="5">
        <v>6.0772899999999996</v>
      </c>
      <c r="F327" s="5">
        <v>167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53.124980000000001</v>
      </c>
      <c r="E328" s="5">
        <v>6.09375</v>
      </c>
      <c r="F328" s="5">
        <v>165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53.357570000000003</v>
      </c>
      <c r="E329" s="5">
        <v>6.0952500000000001</v>
      </c>
      <c r="F329" s="5">
        <v>167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53.097569999999997</v>
      </c>
      <c r="E330" s="5">
        <v>6.1007699999999998</v>
      </c>
      <c r="F330" s="5">
        <v>168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148.38403</v>
      </c>
      <c r="E331" s="5">
        <v>7.0414300000000001</v>
      </c>
      <c r="F331" s="5">
        <v>55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148.32798</v>
      </c>
      <c r="E332" s="5">
        <v>7.0494000000000003</v>
      </c>
      <c r="F332" s="5">
        <v>55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148.32395</v>
      </c>
      <c r="E333" s="5">
        <v>7.1044400000000003</v>
      </c>
      <c r="F333" s="5">
        <v>56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148.29381000000001</v>
      </c>
      <c r="E334" s="5">
        <v>7.0969300000000004</v>
      </c>
      <c r="F334" s="5">
        <v>56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148.25146000000001</v>
      </c>
      <c r="E335" s="5">
        <v>7.0426299999999999</v>
      </c>
      <c r="F335" s="5">
        <v>55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148.26199</v>
      </c>
      <c r="E336" s="5">
        <v>7.0539199999999997</v>
      </c>
      <c r="F336" s="5">
        <v>55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148.36866000000001</v>
      </c>
      <c r="E337" s="5">
        <v>7.0574300000000001</v>
      </c>
      <c r="F337" s="5">
        <v>55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148.24381</v>
      </c>
      <c r="E338" s="5">
        <v>7.0935699999999997</v>
      </c>
      <c r="F338" s="5">
        <v>56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148.21485999999999</v>
      </c>
      <c r="E339" s="5">
        <v>7.0974399999999997</v>
      </c>
      <c r="F339" s="5">
        <v>56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148.30986999999999</v>
      </c>
      <c r="E340" s="5">
        <v>7.0303899999999997</v>
      </c>
      <c r="F340" s="5">
        <v>55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108.24845000000001</v>
      </c>
      <c r="E341" s="5">
        <v>16.835419999999999</v>
      </c>
      <c r="F341" s="5">
        <v>128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108.10163</v>
      </c>
      <c r="E342" s="5">
        <v>16.86795</v>
      </c>
      <c r="F342" s="5">
        <v>129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108.46753</v>
      </c>
      <c r="E343" s="5">
        <v>16.826530000000002</v>
      </c>
      <c r="F343" s="5">
        <v>128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108.5442</v>
      </c>
      <c r="E344" s="5">
        <v>16.787949999999999</v>
      </c>
      <c r="F344" s="5">
        <v>127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108.26336000000001</v>
      </c>
      <c r="E345" s="5">
        <v>16.80095</v>
      </c>
      <c r="F345" s="5">
        <v>127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108.40837000000001</v>
      </c>
      <c r="E346" s="5">
        <v>16.794409999999999</v>
      </c>
      <c r="F346" s="5">
        <v>128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107.91753</v>
      </c>
      <c r="E347" s="5">
        <v>16.87013</v>
      </c>
      <c r="F347" s="5">
        <v>128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108.23594</v>
      </c>
      <c r="E348" s="5">
        <v>16.851179999999999</v>
      </c>
      <c r="F348" s="5">
        <v>128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107.89413</v>
      </c>
      <c r="E349" s="5">
        <v>16.81026</v>
      </c>
      <c r="F349" s="5">
        <v>128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108.49928</v>
      </c>
      <c r="E350" s="5">
        <v>16.811150000000001</v>
      </c>
      <c r="F350" s="5">
        <v>127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103.96247</v>
      </c>
      <c r="E351" s="5">
        <v>29.437349999999999</v>
      </c>
      <c r="F351" s="5">
        <v>219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103.97086</v>
      </c>
      <c r="E352" s="5">
        <v>29.41093</v>
      </c>
      <c r="F352" s="5">
        <v>218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103.99836999999999</v>
      </c>
      <c r="E353" s="5">
        <v>29.348320000000001</v>
      </c>
      <c r="F353" s="5">
        <v>217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104.06247</v>
      </c>
      <c r="E354" s="5">
        <v>29.41488</v>
      </c>
      <c r="F354" s="5">
        <v>219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103.81586</v>
      </c>
      <c r="E355" s="5">
        <v>29.366489999999999</v>
      </c>
      <c r="F355" s="5">
        <v>218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104.0558</v>
      </c>
      <c r="E356" s="5">
        <v>29.36966</v>
      </c>
      <c r="F356" s="5">
        <v>218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103.95829000000001</v>
      </c>
      <c r="E357" s="5">
        <v>29.33541</v>
      </c>
      <c r="F357" s="5">
        <v>218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104.07003</v>
      </c>
      <c r="E358" s="5">
        <v>29.351790000000001</v>
      </c>
      <c r="F358" s="5">
        <v>218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103.98086000000001</v>
      </c>
      <c r="E359" s="5">
        <v>29.375540000000001</v>
      </c>
      <c r="F359" s="5">
        <v>218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103.87503</v>
      </c>
      <c r="E360" s="5">
        <v>29.359079999999999</v>
      </c>
      <c r="F360" s="5">
        <v>218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0.54706999999999995</v>
      </c>
      <c r="F361" s="5">
        <v>41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0.54969999999999997</v>
      </c>
      <c r="F362" s="5">
        <v>38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0.54661000000000004</v>
      </c>
      <c r="F363" s="5">
        <v>40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0.54935999999999996</v>
      </c>
      <c r="F364" s="5">
        <v>40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0.54984</v>
      </c>
      <c r="F365" s="5">
        <v>35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0.54313999999999996</v>
      </c>
      <c r="F366" s="5">
        <v>39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0.54261999999999999</v>
      </c>
      <c r="F367" s="5">
        <v>39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0.54103999999999997</v>
      </c>
      <c r="F368" s="5">
        <v>39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0.54342000000000001</v>
      </c>
      <c r="F369" s="5">
        <v>39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0.54398999999999997</v>
      </c>
      <c r="F370" s="5">
        <v>39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0.87702000000000002</v>
      </c>
      <c r="F371" s="5">
        <v>62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0.87365000000000004</v>
      </c>
      <c r="F372" s="5">
        <v>67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0.88070999999999999</v>
      </c>
      <c r="F373" s="5">
        <v>69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0.87256999999999996</v>
      </c>
      <c r="F374" s="5">
        <v>68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0.87107999999999997</v>
      </c>
      <c r="F375" s="5">
        <v>60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0.87988999999999995</v>
      </c>
      <c r="F376" s="5">
        <v>68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0.87107000000000001</v>
      </c>
      <c r="F377" s="5">
        <v>68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0.87422999999999995</v>
      </c>
      <c r="F378" s="5">
        <v>68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0.87778999999999996</v>
      </c>
      <c r="F379" s="5">
        <v>68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0.87665999999999999</v>
      </c>
      <c r="F380" s="5">
        <v>62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1.1503699999999999</v>
      </c>
      <c r="F381" s="5">
        <v>79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1.1534899999999999</v>
      </c>
      <c r="F382" s="5">
        <v>88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1.15465</v>
      </c>
      <c r="F383" s="5">
        <v>88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1.1575500000000001</v>
      </c>
      <c r="F384" s="5">
        <v>86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1.1551</v>
      </c>
      <c r="F385" s="5">
        <v>79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1.15709</v>
      </c>
      <c r="F386" s="5">
        <v>85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1.15639</v>
      </c>
      <c r="F387" s="5">
        <v>86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1.1520699999999999</v>
      </c>
      <c r="F388" s="5">
        <v>83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1.1502300000000001</v>
      </c>
      <c r="F389" s="5">
        <v>89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1.15439</v>
      </c>
      <c r="F390" s="5">
        <v>89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1.13635</v>
      </c>
      <c r="F391" s="5">
        <v>23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1.12087</v>
      </c>
      <c r="F392" s="5">
        <v>25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1.13683</v>
      </c>
      <c r="F393" s="5">
        <v>26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1.11073</v>
      </c>
      <c r="F394" s="5">
        <v>25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1.1209499999999999</v>
      </c>
      <c r="F395" s="5">
        <v>25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1.1315900000000001</v>
      </c>
      <c r="F396" s="5">
        <v>26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1.1401300000000001</v>
      </c>
      <c r="F397" s="5">
        <v>26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1.1228800000000001</v>
      </c>
      <c r="F398" s="5">
        <v>24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1.1345000000000001</v>
      </c>
      <c r="F399" s="5">
        <v>26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1.13876</v>
      </c>
      <c r="F400" s="5">
        <v>26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2.5121799999999999</v>
      </c>
      <c r="F401" s="5">
        <v>57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2.4923299999999999</v>
      </c>
      <c r="F402" s="5">
        <v>57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2.5041199999999999</v>
      </c>
      <c r="F403" s="5">
        <v>56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2.4886900000000001</v>
      </c>
      <c r="F404" s="5">
        <v>57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2.5120900000000002</v>
      </c>
      <c r="F405" s="5">
        <v>57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2.5055999999999998</v>
      </c>
      <c r="F406" s="5">
        <v>57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2.4879699999999998</v>
      </c>
      <c r="F407" s="5">
        <v>57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2.5171999999999999</v>
      </c>
      <c r="F408" s="5">
        <v>54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2.4896400000000001</v>
      </c>
      <c r="F409" s="5">
        <v>56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2.5140099999999999</v>
      </c>
      <c r="F410" s="5">
        <v>57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2.7505099999999998</v>
      </c>
      <c r="F411" s="5">
        <v>60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2.7260900000000001</v>
      </c>
      <c r="F412" s="5">
        <v>59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2.7410600000000001</v>
      </c>
      <c r="F413" s="5">
        <v>61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2.74682</v>
      </c>
      <c r="F414" s="5">
        <v>60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2.75116</v>
      </c>
      <c r="F415" s="5">
        <v>61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2.7507199999999998</v>
      </c>
      <c r="F416" s="5">
        <v>62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2.7271000000000001</v>
      </c>
      <c r="F417" s="5">
        <v>60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2.7505000000000002</v>
      </c>
      <c r="F418" s="5">
        <v>61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2.7269399999999999</v>
      </c>
      <c r="F419" s="5">
        <v>61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2.7301899999999999</v>
      </c>
      <c r="F420" s="5">
        <v>60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3.0556700000000001</v>
      </c>
      <c r="F421" s="5">
        <v>26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3.0648</v>
      </c>
      <c r="F422" s="5">
        <v>26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2.9669699999999999</v>
      </c>
      <c r="F423" s="5">
        <v>25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3.0367000000000002</v>
      </c>
      <c r="F424" s="5">
        <v>26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2.9758</v>
      </c>
      <c r="F425" s="5">
        <v>25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2.9926699999999999</v>
      </c>
      <c r="F426" s="5">
        <v>25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3.0430700000000002</v>
      </c>
      <c r="F427" s="5">
        <v>26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3.0203600000000002</v>
      </c>
      <c r="F428" s="5">
        <v>26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3.0280300000000002</v>
      </c>
      <c r="F429" s="5">
        <v>26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2.96767</v>
      </c>
      <c r="F430" s="5">
        <v>25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3.8642099999999999</v>
      </c>
      <c r="F431" s="5">
        <v>32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3.85351</v>
      </c>
      <c r="F432" s="5">
        <v>32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3.8626100000000001</v>
      </c>
      <c r="F433" s="5">
        <v>32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3.8648600000000002</v>
      </c>
      <c r="F434" s="5">
        <v>32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3.8308</v>
      </c>
      <c r="F435" s="5">
        <v>32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3.82301</v>
      </c>
      <c r="F436" s="5">
        <v>32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3.8464999999999998</v>
      </c>
      <c r="F437" s="5">
        <v>32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3.8259500000000002</v>
      </c>
      <c r="F438" s="5">
        <v>32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3.8281100000000001</v>
      </c>
      <c r="F439" s="5">
        <v>32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3.8649200000000001</v>
      </c>
      <c r="F440" s="5">
        <v>32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5.5408099999999996</v>
      </c>
      <c r="F441" s="5">
        <v>41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5.5052300000000001</v>
      </c>
      <c r="F442" s="5">
        <v>40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5.4576799999999999</v>
      </c>
      <c r="F443" s="5">
        <v>41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5.5294400000000001</v>
      </c>
      <c r="F444" s="5">
        <v>40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5.5603600000000002</v>
      </c>
      <c r="F445" s="5">
        <v>42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5.5637800000000004</v>
      </c>
      <c r="F446" s="5">
        <v>41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5.49322</v>
      </c>
      <c r="F447" s="5">
        <v>38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5.5217099999999997</v>
      </c>
      <c r="F448" s="5">
        <v>40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5.5394100000000002</v>
      </c>
      <c r="F449" s="5">
        <v>41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5.55091</v>
      </c>
      <c r="F450" s="5">
        <v>41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T1"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0.55145999999999995</v>
      </c>
      <c r="F1" s="5">
        <v>23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0.55220000000000002</v>
      </c>
      <c r="F2" s="5">
        <v>23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0.58067999999999997</v>
      </c>
      <c r="F3" s="5">
        <v>19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170.35004000000001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0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0.55517000000000005</v>
      </c>
      <c r="F4" s="5">
        <v>24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0.54878000000000005</v>
      </c>
      <c r="F5" s="5">
        <v>22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0.54734000000000005</v>
      </c>
      <c r="F6" s="5">
        <v>19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0.56454000000000004</v>
      </c>
      <c r="F7" s="5">
        <v>24</v>
      </c>
      <c r="H7" s="5" t="s">
        <v>27</v>
      </c>
      <c r="I7" s="5">
        <v>50</v>
      </c>
      <c r="J7" s="5">
        <v>1</v>
      </c>
      <c r="L7" s="5">
        <f t="shared" ca="1" si="11"/>
        <v>182.50635</v>
      </c>
      <c r="M7" s="5">
        <f t="shared" ca="1" si="0"/>
        <v>180.15666999999999</v>
      </c>
      <c r="N7" s="5">
        <f t="shared" ca="1" si="0"/>
        <v>181.71666999999999</v>
      </c>
      <c r="O7" s="5">
        <f t="shared" ca="1" si="0"/>
        <v>180.05332999999999</v>
      </c>
      <c r="P7" s="5">
        <f t="shared" ca="1" si="0"/>
        <v>182.34583000000001</v>
      </c>
      <c r="Q7" s="5">
        <f t="shared" ca="1" si="0"/>
        <v>181.62333000000001</v>
      </c>
      <c r="R7" s="5">
        <f t="shared" ca="1" si="0"/>
        <v>180.31627</v>
      </c>
      <c r="S7" s="5">
        <f t="shared" ca="1" si="0"/>
        <v>179.93769</v>
      </c>
      <c r="T7" s="5">
        <f t="shared" ca="1" si="0"/>
        <v>180.34135000000001</v>
      </c>
      <c r="U7" s="5">
        <f t="shared" ca="1" si="0"/>
        <v>183.1</v>
      </c>
      <c r="W7" s="5">
        <f t="shared" ca="1" si="12"/>
        <v>181.20974899999999</v>
      </c>
      <c r="Y7" s="5">
        <f ca="1">Total!E7</f>
        <v>179.67332999999999</v>
      </c>
      <c r="AB7" s="5">
        <f t="shared" ca="1" si="1"/>
        <v>1.5767615594367873E-2</v>
      </c>
      <c r="AC7" s="5">
        <f t="shared" ca="1" si="2"/>
        <v>2.6901043131999521E-3</v>
      </c>
      <c r="AD7" s="5">
        <f t="shared" ca="1" si="3"/>
        <v>1.1372528132027167E-2</v>
      </c>
      <c r="AE7" s="5">
        <f t="shared" ca="1" si="4"/>
        <v>2.1149493917655754E-3</v>
      </c>
      <c r="AF7" s="5">
        <f t="shared" ca="1" si="5"/>
        <v>1.4874216446035779E-2</v>
      </c>
      <c r="AG7" s="5">
        <f t="shared" ca="1" si="6"/>
        <v>1.0853029773534098E-2</v>
      </c>
      <c r="AH7" s="5">
        <f t="shared" ca="1" si="7"/>
        <v>3.5783830577415694E-3</v>
      </c>
      <c r="AI7" s="5">
        <f t="shared" ca="1" si="8"/>
        <v>1.4713368979136225E-3</v>
      </c>
      <c r="AJ7" s="5">
        <f t="shared" ca="1" si="9"/>
        <v>3.717969717598114E-3</v>
      </c>
      <c r="AK7" s="5">
        <f t="shared" ca="1" si="10"/>
        <v>1.9071667453372191E-2</v>
      </c>
      <c r="AM7" s="5">
        <f t="shared" ca="1" si="13"/>
        <v>8.5511800777555935E-2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0.56564000000000003</v>
      </c>
      <c r="F8" s="5">
        <v>25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0.55584</v>
      </c>
      <c r="F9" s="5">
        <v>25</v>
      </c>
      <c r="H9" s="5" t="s">
        <v>27</v>
      </c>
      <c r="I9" s="5">
        <v>100</v>
      </c>
      <c r="J9" s="5">
        <v>0.7</v>
      </c>
      <c r="L9" s="5">
        <f t="shared" ca="1" si="11"/>
        <v>257.04291999999998</v>
      </c>
      <c r="M9" s="5">
        <f t="shared" ca="1" si="0"/>
        <v>257.44295</v>
      </c>
      <c r="N9" s="5">
        <f t="shared" ca="1" si="0"/>
        <v>259.85129000000001</v>
      </c>
      <c r="O9" s="5">
        <f t="shared" ca="1" si="0"/>
        <v>257.66561999999999</v>
      </c>
      <c r="P9" s="5">
        <f t="shared" ca="1" si="0"/>
        <v>257.71994000000001</v>
      </c>
      <c r="Q9" s="5">
        <f t="shared" ca="1" si="0"/>
        <v>257.24732</v>
      </c>
      <c r="R9" s="5">
        <f t="shared" ca="1" si="0"/>
        <v>259.11311999999998</v>
      </c>
      <c r="S9" s="5">
        <f t="shared" ca="1" si="0"/>
        <v>259.38905</v>
      </c>
      <c r="T9" s="5">
        <f t="shared" ca="1" si="0"/>
        <v>258.02184999999997</v>
      </c>
      <c r="U9" s="5">
        <f t="shared" ca="1" si="0"/>
        <v>257.06851999999998</v>
      </c>
      <c r="W9" s="5">
        <f t="shared" ca="1" si="12"/>
        <v>258.05625799999996</v>
      </c>
      <c r="Y9" s="5">
        <f ca="1">Total!E9</f>
        <v>255.18879999999999</v>
      </c>
      <c r="AB9" s="5">
        <f t="shared" ca="1" si="1"/>
        <v>7.265679371508447E-3</v>
      </c>
      <c r="AC9" s="5">
        <f t="shared" ca="1" si="2"/>
        <v>8.8332638423003276E-3</v>
      </c>
      <c r="AD9" s="5">
        <f t="shared" ca="1" si="3"/>
        <v>1.8270746992031076E-2</v>
      </c>
      <c r="AE9" s="5">
        <f t="shared" ca="1" si="4"/>
        <v>9.7058334848551496E-3</v>
      </c>
      <c r="AF9" s="5">
        <f t="shared" ca="1" si="5"/>
        <v>9.9186954913382652E-3</v>
      </c>
      <c r="AG9" s="5">
        <f t="shared" ca="1" si="6"/>
        <v>8.0666549629137951E-3</v>
      </c>
      <c r="AH9" s="5">
        <f t="shared" ca="1" si="7"/>
        <v>1.5378104368216766E-2</v>
      </c>
      <c r="AI9" s="5">
        <f t="shared" ca="1" si="8"/>
        <v>1.6459382229941172E-2</v>
      </c>
      <c r="AJ9" s="5">
        <f t="shared" ca="1" si="9"/>
        <v>1.1101780328917201E-2</v>
      </c>
      <c r="AK9" s="5">
        <f t="shared" ca="1" si="10"/>
        <v>7.365997253797941E-3</v>
      </c>
      <c r="AM9" s="5">
        <f t="shared" ca="1" si="13"/>
        <v>0.11236613832582015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0.54457</v>
      </c>
      <c r="F10" s="5">
        <v>18</v>
      </c>
      <c r="H10" s="5" t="s">
        <v>27</v>
      </c>
      <c r="I10" s="5">
        <v>100</v>
      </c>
      <c r="J10" s="5">
        <v>1</v>
      </c>
      <c r="L10" s="5">
        <f t="shared" ca="1" si="11"/>
        <v>239.18194</v>
      </c>
      <c r="M10" s="5">
        <f t="shared" ca="1" si="0"/>
        <v>239.13613000000001</v>
      </c>
      <c r="N10" s="5">
        <f t="shared" ca="1" si="0"/>
        <v>238.91489000000001</v>
      </c>
      <c r="O10" s="5">
        <f t="shared" ca="1" si="0"/>
        <v>239.09333000000001</v>
      </c>
      <c r="P10" s="5">
        <f t="shared" ca="1" si="0"/>
        <v>239.12425999999999</v>
      </c>
      <c r="Q10" s="5">
        <f t="shared" ca="1" si="0"/>
        <v>239</v>
      </c>
      <c r="R10" s="5">
        <f t="shared" ca="1" si="0"/>
        <v>239.38613000000001</v>
      </c>
      <c r="S10" s="5">
        <f t="shared" ca="1" si="0"/>
        <v>239.39671000000001</v>
      </c>
      <c r="T10" s="5">
        <f t="shared" ca="1" si="0"/>
        <v>239.19667000000001</v>
      </c>
      <c r="U10" s="5">
        <f t="shared" ca="1" si="0"/>
        <v>238.90872999999999</v>
      </c>
      <c r="W10" s="5">
        <f t="shared" ca="1" si="12"/>
        <v>239.13387900000004</v>
      </c>
      <c r="Y10" s="5">
        <f ca="1">Total!E10</f>
        <v>238.77667</v>
      </c>
      <c r="AB10" s="5">
        <f t="shared" ca="1" si="1"/>
        <v>1.697276371263581E-3</v>
      </c>
      <c r="AC10" s="5">
        <f t="shared" ca="1" si="2"/>
        <v>1.5054234569902192E-3</v>
      </c>
      <c r="AD10" s="5">
        <f t="shared" ca="1" si="3"/>
        <v>5.7886727375843806E-4</v>
      </c>
      <c r="AE10" s="5">
        <f t="shared" ca="1" si="4"/>
        <v>1.3261764643924931E-3</v>
      </c>
      <c r="AF10" s="5">
        <f t="shared" ca="1" si="5"/>
        <v>1.4557117326412029E-3</v>
      </c>
      <c r="AG10" s="5">
        <f t="shared" ca="1" si="6"/>
        <v>9.3530913216942108E-4</v>
      </c>
      <c r="AH10" s="5">
        <f t="shared" ca="1" si="7"/>
        <v>2.5524269184255431E-3</v>
      </c>
      <c r="AI10" s="5">
        <f t="shared" ca="1" si="8"/>
        <v>2.5967361049135046E-3</v>
      </c>
      <c r="AJ10" s="5">
        <f t="shared" ca="1" si="9"/>
        <v>1.7589658152114105E-3</v>
      </c>
      <c r="AK10" s="5">
        <f t="shared" ca="1" si="10"/>
        <v>5.53069108468577E-4</v>
      </c>
      <c r="AM10" s="5">
        <f t="shared" ca="1" si="13"/>
        <v>1.4959962378234392E-2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1.4307099999999999</v>
      </c>
      <c r="F11" s="5">
        <v>73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1.43222</v>
      </c>
      <c r="F12" s="5">
        <v>81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1.42862</v>
      </c>
      <c r="F13" s="5">
        <v>82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1.4235100000000001</v>
      </c>
      <c r="F14" s="5">
        <v>76</v>
      </c>
      <c r="H14" s="5" t="s">
        <v>2</v>
      </c>
      <c r="I14" s="5">
        <v>47</v>
      </c>
      <c r="J14" s="5">
        <v>0.4</v>
      </c>
      <c r="L14" s="5">
        <f t="shared" ca="1" si="11"/>
        <v>4348.0289499999999</v>
      </c>
      <c r="M14" s="5">
        <f t="shared" ca="1" si="0"/>
        <v>4348.0289499999999</v>
      </c>
      <c r="N14" s="5">
        <f t="shared" ca="1" si="0"/>
        <v>4348.0289499999999</v>
      </c>
      <c r="O14" s="5">
        <f t="shared" ca="1" si="0"/>
        <v>4348.0289499999999</v>
      </c>
      <c r="P14" s="5">
        <f t="shared" ca="1" si="0"/>
        <v>4348.0289499999999</v>
      </c>
      <c r="Q14" s="5">
        <f t="shared" ca="1" si="0"/>
        <v>4348.0289499999999</v>
      </c>
      <c r="R14" s="5">
        <f t="shared" ca="1" si="0"/>
        <v>4348.0289499999999</v>
      </c>
      <c r="S14" s="5">
        <f t="shared" ca="1" si="0"/>
        <v>4348.0289499999999</v>
      </c>
      <c r="T14" s="5">
        <f t="shared" ca="1" si="0"/>
        <v>4348.0289499999999</v>
      </c>
      <c r="U14" s="5">
        <f t="shared" ca="1" si="0"/>
        <v>4348.0289499999999</v>
      </c>
      <c r="W14" s="5">
        <f t="shared" ca="1" si="12"/>
        <v>4348.0289499999999</v>
      </c>
      <c r="Y14" s="5">
        <f ca="1">Total!E14</f>
        <v>4348.0289499999999</v>
      </c>
      <c r="AB14" s="5">
        <f t="shared" ca="1" si="1"/>
        <v>0</v>
      </c>
      <c r="AC14" s="5">
        <f t="shared" ca="1" si="2"/>
        <v>0</v>
      </c>
      <c r="AD14" s="5">
        <f t="shared" ca="1" si="3"/>
        <v>0</v>
      </c>
      <c r="AE14" s="5">
        <f t="shared" ca="1" si="4"/>
        <v>0</v>
      </c>
      <c r="AF14" s="5">
        <f t="shared" ca="1" si="5"/>
        <v>0</v>
      </c>
      <c r="AG14" s="5">
        <f t="shared" ca="1" si="6"/>
        <v>0</v>
      </c>
      <c r="AH14" s="5">
        <f t="shared" ca="1" si="7"/>
        <v>0</v>
      </c>
      <c r="AI14" s="5">
        <f t="shared" ca="1" si="8"/>
        <v>0</v>
      </c>
      <c r="AJ14" s="5">
        <f t="shared" ca="1" si="9"/>
        <v>0</v>
      </c>
      <c r="AK14" s="5">
        <f t="shared" ca="1" si="10"/>
        <v>0</v>
      </c>
      <c r="AM14" s="5">
        <f t="shared" ca="1" si="13"/>
        <v>0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1.42116</v>
      </c>
      <c r="F15" s="5">
        <v>78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1.43072</v>
      </c>
      <c r="F16" s="5">
        <v>80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1.4226099999999999</v>
      </c>
      <c r="F17" s="5">
        <v>75</v>
      </c>
      <c r="H17" s="5" t="s">
        <v>2</v>
      </c>
      <c r="I17" s="5">
        <v>100</v>
      </c>
      <c r="J17" s="5">
        <v>0.4</v>
      </c>
      <c r="L17" s="5">
        <f t="shared" ca="1" si="11"/>
        <v>42986.723919999997</v>
      </c>
      <c r="M17" s="5">
        <f t="shared" ca="1" si="0"/>
        <v>42986.673049999998</v>
      </c>
      <c r="N17" s="5">
        <f t="shared" ca="1" si="0"/>
        <v>42986.57692</v>
      </c>
      <c r="O17" s="5">
        <f t="shared" ca="1" si="0"/>
        <v>42986.403050000001</v>
      </c>
      <c r="P17" s="5">
        <f t="shared" ca="1" si="0"/>
        <v>42986.673049999998</v>
      </c>
      <c r="Q17" s="5">
        <f t="shared" ca="1" si="0"/>
        <v>42986.802479999998</v>
      </c>
      <c r="R17" s="5">
        <f t="shared" ca="1" si="0"/>
        <v>42986.403050000001</v>
      </c>
      <c r="S17" s="5">
        <f t="shared" ca="1" si="0"/>
        <v>42986.96256</v>
      </c>
      <c r="T17" s="5">
        <f t="shared" ca="1" si="0"/>
        <v>42986.802479999998</v>
      </c>
      <c r="U17" s="5">
        <f t="shared" ca="1" si="0"/>
        <v>42987.644590000004</v>
      </c>
      <c r="W17" s="5">
        <f t="shared" ca="1" si="12"/>
        <v>42986.766515000003</v>
      </c>
      <c r="Y17" s="5">
        <f ca="1">Total!E17</f>
        <v>42986.193919999998</v>
      </c>
      <c r="AB17" s="5">
        <f t="shared" ca="1" si="1"/>
        <v>1.2329540060820436E-5</v>
      </c>
      <c r="AC17" s="5">
        <f t="shared" ca="1" si="2"/>
        <v>1.1146136847830832E-5</v>
      </c>
      <c r="AD17" s="5">
        <f t="shared" ca="1" si="3"/>
        <v>8.9098374402352728E-6</v>
      </c>
      <c r="AE17" s="5">
        <f t="shared" ca="1" si="4"/>
        <v>4.8650504018131747E-6</v>
      </c>
      <c r="AF17" s="5">
        <f t="shared" ca="1" si="5"/>
        <v>1.1146136847830832E-5</v>
      </c>
      <c r="AG17" s="5">
        <f t="shared" ca="1" si="6"/>
        <v>1.4157103583842479E-5</v>
      </c>
      <c r="AH17" s="5">
        <f t="shared" ca="1" si="7"/>
        <v>4.8650504018131747E-6</v>
      </c>
      <c r="AI17" s="5">
        <f t="shared" ca="1" si="8"/>
        <v>1.7881089947915334E-5</v>
      </c>
      <c r="AJ17" s="5">
        <f t="shared" ca="1" si="9"/>
        <v>1.4157103583842479E-5</v>
      </c>
      <c r="AK17" s="5">
        <f t="shared" ca="1" si="10"/>
        <v>3.3747346943658645E-5</v>
      </c>
      <c r="AM17" s="5">
        <f t="shared" ca="1" si="13"/>
        <v>1.3320439605960264E-4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1.4280299999999999</v>
      </c>
      <c r="F18" s="5">
        <v>79</v>
      </c>
      <c r="H18" s="5" t="s">
        <v>2</v>
      </c>
      <c r="I18" s="5">
        <v>100</v>
      </c>
      <c r="J18" s="5">
        <v>0.7</v>
      </c>
      <c r="L18" s="5">
        <f t="shared" ca="1" si="11"/>
        <v>35883.006690000002</v>
      </c>
      <c r="M18" s="5">
        <f t="shared" ca="1" si="11"/>
        <v>35645.638610000002</v>
      </c>
      <c r="N18" s="5">
        <f t="shared" ca="1" si="11"/>
        <v>35694.72077</v>
      </c>
      <c r="O18" s="5">
        <f t="shared" ca="1" si="11"/>
        <v>35574.520669999998</v>
      </c>
      <c r="P18" s="5">
        <f t="shared" ca="1" si="11"/>
        <v>35799.525529999999</v>
      </c>
      <c r="Q18" s="5">
        <f t="shared" ca="1" si="11"/>
        <v>35701.05805</v>
      </c>
      <c r="R18" s="5">
        <f t="shared" ca="1" si="11"/>
        <v>35798.843430000001</v>
      </c>
      <c r="S18" s="5">
        <f t="shared" ca="1" si="11"/>
        <v>35684.725639999997</v>
      </c>
      <c r="T18" s="5">
        <f t="shared" ca="1" si="11"/>
        <v>35816.714110000001</v>
      </c>
      <c r="U18" s="5">
        <f t="shared" ca="1" si="11"/>
        <v>35575.466789999999</v>
      </c>
      <c r="W18" s="5">
        <f t="shared" ca="1" si="12"/>
        <v>35717.422028999994</v>
      </c>
      <c r="Y18" s="5">
        <f ca="1">Total!E18</f>
        <v>35336.072039999999</v>
      </c>
      <c r="AB18" s="5">
        <f t="shared" ca="1" si="1"/>
        <v>1.547808283220839E-2</v>
      </c>
      <c r="AC18" s="5">
        <f t="shared" ca="1" si="2"/>
        <v>8.7606389767820574E-3</v>
      </c>
      <c r="AD18" s="5">
        <f t="shared" ca="1" si="3"/>
        <v>1.0149649049674079E-2</v>
      </c>
      <c r="AE18" s="5">
        <f t="shared" ca="1" si="4"/>
        <v>6.7480230889861792E-3</v>
      </c>
      <c r="AF18" s="5">
        <f t="shared" ca="1" si="5"/>
        <v>1.3115591610617507E-2</v>
      </c>
      <c r="AG18" s="5">
        <f t="shared" ca="1" si="6"/>
        <v>1.032899212982249E-2</v>
      </c>
      <c r="AH18" s="5">
        <f t="shared" ca="1" si="7"/>
        <v>1.3096288389839996E-2</v>
      </c>
      <c r="AI18" s="5">
        <f t="shared" ca="1" si="8"/>
        <v>9.8667899365081167E-3</v>
      </c>
      <c r="AJ18" s="5">
        <f t="shared" ca="1" si="9"/>
        <v>1.3602023152316442E-2</v>
      </c>
      <c r="AK18" s="5">
        <f t="shared" ca="1" si="10"/>
        <v>6.7747979947801662E-3</v>
      </c>
      <c r="AM18" s="5">
        <f t="shared" ca="1" si="13"/>
        <v>0.10792087716153542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1.43283</v>
      </c>
      <c r="F19" s="5">
        <v>80</v>
      </c>
      <c r="H19" s="5" t="s">
        <v>2</v>
      </c>
      <c r="I19" s="5">
        <v>100</v>
      </c>
      <c r="J19" s="5">
        <v>1</v>
      </c>
      <c r="L19" s="5">
        <f t="shared" ca="1" si="11"/>
        <v>35259.051290000003</v>
      </c>
      <c r="M19" s="5">
        <f t="shared" ca="1" si="11"/>
        <v>35244.571400000001</v>
      </c>
      <c r="N19" s="5">
        <f t="shared" ca="1" si="11"/>
        <v>35273.342779999999</v>
      </c>
      <c r="O19" s="5">
        <f t="shared" ca="1" si="11"/>
        <v>35319.289239999998</v>
      </c>
      <c r="P19" s="5">
        <f t="shared" ca="1" si="11"/>
        <v>35237.103869999999</v>
      </c>
      <c r="Q19" s="5">
        <f t="shared" ca="1" si="11"/>
        <v>35262.802589999999</v>
      </c>
      <c r="R19" s="5">
        <f t="shared" ca="1" si="11"/>
        <v>35216.14</v>
      </c>
      <c r="S19" s="5">
        <f t="shared" ca="1" si="11"/>
        <v>35272.156210000001</v>
      </c>
      <c r="T19" s="5">
        <f t="shared" ca="1" si="11"/>
        <v>35275.583330000001</v>
      </c>
      <c r="U19" s="5">
        <f t="shared" ca="1" si="11"/>
        <v>35307.81667</v>
      </c>
      <c r="W19" s="5">
        <f t="shared" ca="1" si="12"/>
        <v>35266.785737999991</v>
      </c>
      <c r="Y19" s="5">
        <f ca="1">Total!E19</f>
        <v>35203.853329999998</v>
      </c>
      <c r="AB19" s="5">
        <f t="shared" ca="1" si="1"/>
        <v>1.5679522205305407E-3</v>
      </c>
      <c r="AC19" s="5">
        <f t="shared" ca="1" si="2"/>
        <v>1.1566367357093699E-3</v>
      </c>
      <c r="AD19" s="5">
        <f t="shared" ca="1" si="3"/>
        <v>1.9739160184712922E-3</v>
      </c>
      <c r="AE19" s="5">
        <f t="shared" ca="1" si="4"/>
        <v>3.2790703028417645E-3</v>
      </c>
      <c r="AF19" s="5">
        <f t="shared" ca="1" si="5"/>
        <v>9.4451421804059971E-4</v>
      </c>
      <c r="AG19" s="5">
        <f t="shared" ca="1" si="6"/>
        <v>1.6745115782471997E-3</v>
      </c>
      <c r="AH19" s="5">
        <f t="shared" ca="1" si="7"/>
        <v>3.4901491847572481E-4</v>
      </c>
      <c r="AI19" s="5">
        <f t="shared" ca="1" si="8"/>
        <v>1.9402103332193073E-3</v>
      </c>
      <c r="AJ19" s="5">
        <f t="shared" ca="1" si="9"/>
        <v>2.0375610399125362E-3</v>
      </c>
      <c r="AK19" s="5">
        <f t="shared" ca="1" si="10"/>
        <v>2.9531806937568008E-3</v>
      </c>
      <c r="AM19" s="5">
        <f t="shared" ca="1" si="13"/>
        <v>1.7876568059205136E-2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1.43283</v>
      </c>
      <c r="F20" s="5">
        <v>75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1.7730399999999999</v>
      </c>
      <c r="F21" s="5">
        <v>97</v>
      </c>
      <c r="H21" s="5" t="s">
        <v>1</v>
      </c>
      <c r="I21" s="5">
        <v>30</v>
      </c>
      <c r="J21" s="5">
        <v>0.7</v>
      </c>
      <c r="L21" s="5">
        <f t="shared" ca="1" si="11"/>
        <v>675.36989000000005</v>
      </c>
      <c r="M21" s="5">
        <f t="shared" ca="1" si="11"/>
        <v>675.36989000000005</v>
      </c>
      <c r="N21" s="5">
        <f t="shared" ca="1" si="11"/>
        <v>675.38611000000003</v>
      </c>
      <c r="O21" s="5">
        <f t="shared" ca="1" si="11"/>
        <v>675.36989000000005</v>
      </c>
      <c r="P21" s="5">
        <f t="shared" ca="1" si="11"/>
        <v>675.36989000000005</v>
      </c>
      <c r="Q21" s="5">
        <f t="shared" ca="1" si="11"/>
        <v>675.36989000000005</v>
      </c>
      <c r="R21" s="5">
        <f t="shared" ca="1" si="11"/>
        <v>675.36989000000005</v>
      </c>
      <c r="S21" s="5">
        <f t="shared" ca="1" si="11"/>
        <v>675.36581000000001</v>
      </c>
      <c r="T21" s="5">
        <f t="shared" ca="1" si="11"/>
        <v>675.36989000000005</v>
      </c>
      <c r="U21" s="5">
        <f t="shared" ca="1" si="11"/>
        <v>677.26074000000006</v>
      </c>
      <c r="W21" s="5">
        <f t="shared" ca="1" si="12"/>
        <v>675.56018900000004</v>
      </c>
      <c r="Y21" s="5">
        <f ca="1">Total!E21</f>
        <v>675.36581000000001</v>
      </c>
      <c r="AB21" s="5">
        <f t="shared" ca="1" si="1"/>
        <v>6.0411704881010963E-6</v>
      </c>
      <c r="AC21" s="5">
        <f t="shared" ca="1" si="2"/>
        <v>6.0411704881010963E-6</v>
      </c>
      <c r="AD21" s="5">
        <f t="shared" ca="1" si="3"/>
        <v>3.0057784536087472E-5</v>
      </c>
      <c r="AE21" s="5">
        <f t="shared" ca="1" si="4"/>
        <v>6.0411704881010963E-6</v>
      </c>
      <c r="AF21" s="5">
        <f t="shared" ca="1" si="5"/>
        <v>6.0411704881010963E-6</v>
      </c>
      <c r="AG21" s="5">
        <f t="shared" ca="1" si="6"/>
        <v>6.0411704881010963E-6</v>
      </c>
      <c r="AH21" s="5">
        <f t="shared" ca="1" si="7"/>
        <v>6.0411704881010963E-6</v>
      </c>
      <c r="AI21" s="5">
        <f t="shared" ca="1" si="8"/>
        <v>0</v>
      </c>
      <c r="AJ21" s="5">
        <f t="shared" ca="1" si="9"/>
        <v>6.0411704881010963E-6</v>
      </c>
      <c r="AK21" s="5">
        <f t="shared" ca="1" si="10"/>
        <v>2.8057831355129525E-3</v>
      </c>
      <c r="AM21" s="5">
        <f t="shared" ca="1" si="13"/>
        <v>2.8781291134657478E-3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1.77624</v>
      </c>
      <c r="F22" s="5">
        <v>99</v>
      </c>
      <c r="H22" s="5" t="s">
        <v>1</v>
      </c>
      <c r="I22" s="5">
        <v>30</v>
      </c>
      <c r="J22" s="5">
        <v>1</v>
      </c>
      <c r="L22" s="5">
        <f t="shared" ca="1" si="11"/>
        <v>655.43907999999999</v>
      </c>
      <c r="M22" s="5">
        <f t="shared" ca="1" si="11"/>
        <v>658.23289</v>
      </c>
      <c r="N22" s="5">
        <f t="shared" ca="1" si="11"/>
        <v>655.43295999999998</v>
      </c>
      <c r="O22" s="5">
        <f t="shared" ca="1" si="11"/>
        <v>655.43907999999999</v>
      </c>
      <c r="P22" s="5">
        <f t="shared" ca="1" si="11"/>
        <v>658.23289</v>
      </c>
      <c r="Q22" s="5">
        <f t="shared" ca="1" si="11"/>
        <v>656.34204</v>
      </c>
      <c r="R22" s="5">
        <f t="shared" ca="1" si="11"/>
        <v>655.43295999999998</v>
      </c>
      <c r="S22" s="5">
        <f t="shared" ca="1" si="11"/>
        <v>655.43295999999998</v>
      </c>
      <c r="T22" s="5">
        <f t="shared" ca="1" si="11"/>
        <v>655.43295999999998</v>
      </c>
      <c r="U22" s="5">
        <f t="shared" ca="1" si="11"/>
        <v>657.45713999999998</v>
      </c>
      <c r="W22" s="5">
        <f t="shared" ca="1" si="12"/>
        <v>656.28749599999992</v>
      </c>
      <c r="Y22" s="5">
        <f ca="1">Total!E22</f>
        <v>655.43295999999998</v>
      </c>
      <c r="AB22" s="5">
        <f t="shared" ca="1" si="1"/>
        <v>9.337339397777456E-6</v>
      </c>
      <c r="AC22" s="5">
        <f t="shared" ca="1" si="2"/>
        <v>4.2718785457478634E-3</v>
      </c>
      <c r="AD22" s="5">
        <f t="shared" ca="1" si="3"/>
        <v>0</v>
      </c>
      <c r="AE22" s="5">
        <f t="shared" ca="1" si="4"/>
        <v>9.337339397777456E-6</v>
      </c>
      <c r="AF22" s="5">
        <f t="shared" ca="1" si="5"/>
        <v>4.2718785457478634E-3</v>
      </c>
      <c r="AG22" s="5">
        <f t="shared" ca="1" si="6"/>
        <v>1.3869915849212362E-3</v>
      </c>
      <c r="AH22" s="5">
        <f t="shared" ca="1" si="7"/>
        <v>0</v>
      </c>
      <c r="AI22" s="5">
        <f t="shared" ca="1" si="8"/>
        <v>0</v>
      </c>
      <c r="AJ22" s="5">
        <f t="shared" ca="1" si="9"/>
        <v>0</v>
      </c>
      <c r="AK22" s="5">
        <f t="shared" ca="1" si="10"/>
        <v>3.088309748719383E-3</v>
      </c>
      <c r="AM22" s="5">
        <f t="shared" ca="1" si="13"/>
        <v>1.3037733103931901E-2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1.7737799999999999</v>
      </c>
      <c r="F23" s="5">
        <v>98</v>
      </c>
      <c r="H23" s="5" t="s">
        <v>1</v>
      </c>
      <c r="I23" s="5">
        <v>50</v>
      </c>
      <c r="J23" s="5">
        <v>0.4</v>
      </c>
      <c r="L23" s="5">
        <f t="shared" ca="1" si="11"/>
        <v>1459.9687899999999</v>
      </c>
      <c r="M23" s="5">
        <f t="shared" ca="1" si="11"/>
        <v>1459.9687899999999</v>
      </c>
      <c r="N23" s="5">
        <f t="shared" ca="1" si="11"/>
        <v>1467.0858700000001</v>
      </c>
      <c r="O23" s="5">
        <f t="shared" ca="1" si="11"/>
        <v>1460.81727</v>
      </c>
      <c r="P23" s="5">
        <f t="shared" ca="1" si="11"/>
        <v>1459.9687899999999</v>
      </c>
      <c r="Q23" s="5">
        <f t="shared" ca="1" si="11"/>
        <v>1459.9687899999999</v>
      </c>
      <c r="R23" s="5">
        <f t="shared" ca="1" si="11"/>
        <v>1459.9687899999999</v>
      </c>
      <c r="S23" s="5">
        <f t="shared" ca="1" si="11"/>
        <v>1459.9687899999999</v>
      </c>
      <c r="T23" s="5">
        <f t="shared" ca="1" si="11"/>
        <v>1460.80863</v>
      </c>
      <c r="U23" s="5">
        <f t="shared" ca="1" si="11"/>
        <v>1459.9687899999999</v>
      </c>
      <c r="W23" s="5">
        <f t="shared" ca="1" si="12"/>
        <v>1460.8493299999998</v>
      </c>
      <c r="Y23" s="5">
        <f ca="1">Total!E23</f>
        <v>1459.9687899999999</v>
      </c>
      <c r="AB23" s="5">
        <f t="shared" ca="1" si="1"/>
        <v>0</v>
      </c>
      <c r="AC23" s="5">
        <f t="shared" ca="1" si="2"/>
        <v>0</v>
      </c>
      <c r="AD23" s="5">
        <f t="shared" ca="1" si="3"/>
        <v>4.8748165363180227E-3</v>
      </c>
      <c r="AE23" s="5">
        <f t="shared" ca="1" si="4"/>
        <v>5.8116310828816326E-4</v>
      </c>
      <c r="AF23" s="5">
        <f t="shared" ca="1" si="5"/>
        <v>0</v>
      </c>
      <c r="AG23" s="5">
        <f t="shared" ca="1" si="6"/>
        <v>0</v>
      </c>
      <c r="AH23" s="5">
        <f t="shared" ca="1" si="7"/>
        <v>0</v>
      </c>
      <c r="AI23" s="5">
        <f t="shared" ca="1" si="8"/>
        <v>0</v>
      </c>
      <c r="AJ23" s="5">
        <f t="shared" ca="1" si="9"/>
        <v>5.7524517356298749E-4</v>
      </c>
      <c r="AK23" s="5">
        <f t="shared" ca="1" si="10"/>
        <v>0</v>
      </c>
      <c r="AM23" s="5">
        <f t="shared" ca="1" si="13"/>
        <v>6.031224818169173E-3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1.7777400000000001</v>
      </c>
      <c r="F24" s="5">
        <v>93</v>
      </c>
      <c r="H24" s="5" t="s">
        <v>1</v>
      </c>
      <c r="I24" s="5">
        <v>50</v>
      </c>
      <c r="J24" s="5">
        <v>0.7</v>
      </c>
      <c r="L24" s="5">
        <f t="shared" ca="1" si="11"/>
        <v>1012.16905</v>
      </c>
      <c r="M24" s="5">
        <f t="shared" ca="1" si="11"/>
        <v>1014.61618</v>
      </c>
      <c r="N24" s="5">
        <f t="shared" ca="1" si="11"/>
        <v>1018.34721</v>
      </c>
      <c r="O24" s="5">
        <f t="shared" ca="1" si="11"/>
        <v>1008.5388799999999</v>
      </c>
      <c r="P24" s="5">
        <f t="shared" ca="1" si="11"/>
        <v>1013.1228</v>
      </c>
      <c r="Q24" s="5">
        <f t="shared" ca="1" si="11"/>
        <v>1013.41197</v>
      </c>
      <c r="R24" s="5">
        <f t="shared" ca="1" si="11"/>
        <v>1019.14895</v>
      </c>
      <c r="S24" s="5">
        <f t="shared" ca="1" si="11"/>
        <v>1012.25703</v>
      </c>
      <c r="T24" s="5">
        <f t="shared" ca="1" si="11"/>
        <v>1012.64239</v>
      </c>
      <c r="U24" s="5">
        <f t="shared" ca="1" si="11"/>
        <v>1011.42058</v>
      </c>
      <c r="W24" s="5">
        <f t="shared" ca="1" si="12"/>
        <v>1013.567504</v>
      </c>
      <c r="Y24" s="5">
        <f ca="1">Total!E24</f>
        <v>1005.95063</v>
      </c>
      <c r="AB24" s="5">
        <f t="shared" ca="1" si="1"/>
        <v>6.181635375087864E-3</v>
      </c>
      <c r="AC24" s="5">
        <f t="shared" ca="1" si="2"/>
        <v>8.6142895501739869E-3</v>
      </c>
      <c r="AD24" s="5">
        <f t="shared" ca="1" si="3"/>
        <v>1.2323248905366232E-2</v>
      </c>
      <c r="AE24" s="5">
        <f t="shared" ca="1" si="4"/>
        <v>2.5729393896794942E-3</v>
      </c>
      <c r="AF24" s="5">
        <f t="shared" ca="1" si="5"/>
        <v>7.1297435342328255E-3</v>
      </c>
      <c r="AG24" s="5">
        <f t="shared" ca="1" si="6"/>
        <v>7.4172029694935925E-3</v>
      </c>
      <c r="AH24" s="5">
        <f t="shared" ca="1" si="7"/>
        <v>1.3120246268944596E-2</v>
      </c>
      <c r="AI24" s="5">
        <f t="shared" ca="1" si="8"/>
        <v>6.2690949356032904E-3</v>
      </c>
      <c r="AJ24" s="5">
        <f t="shared" ca="1" si="9"/>
        <v>6.6521753657035141E-3</v>
      </c>
      <c r="AK24" s="5">
        <f t="shared" ca="1" si="10"/>
        <v>5.43759289658174E-3</v>
      </c>
      <c r="AM24" s="5">
        <f t="shared" ca="1" si="13"/>
        <v>7.5718169190867143E-2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1.7836000000000001</v>
      </c>
      <c r="F25" s="5">
        <v>97</v>
      </c>
      <c r="H25" s="5" t="s">
        <v>1</v>
      </c>
      <c r="I25" s="5">
        <v>50</v>
      </c>
      <c r="J25" s="5">
        <v>1</v>
      </c>
      <c r="L25" s="5">
        <f t="shared" ca="1" si="11"/>
        <v>994.28371000000004</v>
      </c>
      <c r="M25" s="5">
        <f t="shared" ca="1" si="11"/>
        <v>996.25666999999999</v>
      </c>
      <c r="N25" s="5">
        <f t="shared" ca="1" si="11"/>
        <v>994.54630999999995</v>
      </c>
      <c r="O25" s="5">
        <f t="shared" ca="1" si="11"/>
        <v>1002.4428799999999</v>
      </c>
      <c r="P25" s="5">
        <f t="shared" ca="1" si="11"/>
        <v>996.11089000000004</v>
      </c>
      <c r="Q25" s="5">
        <f t="shared" ca="1" si="11"/>
        <v>997.68631000000005</v>
      </c>
      <c r="R25" s="5">
        <f t="shared" ca="1" si="11"/>
        <v>997.21965</v>
      </c>
      <c r="S25" s="5">
        <f t="shared" ca="1" si="11"/>
        <v>997.68502000000001</v>
      </c>
      <c r="T25" s="5">
        <f t="shared" ca="1" si="11"/>
        <v>990.69820000000004</v>
      </c>
      <c r="U25" s="5">
        <f t="shared" ca="1" si="11"/>
        <v>994.94659000000001</v>
      </c>
      <c r="W25" s="5">
        <f t="shared" ca="1" si="12"/>
        <v>996.18762300000003</v>
      </c>
      <c r="Y25" s="5">
        <f ca="1">Total!E25</f>
        <v>990.69820000000004</v>
      </c>
      <c r="AB25" s="5">
        <f t="shared" ca="1" si="1"/>
        <v>3.6191748405316566E-3</v>
      </c>
      <c r="AC25" s="5">
        <f t="shared" ca="1" si="2"/>
        <v>5.6106592300257966E-3</v>
      </c>
      <c r="AD25" s="5">
        <f t="shared" ca="1" si="3"/>
        <v>3.8842404276094433E-3</v>
      </c>
      <c r="AE25" s="5">
        <f t="shared" ca="1" si="4"/>
        <v>1.1854952396198866E-2</v>
      </c>
      <c r="AF25" s="5">
        <f t="shared" ca="1" si="5"/>
        <v>5.4635104817996015E-3</v>
      </c>
      <c r="AG25" s="5">
        <f t="shared" ca="1" si="6"/>
        <v>7.0537223142224399E-3</v>
      </c>
      <c r="AH25" s="5">
        <f t="shared" ca="1" si="7"/>
        <v>6.5826807800801078E-3</v>
      </c>
      <c r="AI25" s="5">
        <f t="shared" ca="1" si="8"/>
        <v>7.0524202022371352E-3</v>
      </c>
      <c r="AJ25" s="5">
        <f t="shared" ca="1" si="9"/>
        <v>0</v>
      </c>
      <c r="AK25" s="5">
        <f t="shared" ca="1" si="10"/>
        <v>4.2882787109131439E-3</v>
      </c>
      <c r="AM25" s="5">
        <f t="shared" ca="1" si="13"/>
        <v>5.5409639383618189E-2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1.7786500000000001</v>
      </c>
      <c r="F26" s="5">
        <v>92</v>
      </c>
      <c r="H26" s="5" t="s">
        <v>1</v>
      </c>
      <c r="I26" s="5">
        <v>100</v>
      </c>
      <c r="J26" s="5">
        <v>0.4</v>
      </c>
      <c r="L26" s="5">
        <f t="shared" ca="1" si="11"/>
        <v>1872.0736899999999</v>
      </c>
      <c r="M26" s="5">
        <f t="shared" ca="1" si="11"/>
        <v>1856.82635</v>
      </c>
      <c r="N26" s="5">
        <f t="shared" ca="1" si="11"/>
        <v>1831.8819100000001</v>
      </c>
      <c r="O26" s="5">
        <f t="shared" ca="1" si="11"/>
        <v>1878.35511</v>
      </c>
      <c r="P26" s="5">
        <f t="shared" ca="1" si="11"/>
        <v>1856.9270200000001</v>
      </c>
      <c r="Q26" s="5">
        <f t="shared" ca="1" si="11"/>
        <v>1887.85247</v>
      </c>
      <c r="R26" s="5">
        <f t="shared" ca="1" si="11"/>
        <v>1866.0146500000001</v>
      </c>
      <c r="S26" s="5">
        <f t="shared" ca="1" si="11"/>
        <v>1840.4080300000001</v>
      </c>
      <c r="T26" s="5">
        <f t="shared" ca="1" si="11"/>
        <v>1846.05</v>
      </c>
      <c r="U26" s="5">
        <f t="shared" ca="1" si="11"/>
        <v>1838.78009</v>
      </c>
      <c r="W26" s="5">
        <f t="shared" ca="1" si="12"/>
        <v>1857.516932</v>
      </c>
      <c r="Y26" s="5">
        <f ca="1">Total!E26</f>
        <v>1786.3248599999999</v>
      </c>
      <c r="AB26" s="5">
        <f t="shared" ca="1" si="1"/>
        <v>4.8002931560836029E-2</v>
      </c>
      <c r="AC26" s="5">
        <f t="shared" ca="1" si="2"/>
        <v>3.9467339664074376E-2</v>
      </c>
      <c r="AD26" s="5">
        <f t="shared" ca="1" si="3"/>
        <v>2.5503227895512869E-2</v>
      </c>
      <c r="AE26" s="5">
        <f t="shared" ca="1" si="4"/>
        <v>5.1519324430159934E-2</v>
      </c>
      <c r="AF26" s="5">
        <f t="shared" ca="1" si="5"/>
        <v>3.9523695594764402E-2</v>
      </c>
      <c r="AG26" s="5">
        <f t="shared" ca="1" si="6"/>
        <v>5.6836028134322723E-2</v>
      </c>
      <c r="AH26" s="5">
        <f t="shared" ca="1" si="7"/>
        <v>4.4611028925612181E-2</v>
      </c>
      <c r="AI26" s="5">
        <f t="shared" ca="1" si="8"/>
        <v>3.0276223105353921E-2</v>
      </c>
      <c r="AJ26" s="5">
        <f t="shared" ca="1" si="9"/>
        <v>3.3434646372216985E-2</v>
      </c>
      <c r="AK26" s="5">
        <f t="shared" ca="1" si="10"/>
        <v>2.9364888310405103E-2</v>
      </c>
      <c r="AM26" s="5">
        <f t="shared" ca="1" si="13"/>
        <v>0.39853933399325858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1.7798799999999999</v>
      </c>
      <c r="F27" s="5">
        <v>100</v>
      </c>
      <c r="H27" s="5" t="s">
        <v>1</v>
      </c>
      <c r="I27" s="5">
        <v>100</v>
      </c>
      <c r="J27" s="5">
        <v>0.7</v>
      </c>
      <c r="L27" s="5">
        <f t="shared" ca="1" si="11"/>
        <v>1790.56333</v>
      </c>
      <c r="M27" s="5">
        <f t="shared" ca="1" si="11"/>
        <v>1781.2705800000001</v>
      </c>
      <c r="N27" s="5">
        <f t="shared" ca="1" si="11"/>
        <v>1789.34</v>
      </c>
      <c r="O27" s="5">
        <f t="shared" ca="1" si="11"/>
        <v>1786.28333</v>
      </c>
      <c r="P27" s="5">
        <f t="shared" ca="1" si="11"/>
        <v>1803.78568</v>
      </c>
      <c r="Q27" s="5">
        <f t="shared" ca="1" si="11"/>
        <v>1787.86358</v>
      </c>
      <c r="R27" s="5">
        <f t="shared" ca="1" si="11"/>
        <v>1792.4559400000001</v>
      </c>
      <c r="S27" s="5">
        <f t="shared" ca="1" si="11"/>
        <v>1781.0119099999999</v>
      </c>
      <c r="T27" s="5">
        <f t="shared" ca="1" si="11"/>
        <v>1789.64652</v>
      </c>
      <c r="U27" s="5">
        <f t="shared" ca="1" si="11"/>
        <v>1770.1984500000001</v>
      </c>
      <c r="W27" s="5">
        <f t="shared" ca="1" si="12"/>
        <v>1787.2419320000001</v>
      </c>
      <c r="Y27" s="5">
        <f ca="1">Total!E27</f>
        <v>1761.02206</v>
      </c>
      <c r="AB27" s="5">
        <f t="shared" ca="1" si="1"/>
        <v>1.6775070949423508E-2</v>
      </c>
      <c r="AC27" s="5">
        <f t="shared" ca="1" si="2"/>
        <v>1.1498163742480375E-2</v>
      </c>
      <c r="AD27" s="5">
        <f t="shared" ca="1" si="3"/>
        <v>1.6080400491973342E-2</v>
      </c>
      <c r="AE27" s="5">
        <f t="shared" ca="1" si="4"/>
        <v>1.4344664143503102E-2</v>
      </c>
      <c r="AF27" s="5">
        <f t="shared" ca="1" si="5"/>
        <v>2.4283409601353854E-2</v>
      </c>
      <c r="AG27" s="5">
        <f t="shared" ca="1" si="6"/>
        <v>1.524201235730116E-2</v>
      </c>
      <c r="AH27" s="5">
        <f t="shared" ca="1" si="7"/>
        <v>1.7849793431889232E-2</v>
      </c>
      <c r="AI27" s="5">
        <f t="shared" ca="1" si="8"/>
        <v>1.1351277450777608E-2</v>
      </c>
      <c r="AJ27" s="5">
        <f t="shared" ca="1" si="9"/>
        <v>1.6254458504625431E-2</v>
      </c>
      <c r="AK27" s="5">
        <f t="shared" ca="1" si="10"/>
        <v>5.2108319415374521E-3</v>
      </c>
      <c r="AM27" s="5">
        <f t="shared" ca="1" si="13"/>
        <v>0.14889008261486508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1.7694000000000001</v>
      </c>
      <c r="F28" s="5">
        <v>98</v>
      </c>
      <c r="H28" s="5" t="s">
        <v>1</v>
      </c>
      <c r="I28" s="5">
        <v>100</v>
      </c>
      <c r="J28" s="5">
        <v>1</v>
      </c>
      <c r="L28" s="5">
        <f t="shared" ca="1" si="11"/>
        <v>1758.1233299999999</v>
      </c>
      <c r="M28" s="5">
        <f t="shared" ca="1" si="11"/>
        <v>1759.04</v>
      </c>
      <c r="N28" s="5">
        <f t="shared" ca="1" si="11"/>
        <v>1757.00477</v>
      </c>
      <c r="O28" s="5">
        <f t="shared" ca="1" si="11"/>
        <v>1768.9523300000001</v>
      </c>
      <c r="P28" s="5">
        <f t="shared" ca="1" si="11"/>
        <v>1760.4561699999999</v>
      </c>
      <c r="Q28" s="5">
        <f t="shared" ca="1" si="11"/>
        <v>1758.5235399999999</v>
      </c>
      <c r="R28" s="5">
        <f t="shared" ca="1" si="11"/>
        <v>1756.89</v>
      </c>
      <c r="S28" s="5">
        <f t="shared" ca="1" si="11"/>
        <v>1758.51667</v>
      </c>
      <c r="T28" s="5">
        <f t="shared" ca="1" si="11"/>
        <v>1756.99485</v>
      </c>
      <c r="U28" s="5">
        <f t="shared" ca="1" si="11"/>
        <v>1756.2302</v>
      </c>
      <c r="W28" s="5">
        <f t="shared" ca="1" si="12"/>
        <v>1759.0731860000001</v>
      </c>
      <c r="Y28" s="5">
        <f ca="1">Total!E28</f>
        <v>1753.1198199999999</v>
      </c>
      <c r="AB28" s="5">
        <f t="shared" ca="1" si="1"/>
        <v>2.8540604828710485E-3</v>
      </c>
      <c r="AC28" s="5">
        <f t="shared" ca="1" si="2"/>
        <v>3.3769397461949143E-3</v>
      </c>
      <c r="AD28" s="5">
        <f t="shared" ca="1" si="3"/>
        <v>2.2160208079788392E-3</v>
      </c>
      <c r="AE28" s="5">
        <f t="shared" ca="1" si="4"/>
        <v>9.0310484311335801E-3</v>
      </c>
      <c r="AF28" s="5">
        <f t="shared" ca="1" si="5"/>
        <v>4.1847396374767119E-3</v>
      </c>
      <c r="AG28" s="5">
        <f t="shared" ca="1" si="6"/>
        <v>3.0823449363546764E-3</v>
      </c>
      <c r="AH28" s="5">
        <f t="shared" ca="1" si="7"/>
        <v>2.1505546608903262E-3</v>
      </c>
      <c r="AI28" s="5">
        <f t="shared" ca="1" si="8"/>
        <v>3.0784262081984142E-3</v>
      </c>
      <c r="AJ28" s="5">
        <f t="shared" ca="1" si="9"/>
        <v>2.2103623242364302E-3</v>
      </c>
      <c r="AK28" s="5">
        <f t="shared" ca="1" si="10"/>
        <v>1.7741970426186145E-3</v>
      </c>
      <c r="AM28" s="5">
        <f t="shared" ca="1" si="13"/>
        <v>3.3958694277953561E-2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1.7782500000000001</v>
      </c>
      <c r="F29" s="5">
        <v>97</v>
      </c>
      <c r="H29" s="5" t="s">
        <v>0</v>
      </c>
      <c r="I29" s="5">
        <v>25</v>
      </c>
      <c r="J29" s="5">
        <v>0.4</v>
      </c>
      <c r="L29" s="5">
        <f t="shared" ca="1" si="11"/>
        <v>41.318849999999998</v>
      </c>
      <c r="M29" s="5">
        <f t="shared" ca="1" si="11"/>
        <v>41.318849999999998</v>
      </c>
      <c r="N29" s="5">
        <f t="shared" ca="1" si="11"/>
        <v>41.318849999999998</v>
      </c>
      <c r="O29" s="5">
        <f t="shared" ca="1" si="11"/>
        <v>41.318849999999998</v>
      </c>
      <c r="P29" s="5">
        <f t="shared" ca="1" si="11"/>
        <v>41.318849999999998</v>
      </c>
      <c r="Q29" s="5">
        <f t="shared" ca="1" si="11"/>
        <v>41.318849999999998</v>
      </c>
      <c r="R29" s="5">
        <f t="shared" ca="1" si="11"/>
        <v>40.897550000000003</v>
      </c>
      <c r="S29" s="5">
        <f t="shared" ca="1" si="11"/>
        <v>41.318849999999998</v>
      </c>
      <c r="T29" s="5">
        <f t="shared" ca="1" si="11"/>
        <v>40.897550000000003</v>
      </c>
      <c r="U29" s="5">
        <f t="shared" ca="1" si="11"/>
        <v>41.318849999999998</v>
      </c>
      <c r="W29" s="5">
        <f t="shared" ca="1" si="12"/>
        <v>41.234590000000004</v>
      </c>
      <c r="Y29" s="5">
        <f ca="1">Total!E29</f>
        <v>40.897550000000003</v>
      </c>
      <c r="AB29" s="5">
        <f t="shared" ca="1" si="1"/>
        <v>1.0301350569899543E-2</v>
      </c>
      <c r="AC29" s="5">
        <f t="shared" ca="1" si="2"/>
        <v>1.0301350569899543E-2</v>
      </c>
      <c r="AD29" s="5">
        <f t="shared" ca="1" si="3"/>
        <v>1.0301350569899543E-2</v>
      </c>
      <c r="AE29" s="5">
        <f t="shared" ca="1" si="4"/>
        <v>1.0301350569899543E-2</v>
      </c>
      <c r="AF29" s="5">
        <f t="shared" ca="1" si="5"/>
        <v>1.0301350569899543E-2</v>
      </c>
      <c r="AG29" s="5">
        <f t="shared" ca="1" si="6"/>
        <v>1.0301350569899543E-2</v>
      </c>
      <c r="AH29" s="5">
        <f t="shared" ca="1" si="7"/>
        <v>0</v>
      </c>
      <c r="AI29" s="5">
        <f t="shared" ca="1" si="8"/>
        <v>1.0301350569899543E-2</v>
      </c>
      <c r="AJ29" s="5">
        <f t="shared" ca="1" si="9"/>
        <v>0</v>
      </c>
      <c r="AK29" s="5">
        <f t="shared" ca="1" si="10"/>
        <v>1.0301350569899543E-2</v>
      </c>
      <c r="AM29" s="5">
        <f t="shared" ca="1" si="13"/>
        <v>8.2410804559196346E-2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1.76955</v>
      </c>
      <c r="F30" s="5">
        <v>96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1"/>
        <v>28.65436</v>
      </c>
      <c r="N30" s="5">
        <f t="shared" ca="1" si="11"/>
        <v>28.65436</v>
      </c>
      <c r="O30" s="5">
        <f t="shared" ca="1" si="11"/>
        <v>28.65436</v>
      </c>
      <c r="P30" s="5">
        <f t="shared" ca="1" si="11"/>
        <v>28.65436</v>
      </c>
      <c r="Q30" s="5">
        <f t="shared" ca="1" si="11"/>
        <v>28.65624</v>
      </c>
      <c r="R30" s="5">
        <f t="shared" ca="1" si="11"/>
        <v>28.65436</v>
      </c>
      <c r="S30" s="5">
        <f t="shared" ca="1" si="11"/>
        <v>28.65624</v>
      </c>
      <c r="T30" s="5">
        <f t="shared" ca="1" si="11"/>
        <v>28.65436</v>
      </c>
      <c r="U30" s="5">
        <f t="shared" ca="1" si="11"/>
        <v>28.65436</v>
      </c>
      <c r="W30" s="5">
        <f t="shared" ca="1" si="12"/>
        <v>28.654736000000003</v>
      </c>
      <c r="Y30" s="5">
        <f ca="1">Total!E30</f>
        <v>28.65436</v>
      </c>
      <c r="AB30" s="5">
        <f t="shared" ca="1" si="1"/>
        <v>0</v>
      </c>
      <c r="AC30" s="5">
        <f t="shared" ca="1" si="2"/>
        <v>0</v>
      </c>
      <c r="AD30" s="5">
        <f t="shared" ca="1" si="3"/>
        <v>0</v>
      </c>
      <c r="AE30" s="5">
        <f t="shared" ca="1" si="4"/>
        <v>0</v>
      </c>
      <c r="AF30" s="5">
        <f t="shared" ca="1" si="5"/>
        <v>0</v>
      </c>
      <c r="AG30" s="5">
        <f t="shared" ca="1" si="6"/>
        <v>6.5609561686245368E-5</v>
      </c>
      <c r="AH30" s="5">
        <f t="shared" ca="1" si="7"/>
        <v>0</v>
      </c>
      <c r="AI30" s="5">
        <f t="shared" ca="1" si="8"/>
        <v>6.5609561686245368E-5</v>
      </c>
      <c r="AJ30" s="5">
        <f t="shared" ca="1" si="9"/>
        <v>0</v>
      </c>
      <c r="AK30" s="5">
        <f t="shared" ca="1" si="10"/>
        <v>0</v>
      </c>
      <c r="AM30" s="5">
        <f t="shared" ca="1" si="13"/>
        <v>1.3121912337249074E-4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1.2054499999999999</v>
      </c>
      <c r="F31" s="5">
        <v>20</v>
      </c>
      <c r="H31" s="5" t="s">
        <v>0</v>
      </c>
      <c r="I31" s="5">
        <v>25</v>
      </c>
      <c r="J31" s="5">
        <v>1</v>
      </c>
      <c r="L31" s="5">
        <f t="shared" ca="1" si="11"/>
        <v>28.592030000000001</v>
      </c>
      <c r="M31" s="5">
        <f t="shared" ca="1" si="11"/>
        <v>28.592030000000001</v>
      </c>
      <c r="N31" s="5">
        <f t="shared" ca="1" si="11"/>
        <v>28.546240000000001</v>
      </c>
      <c r="O31" s="5">
        <f t="shared" ca="1" si="11"/>
        <v>28.546240000000001</v>
      </c>
      <c r="P31" s="5">
        <f t="shared" ca="1" si="11"/>
        <v>28.546240000000001</v>
      </c>
      <c r="Q31" s="5">
        <f t="shared" ca="1" si="11"/>
        <v>28.592030000000001</v>
      </c>
      <c r="R31" s="5">
        <f t="shared" ca="1" si="11"/>
        <v>28.635680000000001</v>
      </c>
      <c r="S31" s="5">
        <f t="shared" ca="1" si="11"/>
        <v>28.592030000000001</v>
      </c>
      <c r="T31" s="5">
        <f t="shared" ca="1" si="11"/>
        <v>28.602029999999999</v>
      </c>
      <c r="U31" s="5">
        <f t="shared" ca="1" si="11"/>
        <v>28.595680000000002</v>
      </c>
      <c r="W31" s="5">
        <f t="shared" ca="1" si="12"/>
        <v>28.584023000000002</v>
      </c>
      <c r="Y31" s="5">
        <f ca="1">Total!E31</f>
        <v>28.504100000000001</v>
      </c>
      <c r="AB31" s="5">
        <f t="shared" ca="1" si="1"/>
        <v>3.0848193768615766E-3</v>
      </c>
      <c r="AC31" s="5">
        <f t="shared" ca="1" si="2"/>
        <v>3.0848193768615766E-3</v>
      </c>
      <c r="AD31" s="5">
        <f t="shared" ca="1" si="3"/>
        <v>1.4783838114516804E-3</v>
      </c>
      <c r="AE31" s="5">
        <f t="shared" ca="1" si="4"/>
        <v>1.4783838114516804E-3</v>
      </c>
      <c r="AF31" s="5">
        <f t="shared" ca="1" si="5"/>
        <v>1.4783838114516804E-3</v>
      </c>
      <c r="AG31" s="5">
        <f t="shared" ca="1" si="6"/>
        <v>3.0848193768615766E-3</v>
      </c>
      <c r="AH31" s="5">
        <f t="shared" ca="1" si="7"/>
        <v>4.616178023512392E-3</v>
      </c>
      <c r="AI31" s="5">
        <f t="shared" ca="1" si="8"/>
        <v>3.0848193768615766E-3</v>
      </c>
      <c r="AJ31" s="5">
        <f t="shared" ca="1" si="9"/>
        <v>3.4356461000346642E-3</v>
      </c>
      <c r="AK31" s="5">
        <f t="shared" ca="1" si="10"/>
        <v>3.212871130819792E-3</v>
      </c>
      <c r="AM31" s="5">
        <f t="shared" ca="1" si="13"/>
        <v>2.8039124196168195E-2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1.2338199999999999</v>
      </c>
      <c r="F32" s="5">
        <v>22</v>
      </c>
      <c r="H32" s="5" t="s">
        <v>0</v>
      </c>
      <c r="I32" s="5">
        <v>50</v>
      </c>
      <c r="J32" s="5">
        <v>0.4</v>
      </c>
      <c r="L32" s="5">
        <f t="shared" ca="1" si="11"/>
        <v>59.10801</v>
      </c>
      <c r="M32" s="5">
        <f t="shared" ca="1" si="11"/>
        <v>56.901339999999998</v>
      </c>
      <c r="N32" s="5">
        <f t="shared" ca="1" si="11"/>
        <v>56.901339999999998</v>
      </c>
      <c r="O32" s="5">
        <f t="shared" ca="1" si="11"/>
        <v>59.136180000000003</v>
      </c>
      <c r="P32" s="5">
        <f t="shared" ca="1" si="11"/>
        <v>56.901339999999998</v>
      </c>
      <c r="Q32" s="5">
        <f t="shared" ca="1" si="11"/>
        <v>59.069510000000001</v>
      </c>
      <c r="R32" s="5">
        <f t="shared" ca="1" si="11"/>
        <v>59.712330000000001</v>
      </c>
      <c r="S32" s="5">
        <f t="shared" ca="1" si="11"/>
        <v>58.193170000000002</v>
      </c>
      <c r="T32" s="5">
        <f t="shared" ca="1" si="11"/>
        <v>57.090429999999998</v>
      </c>
      <c r="U32" s="5">
        <f t="shared" ca="1" si="11"/>
        <v>56.901339999999998</v>
      </c>
      <c r="W32" s="5">
        <f t="shared" ca="1" si="12"/>
        <v>57.991498999999997</v>
      </c>
      <c r="Y32" s="5">
        <f ca="1">Total!E32</f>
        <v>56.511339999999997</v>
      </c>
      <c r="AB32" s="5">
        <f t="shared" ca="1" si="1"/>
        <v>4.5949538623575432E-2</v>
      </c>
      <c r="AC32" s="5">
        <f t="shared" ca="1" si="2"/>
        <v>6.901269727456482E-3</v>
      </c>
      <c r="AD32" s="5">
        <f t="shared" ca="1" si="3"/>
        <v>6.901269727456482E-3</v>
      </c>
      <c r="AE32" s="5">
        <f t="shared" ca="1" si="4"/>
        <v>4.6448022644658686E-2</v>
      </c>
      <c r="AF32" s="5">
        <f t="shared" ca="1" si="5"/>
        <v>6.901269727456482E-3</v>
      </c>
      <c r="AG32" s="5">
        <f t="shared" ca="1" si="6"/>
        <v>4.5268259432531668E-2</v>
      </c>
      <c r="AH32" s="5">
        <f t="shared" ca="1" si="7"/>
        <v>5.6643321499720317E-2</v>
      </c>
      <c r="AI32" s="5">
        <f t="shared" ca="1" si="8"/>
        <v>2.9760929399302957E-2</v>
      </c>
      <c r="AJ32" s="5">
        <f t="shared" ca="1" si="9"/>
        <v>1.024732381146865E-2</v>
      </c>
      <c r="AK32" s="5">
        <f t="shared" ca="1" si="10"/>
        <v>6.901269727456482E-3</v>
      </c>
      <c r="AM32" s="5">
        <f t="shared" ca="1" si="13"/>
        <v>0.26192247432108362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1.23386</v>
      </c>
      <c r="F33" s="5">
        <v>22</v>
      </c>
      <c r="H33" s="5" t="s">
        <v>0</v>
      </c>
      <c r="I33" s="5">
        <v>50</v>
      </c>
      <c r="J33" s="5">
        <v>0.7</v>
      </c>
      <c r="L33" s="5">
        <f t="shared" ca="1" si="11"/>
        <v>53.84507</v>
      </c>
      <c r="M33" s="5">
        <f t="shared" ca="1" si="11"/>
        <v>53.85275</v>
      </c>
      <c r="N33" s="5">
        <f t="shared" ca="1" si="11"/>
        <v>53.455599999999997</v>
      </c>
      <c r="O33" s="5">
        <f t="shared" ca="1" si="11"/>
        <v>53.705069999999999</v>
      </c>
      <c r="P33" s="5">
        <f t="shared" ca="1" si="11"/>
        <v>53.675069999999998</v>
      </c>
      <c r="Q33" s="5">
        <f t="shared" ca="1" si="11"/>
        <v>53.529089999999997</v>
      </c>
      <c r="R33" s="5">
        <f t="shared" ca="1" si="11"/>
        <v>53.496079999999999</v>
      </c>
      <c r="S33" s="5">
        <f t="shared" ca="1" si="11"/>
        <v>53.959859999999999</v>
      </c>
      <c r="T33" s="5">
        <f t="shared" ca="1" si="11"/>
        <v>53.755070000000003</v>
      </c>
      <c r="U33" s="5">
        <f t="shared" ca="1" si="11"/>
        <v>53.330489999999998</v>
      </c>
      <c r="W33" s="5">
        <f t="shared" ca="1" si="12"/>
        <v>53.660415</v>
      </c>
      <c r="Y33" s="5">
        <f ca="1">Total!E33</f>
        <v>53.115070000000003</v>
      </c>
      <c r="AB33" s="5">
        <f t="shared" ca="1" si="1"/>
        <v>1.3743745419143697E-2</v>
      </c>
      <c r="AC33" s="5">
        <f t="shared" ca="1" si="2"/>
        <v>1.3888337151772508E-2</v>
      </c>
      <c r="AD33" s="5">
        <f t="shared" ca="1" si="3"/>
        <v>6.4111748323026586E-3</v>
      </c>
      <c r="AE33" s="5">
        <f t="shared" ca="1" si="4"/>
        <v>1.1107958626431186E-2</v>
      </c>
      <c r="AF33" s="5">
        <f t="shared" ca="1" si="5"/>
        <v>1.0543147170849913E-2</v>
      </c>
      <c r="AG33" s="5">
        <f t="shared" ca="1" si="6"/>
        <v>7.7947746279915207E-3</v>
      </c>
      <c r="AH33" s="5">
        <f t="shared" ca="1" si="7"/>
        <v>7.1732937563670027E-3</v>
      </c>
      <c r="AI33" s="5">
        <f t="shared" ca="1" si="8"/>
        <v>1.5904902318682742E-2</v>
      </c>
      <c r="AJ33" s="5">
        <f t="shared" ca="1" si="9"/>
        <v>1.2049311052400017E-2</v>
      </c>
      <c r="AK33" s="5">
        <f t="shared" ca="1" si="10"/>
        <v>4.0557227920436627E-3</v>
      </c>
      <c r="AM33" s="5">
        <f t="shared" ca="1" si="13"/>
        <v>0.10267236774798492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1.22618</v>
      </c>
      <c r="F34" s="5">
        <v>21</v>
      </c>
      <c r="H34" s="5" t="s">
        <v>0</v>
      </c>
      <c r="I34" s="5">
        <v>50</v>
      </c>
      <c r="J34" s="5">
        <v>1</v>
      </c>
      <c r="L34" s="5">
        <f t="shared" ca="1" si="11"/>
        <v>53.307490000000001</v>
      </c>
      <c r="M34" s="5">
        <f t="shared" ca="1" si="11"/>
        <v>53.535069999999997</v>
      </c>
      <c r="N34" s="5">
        <f t="shared" ca="1" si="11"/>
        <v>53.272500000000001</v>
      </c>
      <c r="O34" s="5">
        <f t="shared" ca="1" si="11"/>
        <v>53.297490000000003</v>
      </c>
      <c r="P34" s="5">
        <f t="shared" ca="1" si="11"/>
        <v>53.037489999999998</v>
      </c>
      <c r="Q34" s="5">
        <f t="shared" ca="1" si="11"/>
        <v>53.49241</v>
      </c>
      <c r="R34" s="5">
        <f t="shared" ca="1" si="11"/>
        <v>53.367489999999997</v>
      </c>
      <c r="S34" s="5">
        <f t="shared" ca="1" si="11"/>
        <v>53.117489999999997</v>
      </c>
      <c r="T34" s="5">
        <f t="shared" ca="1" si="11"/>
        <v>53.495069999999998</v>
      </c>
      <c r="U34" s="5">
        <f t="shared" ca="1" si="11"/>
        <v>53.247489999999999</v>
      </c>
      <c r="W34" s="5">
        <f t="shared" ca="1" si="12"/>
        <v>53.316998999999996</v>
      </c>
      <c r="Y34" s="5">
        <f ca="1">Total!E34</f>
        <v>53.003740000000001</v>
      </c>
      <c r="AB34" s="5">
        <f t="shared" ca="1" si="1"/>
        <v>5.7307276807259423E-3</v>
      </c>
      <c r="AC34" s="5">
        <f t="shared" ca="1" si="2"/>
        <v>1.0024386958354203E-2</v>
      </c>
      <c r="AD34" s="5">
        <f t="shared" ca="1" si="3"/>
        <v>5.0705855850926808E-3</v>
      </c>
      <c r="AE34" s="5">
        <f t="shared" ca="1" si="4"/>
        <v>5.5420617488502293E-3</v>
      </c>
      <c r="AF34" s="5">
        <f t="shared" ca="1" si="5"/>
        <v>6.3674752008061552E-4</v>
      </c>
      <c r="AG34" s="5">
        <f t="shared" ca="1" si="6"/>
        <v>9.2195380929722889E-3</v>
      </c>
      <c r="AH34" s="5">
        <f t="shared" ca="1" si="7"/>
        <v>6.8627232719803552E-3</v>
      </c>
      <c r="AI34" s="5">
        <f t="shared" ca="1" si="8"/>
        <v>2.1460749750865887E-3</v>
      </c>
      <c r="AJ34" s="5">
        <f t="shared" ca="1" si="9"/>
        <v>9.2697232308512154E-3</v>
      </c>
      <c r="AK34" s="5">
        <f t="shared" ca="1" si="10"/>
        <v>4.598732089471395E-3</v>
      </c>
      <c r="AM34" s="5">
        <f t="shared" ca="1" si="13"/>
        <v>5.9101301153465513E-2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1.23492</v>
      </c>
      <c r="F35" s="5">
        <v>22</v>
      </c>
      <c r="H35" s="5" t="s">
        <v>0</v>
      </c>
      <c r="I35" s="5">
        <v>100</v>
      </c>
      <c r="J35" s="5">
        <v>0.4</v>
      </c>
      <c r="L35" s="5">
        <f t="shared" ca="1" si="11"/>
        <v>148.26338000000001</v>
      </c>
      <c r="M35" s="5">
        <f t="shared" ca="1" si="11"/>
        <v>148.40715</v>
      </c>
      <c r="N35" s="5">
        <f t="shared" ca="1" si="11"/>
        <v>148.39735999999999</v>
      </c>
      <c r="O35" s="5">
        <f t="shared" ca="1" si="11"/>
        <v>148.31298000000001</v>
      </c>
      <c r="P35" s="5">
        <f t="shared" ca="1" si="11"/>
        <v>148.24986999999999</v>
      </c>
      <c r="Q35" s="5">
        <f t="shared" ca="1" si="11"/>
        <v>148.31532999999999</v>
      </c>
      <c r="R35" s="5">
        <f t="shared" ca="1" si="11"/>
        <v>148.40421000000001</v>
      </c>
      <c r="S35" s="5">
        <f t="shared" ca="1" si="11"/>
        <v>148.28736000000001</v>
      </c>
      <c r="T35" s="5">
        <f t="shared" ca="1" si="11"/>
        <v>148.32235</v>
      </c>
      <c r="U35" s="5">
        <f t="shared" ca="1" si="11"/>
        <v>148.28450000000001</v>
      </c>
      <c r="W35" s="5">
        <f t="shared" ca="1" si="12"/>
        <v>148.32444899999999</v>
      </c>
      <c r="Y35" s="5">
        <f ca="1">Total!E35</f>
        <v>147.96312</v>
      </c>
      <c r="AB35" s="5">
        <f t="shared" ca="1" si="1"/>
        <v>2.0292894607792039E-3</v>
      </c>
      <c r="AC35" s="5">
        <f t="shared" ca="1" si="2"/>
        <v>3.0009505071263562E-3</v>
      </c>
      <c r="AD35" s="5">
        <f t="shared" ca="1" si="3"/>
        <v>2.93478537084098E-3</v>
      </c>
      <c r="AE35" s="5">
        <f t="shared" ca="1" si="4"/>
        <v>2.364508128782407E-3</v>
      </c>
      <c r="AF35" s="5">
        <f t="shared" ca="1" si="5"/>
        <v>1.9379829243934815E-3</v>
      </c>
      <c r="AG35" s="5">
        <f t="shared" ca="1" si="6"/>
        <v>2.3803904648670915E-3</v>
      </c>
      <c r="AH35" s="5">
        <f t="shared" ca="1" si="7"/>
        <v>2.9810806909181331E-3</v>
      </c>
      <c r="AI35" s="5">
        <f t="shared" ca="1" si="8"/>
        <v>2.1913568732533023E-3</v>
      </c>
      <c r="AJ35" s="5">
        <f t="shared" ca="1" si="9"/>
        <v>2.4278347198950427E-3</v>
      </c>
      <c r="AK35" s="5">
        <f t="shared" ca="1" si="10"/>
        <v>2.1720277323160316E-3</v>
      </c>
      <c r="AM35" s="5">
        <f t="shared" ca="1" si="13"/>
        <v>2.4420206873172028E-2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1.2112099999999999</v>
      </c>
      <c r="F36" s="5">
        <v>20</v>
      </c>
      <c r="H36" s="5" t="s">
        <v>0</v>
      </c>
      <c r="I36" s="5">
        <v>100</v>
      </c>
      <c r="J36" s="5">
        <v>0.7</v>
      </c>
      <c r="L36" s="5">
        <f t="shared" ca="1" si="11"/>
        <v>108.48627999999999</v>
      </c>
      <c r="M36" s="5">
        <f t="shared" ca="1" si="11"/>
        <v>108.42718000000001</v>
      </c>
      <c r="N36" s="5">
        <f t="shared" ca="1" si="11"/>
        <v>108.53044</v>
      </c>
      <c r="O36" s="5">
        <f t="shared" ca="1" si="11"/>
        <v>107.98533</v>
      </c>
      <c r="P36" s="5">
        <f t="shared" ca="1" si="11"/>
        <v>108.37747</v>
      </c>
      <c r="Q36" s="5">
        <f t="shared" ca="1" si="11"/>
        <v>108.37403999999999</v>
      </c>
      <c r="R36" s="5">
        <f t="shared" ca="1" si="11"/>
        <v>108.22933</v>
      </c>
      <c r="S36" s="5">
        <f t="shared" ca="1" si="11"/>
        <v>108.15085000000001</v>
      </c>
      <c r="T36" s="5">
        <f t="shared" ca="1" si="11"/>
        <v>108.3858</v>
      </c>
      <c r="U36" s="5">
        <f t="shared" ca="1" si="11"/>
        <v>108.27858999999999</v>
      </c>
      <c r="W36" s="5">
        <f t="shared" ca="1" si="12"/>
        <v>108.322531</v>
      </c>
      <c r="Y36" s="5">
        <f ca="1">Total!E36</f>
        <v>107.28163000000001</v>
      </c>
      <c r="AB36" s="5">
        <f t="shared" ca="1" si="1"/>
        <v>1.1228856235685333E-2</v>
      </c>
      <c r="AC36" s="5">
        <f t="shared" ca="1" si="2"/>
        <v>1.0677969751205309E-2</v>
      </c>
      <c r="AD36" s="5">
        <f t="shared" ca="1" si="3"/>
        <v>1.1640483091093896E-2</v>
      </c>
      <c r="AE36" s="5">
        <f t="shared" ca="1" si="4"/>
        <v>6.5593708820419466E-3</v>
      </c>
      <c r="AF36" s="5">
        <f t="shared" ca="1" si="5"/>
        <v>1.0214609901061303E-2</v>
      </c>
      <c r="AG36" s="5">
        <f t="shared" ca="1" si="6"/>
        <v>1.0182637978188686E-2</v>
      </c>
      <c r="AH36" s="5">
        <f t="shared" ca="1" si="7"/>
        <v>8.833758398339003E-3</v>
      </c>
      <c r="AI36" s="5">
        <f t="shared" ca="1" si="8"/>
        <v>8.1022258889988756E-3</v>
      </c>
      <c r="AJ36" s="5">
        <f t="shared" ca="1" si="9"/>
        <v>1.0292255999466043E-2</v>
      </c>
      <c r="AK36" s="5">
        <f t="shared" ca="1" si="10"/>
        <v>9.2929236813421561E-3</v>
      </c>
      <c r="AM36" s="5">
        <f t="shared" ca="1" si="13"/>
        <v>9.7025091807422553E-2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1.2383200000000001</v>
      </c>
      <c r="F37" s="5">
        <v>21</v>
      </c>
      <c r="H37" s="5" t="s">
        <v>0</v>
      </c>
      <c r="I37" s="5">
        <v>100</v>
      </c>
      <c r="J37" s="5">
        <v>1</v>
      </c>
      <c r="L37" s="5">
        <f t="shared" ca="1" si="11"/>
        <v>104.12496</v>
      </c>
      <c r="M37" s="5">
        <f t="shared" ca="1" si="11"/>
        <v>104.01503</v>
      </c>
      <c r="N37" s="5">
        <f t="shared" ca="1" si="11"/>
        <v>103.98443</v>
      </c>
      <c r="O37" s="5">
        <f t="shared" ca="1" si="11"/>
        <v>103.98496</v>
      </c>
      <c r="P37" s="5">
        <f t="shared" ca="1" si="11"/>
        <v>104.06345</v>
      </c>
      <c r="Q37" s="5">
        <f t="shared" ca="1" si="11"/>
        <v>103.99747000000001</v>
      </c>
      <c r="R37" s="5">
        <f t="shared" ca="1" si="11"/>
        <v>104.06328999999999</v>
      </c>
      <c r="S37" s="5">
        <f t="shared" ca="1" si="11"/>
        <v>104.04329</v>
      </c>
      <c r="T37" s="5">
        <f t="shared" ca="1" si="11"/>
        <v>104.06086000000001</v>
      </c>
      <c r="U37" s="5">
        <f t="shared" ca="1" si="11"/>
        <v>104.03919</v>
      </c>
      <c r="W37" s="5">
        <f t="shared" ca="1" si="12"/>
        <v>104.03769300000002</v>
      </c>
      <c r="Y37" s="5">
        <f ca="1">Total!E37</f>
        <v>103.21266</v>
      </c>
      <c r="AB37" s="5">
        <f t="shared" ca="1" si="1"/>
        <v>8.8390319559635607E-3</v>
      </c>
      <c r="AC37" s="5">
        <f t="shared" ca="1" si="2"/>
        <v>7.7739494360478285E-3</v>
      </c>
      <c r="AD37" s="5">
        <f t="shared" ca="1" si="3"/>
        <v>7.4774741780708259E-3</v>
      </c>
      <c r="AE37" s="5">
        <f t="shared" ca="1" si="4"/>
        <v>7.4826092070488376E-3</v>
      </c>
      <c r="AF37" s="5">
        <f t="shared" ca="1" si="5"/>
        <v>8.2430779324939741E-3</v>
      </c>
      <c r="AG37" s="5">
        <f t="shared" ca="1" si="6"/>
        <v>7.6038152683983468E-3</v>
      </c>
      <c r="AH37" s="5">
        <f t="shared" ca="1" si="7"/>
        <v>8.2415277350665634E-3</v>
      </c>
      <c r="AI37" s="5">
        <f t="shared" ca="1" si="8"/>
        <v>8.0477530566502135E-3</v>
      </c>
      <c r="AJ37" s="5">
        <f t="shared" ca="1" si="9"/>
        <v>8.2179841116390723E-3</v>
      </c>
      <c r="AK37" s="5">
        <f t="shared" ca="1" si="10"/>
        <v>8.0080292475749135E-3</v>
      </c>
      <c r="AM37" s="5">
        <f t="shared" ca="1" si="13"/>
        <v>7.9935252128954137E-2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1.2180599999999999</v>
      </c>
      <c r="F38" s="5">
        <v>22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1.2409399999999999</v>
      </c>
      <c r="F39" s="5">
        <v>22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1.21407</v>
      </c>
      <c r="F40" s="5">
        <v>21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2.9172600000000002</v>
      </c>
      <c r="F41" s="5">
        <v>60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2.89358</v>
      </c>
      <c r="F42" s="5">
        <v>62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2.9127900000000002</v>
      </c>
      <c r="F43" s="5">
        <v>62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2.90693</v>
      </c>
      <c r="F44" s="5">
        <v>61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2.9145300000000001</v>
      </c>
      <c r="F45" s="5">
        <v>63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2.8994900000000001</v>
      </c>
      <c r="F46" s="5">
        <v>61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2.9256600000000001</v>
      </c>
      <c r="F47" s="5">
        <v>62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2.89575</v>
      </c>
      <c r="F48" s="5">
        <v>61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2.9192300000000002</v>
      </c>
      <c r="F49" s="5">
        <v>63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2.9141499999999998</v>
      </c>
      <c r="F50" s="5">
        <v>62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182.50635</v>
      </c>
      <c r="E51" s="5">
        <v>4.6172700000000004</v>
      </c>
      <c r="F51" s="5">
        <v>98</v>
      </c>
    </row>
    <row r="52" spans="1:6" x14ac:dyDescent="0.25">
      <c r="A52" s="5" t="s">
        <v>27</v>
      </c>
      <c r="B52" s="5">
        <v>50</v>
      </c>
      <c r="C52" s="5">
        <v>1</v>
      </c>
      <c r="D52" s="5">
        <v>180.15666999999999</v>
      </c>
      <c r="E52" s="5">
        <v>4.6001500000000002</v>
      </c>
      <c r="F52" s="5">
        <v>99</v>
      </c>
    </row>
    <row r="53" spans="1:6" x14ac:dyDescent="0.25">
      <c r="A53" s="5" t="s">
        <v>27</v>
      </c>
      <c r="B53" s="5">
        <v>50</v>
      </c>
      <c r="C53" s="5">
        <v>1</v>
      </c>
      <c r="D53" s="5">
        <v>181.71666999999999</v>
      </c>
      <c r="E53" s="5">
        <v>4.5960000000000001</v>
      </c>
      <c r="F53" s="5">
        <v>98</v>
      </c>
    </row>
    <row r="54" spans="1:6" x14ac:dyDescent="0.25">
      <c r="A54" s="5" t="s">
        <v>27</v>
      </c>
      <c r="B54" s="5">
        <v>50</v>
      </c>
      <c r="C54" s="5">
        <v>1</v>
      </c>
      <c r="D54" s="5">
        <v>180.05332999999999</v>
      </c>
      <c r="E54" s="5">
        <v>4.6249599999999997</v>
      </c>
      <c r="F54" s="5">
        <v>99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182.34583000000001</v>
      </c>
      <c r="E55" s="5">
        <v>4.6262600000000003</v>
      </c>
      <c r="F55" s="5">
        <v>99</v>
      </c>
    </row>
    <row r="56" spans="1:6" x14ac:dyDescent="0.25">
      <c r="A56" s="5" t="s">
        <v>27</v>
      </c>
      <c r="B56" s="5">
        <v>50</v>
      </c>
      <c r="C56" s="5">
        <v>1</v>
      </c>
      <c r="D56" s="5">
        <v>181.62333000000001</v>
      </c>
      <c r="E56" s="5">
        <v>4.61911</v>
      </c>
      <c r="F56" s="5">
        <v>99</v>
      </c>
    </row>
    <row r="57" spans="1:6" x14ac:dyDescent="0.25">
      <c r="A57" s="5" t="s">
        <v>27</v>
      </c>
      <c r="B57" s="5">
        <v>50</v>
      </c>
      <c r="C57" s="5">
        <v>1</v>
      </c>
      <c r="D57" s="5">
        <v>180.31627</v>
      </c>
      <c r="E57" s="5">
        <v>4.61639</v>
      </c>
      <c r="F57" s="5">
        <v>99</v>
      </c>
    </row>
    <row r="58" spans="1:6" x14ac:dyDescent="0.25">
      <c r="A58" s="5" t="s">
        <v>27</v>
      </c>
      <c r="B58" s="5">
        <v>50</v>
      </c>
      <c r="C58" s="5">
        <v>1</v>
      </c>
      <c r="D58" s="5">
        <v>179.93769</v>
      </c>
      <c r="E58" s="5">
        <v>4.59152</v>
      </c>
      <c r="F58" s="5">
        <v>99</v>
      </c>
    </row>
    <row r="59" spans="1:6" x14ac:dyDescent="0.25">
      <c r="A59" s="5" t="s">
        <v>27</v>
      </c>
      <c r="B59" s="5">
        <v>50</v>
      </c>
      <c r="C59" s="5">
        <v>1</v>
      </c>
      <c r="D59" s="5">
        <v>180.34135000000001</v>
      </c>
      <c r="E59" s="5">
        <v>4.6234500000000001</v>
      </c>
      <c r="F59" s="5">
        <v>99</v>
      </c>
    </row>
    <row r="60" spans="1:6" x14ac:dyDescent="0.25">
      <c r="A60" s="5" t="s">
        <v>27</v>
      </c>
      <c r="B60" s="5">
        <v>50</v>
      </c>
      <c r="C60" s="5">
        <v>1</v>
      </c>
      <c r="D60" s="5">
        <v>183.1</v>
      </c>
      <c r="E60" s="5">
        <v>4.5957699999999999</v>
      </c>
      <c r="F60" s="5">
        <v>99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5.6715200000000001</v>
      </c>
      <c r="F61" s="5">
        <v>36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5.7061799999999998</v>
      </c>
      <c r="F62" s="5">
        <v>36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5.64452</v>
      </c>
      <c r="F63" s="5">
        <v>36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5.6316699999999997</v>
      </c>
      <c r="F64" s="5">
        <v>36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5.6604400000000004</v>
      </c>
      <c r="F65" s="5">
        <v>36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5.6238900000000003</v>
      </c>
      <c r="F66" s="5">
        <v>36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5.6533300000000004</v>
      </c>
      <c r="F67" s="5">
        <v>36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5.6874000000000002</v>
      </c>
      <c r="F68" s="5">
        <v>36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5.6513799999999996</v>
      </c>
      <c r="F69" s="5">
        <v>36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5.6322299999999998</v>
      </c>
      <c r="F70" s="5">
        <v>36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257.04291999999998</v>
      </c>
      <c r="E71" s="5">
        <v>11.73873</v>
      </c>
      <c r="F71" s="5">
        <v>72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257.44295</v>
      </c>
      <c r="E72" s="5">
        <v>11.76671</v>
      </c>
      <c r="F72" s="5">
        <v>72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259.85129000000001</v>
      </c>
      <c r="E73" s="5">
        <v>11.730460000000001</v>
      </c>
      <c r="F73" s="5">
        <v>72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257.66561999999999</v>
      </c>
      <c r="E74" s="5">
        <v>11.655889999999999</v>
      </c>
      <c r="F74" s="5">
        <v>71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257.71994000000001</v>
      </c>
      <c r="E75" s="5">
        <v>11.721439999999999</v>
      </c>
      <c r="F75" s="5">
        <v>72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257.24732</v>
      </c>
      <c r="E76" s="5">
        <v>11.73293</v>
      </c>
      <c r="F76" s="5">
        <v>72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259.11311999999998</v>
      </c>
      <c r="E77" s="5">
        <v>11.6884</v>
      </c>
      <c r="F77" s="5">
        <v>72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259.38905</v>
      </c>
      <c r="E78" s="5">
        <v>11.773709999999999</v>
      </c>
      <c r="F78" s="5">
        <v>72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258.02184999999997</v>
      </c>
      <c r="E79" s="5">
        <v>11.709709999999999</v>
      </c>
      <c r="F79" s="5">
        <v>72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257.06851999999998</v>
      </c>
      <c r="E80" s="5">
        <v>11.71058</v>
      </c>
      <c r="F80" s="5">
        <v>72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239.18194</v>
      </c>
      <c r="E81" s="5">
        <v>30.187470000000001</v>
      </c>
      <c r="F81" s="5">
        <v>183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239.13613000000001</v>
      </c>
      <c r="E82" s="5">
        <v>30.210909999999998</v>
      </c>
      <c r="F82" s="5">
        <v>183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238.91489000000001</v>
      </c>
      <c r="E83" s="5">
        <v>30.215890000000002</v>
      </c>
      <c r="F83" s="5">
        <v>182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239.09333000000001</v>
      </c>
      <c r="E84" s="5">
        <v>30.155919999999998</v>
      </c>
      <c r="F84" s="5">
        <v>183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239.12425999999999</v>
      </c>
      <c r="E85" s="5">
        <v>30.151450000000001</v>
      </c>
      <c r="F85" s="5">
        <v>183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239</v>
      </c>
      <c r="E86" s="5">
        <v>30.131270000000001</v>
      </c>
      <c r="F86" s="5">
        <v>183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239.38613000000001</v>
      </c>
      <c r="E87" s="5">
        <v>30.179300000000001</v>
      </c>
      <c r="F87" s="5">
        <v>184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239.39671000000001</v>
      </c>
      <c r="E88" s="5">
        <v>30.213509999999999</v>
      </c>
      <c r="F88" s="5">
        <v>185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239.19667000000001</v>
      </c>
      <c r="E89" s="5">
        <v>30.133790000000001</v>
      </c>
      <c r="F89" s="5">
        <v>181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238.90872999999999</v>
      </c>
      <c r="E90" s="5">
        <v>30.166350000000001</v>
      </c>
      <c r="F90" s="5">
        <v>183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0.58845000000000003</v>
      </c>
      <c r="F91" s="5">
        <v>50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0.58277999999999996</v>
      </c>
      <c r="F92" s="5">
        <v>42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0.58462000000000003</v>
      </c>
      <c r="F93" s="5">
        <v>50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0.58662999999999998</v>
      </c>
      <c r="F94" s="5">
        <v>50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0.58889999999999998</v>
      </c>
      <c r="F95" s="5">
        <v>50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0.58365999999999996</v>
      </c>
      <c r="F96" s="5">
        <v>49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0.58757999999999999</v>
      </c>
      <c r="F97" s="5">
        <v>50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0.58150000000000002</v>
      </c>
      <c r="F98" s="5">
        <v>49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0.58594000000000002</v>
      </c>
      <c r="F99" s="5">
        <v>47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0.58794000000000002</v>
      </c>
      <c r="F100" s="5">
        <v>50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0.73973</v>
      </c>
      <c r="F101" s="5">
        <v>59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0.74077000000000004</v>
      </c>
      <c r="F102" s="5">
        <v>63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0.73828000000000005</v>
      </c>
      <c r="F103" s="5">
        <v>62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0.73633999999999999</v>
      </c>
      <c r="F104" s="5">
        <v>62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0.73916000000000004</v>
      </c>
      <c r="F105" s="5">
        <v>56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0.73755999999999999</v>
      </c>
      <c r="F106" s="5">
        <v>63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0.74131999999999998</v>
      </c>
      <c r="F107" s="5">
        <v>63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0.73848000000000003</v>
      </c>
      <c r="F108" s="5">
        <v>63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0.73685</v>
      </c>
      <c r="F109" s="5">
        <v>63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0.73421000000000003</v>
      </c>
      <c r="F110" s="5">
        <v>63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1.27833</v>
      </c>
      <c r="F111" s="5">
        <v>103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1.27799</v>
      </c>
      <c r="F112" s="5">
        <v>103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1.27468</v>
      </c>
      <c r="F113" s="5">
        <v>108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1.2821899999999999</v>
      </c>
      <c r="F114" s="5">
        <v>108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1.28071</v>
      </c>
      <c r="F115" s="5">
        <v>101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1.2805</v>
      </c>
      <c r="F116" s="5">
        <v>107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1.2755399999999999</v>
      </c>
      <c r="F117" s="5">
        <v>105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1.27739</v>
      </c>
      <c r="F118" s="5">
        <v>99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1.2794000000000001</v>
      </c>
      <c r="F119" s="5">
        <v>104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1.2759400000000001</v>
      </c>
      <c r="F120" s="5">
        <v>108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4348.0289499999999</v>
      </c>
      <c r="E121" s="5">
        <v>2.01654</v>
      </c>
      <c r="F121" s="5">
        <v>52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4348.0289499999999</v>
      </c>
      <c r="E122" s="5">
        <v>2.02027</v>
      </c>
      <c r="F122" s="5">
        <v>55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4348.0289499999999</v>
      </c>
      <c r="E123" s="5">
        <v>1.99336</v>
      </c>
      <c r="F123" s="5">
        <v>52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4348.0289499999999</v>
      </c>
      <c r="E124" s="5">
        <v>1.9987900000000001</v>
      </c>
      <c r="F124" s="5">
        <v>54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4348.0289499999999</v>
      </c>
      <c r="E125" s="5">
        <v>2.0118999999999998</v>
      </c>
      <c r="F125" s="5">
        <v>53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4348.0289499999999</v>
      </c>
      <c r="E126" s="5">
        <v>2.0011999999999999</v>
      </c>
      <c r="F126" s="5">
        <v>54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2.0004</v>
      </c>
      <c r="F127" s="5">
        <v>52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2.00312</v>
      </c>
      <c r="F128" s="5">
        <v>54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1.9942599999999999</v>
      </c>
      <c r="F129" s="5">
        <v>53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4348.0289499999999</v>
      </c>
      <c r="E130" s="5">
        <v>2.0032999999999999</v>
      </c>
      <c r="F130" s="5">
        <v>54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2.8782299999999998</v>
      </c>
      <c r="F131" s="5">
        <v>75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2.8622100000000001</v>
      </c>
      <c r="F132" s="5">
        <v>74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2.88334</v>
      </c>
      <c r="F133" s="5">
        <v>75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2.89242</v>
      </c>
      <c r="F134" s="5">
        <v>76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2.87785</v>
      </c>
      <c r="F135" s="5">
        <v>73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2.88869</v>
      </c>
      <c r="F136" s="5">
        <v>72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2.86694</v>
      </c>
      <c r="F137" s="5">
        <v>75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2.8804099999999999</v>
      </c>
      <c r="F138" s="5">
        <v>74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2.8840400000000002</v>
      </c>
      <c r="F139" s="5">
        <v>75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2.8914300000000002</v>
      </c>
      <c r="F140" s="5">
        <v>76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3.5418799999999999</v>
      </c>
      <c r="F141" s="5">
        <v>91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3.5222600000000002</v>
      </c>
      <c r="F142" s="5">
        <v>91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3.5199799999999999</v>
      </c>
      <c r="F143" s="5">
        <v>91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3.5260699999999998</v>
      </c>
      <c r="F144" s="5">
        <v>93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3.5321400000000001</v>
      </c>
      <c r="F145" s="5">
        <v>92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3.53241</v>
      </c>
      <c r="F146" s="5">
        <v>91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3.53864</v>
      </c>
      <c r="F147" s="5">
        <v>92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3.53932</v>
      </c>
      <c r="F148" s="5">
        <v>92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3.54399</v>
      </c>
      <c r="F149" s="5">
        <v>91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3.52196</v>
      </c>
      <c r="F150" s="5">
        <v>91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42986.723919999997</v>
      </c>
      <c r="E151" s="5">
        <v>4.9603000000000002</v>
      </c>
      <c r="F151" s="5">
        <v>33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42986.673049999998</v>
      </c>
      <c r="E152" s="5">
        <v>4.9184799999999997</v>
      </c>
      <c r="F152" s="5">
        <v>33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42986.57692</v>
      </c>
      <c r="E153" s="5">
        <v>4.9674800000000001</v>
      </c>
      <c r="F153" s="5">
        <v>33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42986.403050000001</v>
      </c>
      <c r="E154" s="5">
        <v>4.9098300000000004</v>
      </c>
      <c r="F154" s="5">
        <v>33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42986.673049999998</v>
      </c>
      <c r="E155" s="5">
        <v>4.90219</v>
      </c>
      <c r="F155" s="5">
        <v>33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42986.802479999998</v>
      </c>
      <c r="E156" s="5">
        <v>4.9469099999999999</v>
      </c>
      <c r="F156" s="5">
        <v>33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42986.403050000001</v>
      </c>
      <c r="E157" s="5">
        <v>4.9369500000000004</v>
      </c>
      <c r="F157" s="5">
        <v>33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42986.96256</v>
      </c>
      <c r="E158" s="5">
        <v>4.96943</v>
      </c>
      <c r="F158" s="5">
        <v>33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42986.802479999998</v>
      </c>
      <c r="E159" s="5">
        <v>4.9270500000000004</v>
      </c>
      <c r="F159" s="5">
        <v>33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42987.644590000004</v>
      </c>
      <c r="E160" s="5">
        <v>4.9337799999999996</v>
      </c>
      <c r="F160" s="5">
        <v>33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35883.006690000002</v>
      </c>
      <c r="E161" s="5">
        <v>12.80434</v>
      </c>
      <c r="F161" s="5">
        <v>82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35645.638610000002</v>
      </c>
      <c r="E162" s="5">
        <v>12.753450000000001</v>
      </c>
      <c r="F162" s="5">
        <v>82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35694.72077</v>
      </c>
      <c r="E163" s="5">
        <v>12.748419999999999</v>
      </c>
      <c r="F163" s="5">
        <v>82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35574.520669999998</v>
      </c>
      <c r="E164" s="5">
        <v>12.790710000000001</v>
      </c>
      <c r="F164" s="5">
        <v>82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35799.525529999999</v>
      </c>
      <c r="E165" s="5">
        <v>12.73681</v>
      </c>
      <c r="F165" s="5">
        <v>82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35701.05805</v>
      </c>
      <c r="E166" s="5">
        <v>12.7347</v>
      </c>
      <c r="F166" s="5">
        <v>82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35798.843430000001</v>
      </c>
      <c r="E167" s="5">
        <v>12.759209999999999</v>
      </c>
      <c r="F167" s="5">
        <v>82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35684.725639999997</v>
      </c>
      <c r="E168" s="5">
        <v>12.786060000000001</v>
      </c>
      <c r="F168" s="5">
        <v>82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35816.714110000001</v>
      </c>
      <c r="E169" s="5">
        <v>12.726789999999999</v>
      </c>
      <c r="F169" s="5">
        <v>82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35575.466789999999</v>
      </c>
      <c r="E170" s="5">
        <v>12.796189999999999</v>
      </c>
      <c r="F170" s="5">
        <v>82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35259.051290000003</v>
      </c>
      <c r="E171" s="5">
        <v>28.55011</v>
      </c>
      <c r="F171" s="5">
        <v>188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35244.571400000001</v>
      </c>
      <c r="E172" s="5">
        <v>28.515540000000001</v>
      </c>
      <c r="F172" s="5">
        <v>189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35273.342779999999</v>
      </c>
      <c r="E173" s="5">
        <v>28.598389999999998</v>
      </c>
      <c r="F173" s="5">
        <v>186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35319.289239999998</v>
      </c>
      <c r="E174" s="5">
        <v>28.49567</v>
      </c>
      <c r="F174" s="5">
        <v>186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35237.103869999999</v>
      </c>
      <c r="E175" s="5">
        <v>28.491309999999999</v>
      </c>
      <c r="F175" s="5">
        <v>188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35262.802589999999</v>
      </c>
      <c r="E176" s="5">
        <v>28.56438</v>
      </c>
      <c r="F176" s="5">
        <v>186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35216.14</v>
      </c>
      <c r="E177" s="5">
        <v>28.524730000000002</v>
      </c>
      <c r="F177" s="5">
        <v>188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35272.156210000001</v>
      </c>
      <c r="E178" s="5">
        <v>28.505690000000001</v>
      </c>
      <c r="F178" s="5">
        <v>187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35275.583330000001</v>
      </c>
      <c r="E179" s="5">
        <v>28.502269999999999</v>
      </c>
      <c r="F179" s="5">
        <v>191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35307.81667</v>
      </c>
      <c r="E180" s="5">
        <v>28.545369999999998</v>
      </c>
      <c r="F180" s="5">
        <v>186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0.74346000000000001</v>
      </c>
      <c r="F181" s="5">
        <v>42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0.74143000000000003</v>
      </c>
      <c r="F182" s="5">
        <v>44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0.73112999999999995</v>
      </c>
      <c r="F183" s="5">
        <v>43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0.73516000000000004</v>
      </c>
      <c r="F184" s="5">
        <v>41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0.73162000000000005</v>
      </c>
      <c r="F185" s="5">
        <v>43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0.74097999999999997</v>
      </c>
      <c r="F186" s="5">
        <v>44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0.74339999999999995</v>
      </c>
      <c r="F187" s="5">
        <v>44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0.74004000000000003</v>
      </c>
      <c r="F188" s="5">
        <v>44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0.74206000000000005</v>
      </c>
      <c r="F189" s="5">
        <v>43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0.73082000000000003</v>
      </c>
      <c r="F190" s="5">
        <v>38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675.36989000000005</v>
      </c>
      <c r="E191" s="5">
        <v>1.14588</v>
      </c>
      <c r="F191" s="5">
        <v>64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675.36989000000005</v>
      </c>
      <c r="E192" s="5">
        <v>1.1382000000000001</v>
      </c>
      <c r="F192" s="5">
        <v>67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675.38611000000003</v>
      </c>
      <c r="E193" s="5">
        <v>1.1477999999999999</v>
      </c>
      <c r="F193" s="5">
        <v>62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675.36989000000005</v>
      </c>
      <c r="E194" s="5">
        <v>1.1415999999999999</v>
      </c>
      <c r="F194" s="5">
        <v>67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675.36989000000005</v>
      </c>
      <c r="E195" s="5">
        <v>1.13541</v>
      </c>
      <c r="F195" s="5">
        <v>69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675.36989000000005</v>
      </c>
      <c r="E196" s="5">
        <v>1.1353899999999999</v>
      </c>
      <c r="F196" s="5">
        <v>64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675.36989000000005</v>
      </c>
      <c r="E197" s="5">
        <v>1.1378999999999999</v>
      </c>
      <c r="F197" s="5">
        <v>69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675.36581000000001</v>
      </c>
      <c r="E198" s="5">
        <v>1.1387</v>
      </c>
      <c r="F198" s="5">
        <v>69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675.36989000000005</v>
      </c>
      <c r="E199" s="5">
        <v>1.1425399999999999</v>
      </c>
      <c r="F199" s="5">
        <v>68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677.26074000000006</v>
      </c>
      <c r="E200" s="5">
        <v>1.13913</v>
      </c>
      <c r="F200" s="5">
        <v>64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655.43907999999999</v>
      </c>
      <c r="E201" s="5">
        <v>2.0746899999999999</v>
      </c>
      <c r="F201" s="5">
        <v>115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658.23289</v>
      </c>
      <c r="E202" s="5">
        <v>2.0734599999999999</v>
      </c>
      <c r="F202" s="5">
        <v>123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655.43295999999998</v>
      </c>
      <c r="E203" s="5">
        <v>2.07111</v>
      </c>
      <c r="F203" s="5">
        <v>118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655.43907999999999</v>
      </c>
      <c r="E204" s="5">
        <v>2.07273</v>
      </c>
      <c r="F204" s="5">
        <v>123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658.23289</v>
      </c>
      <c r="E205" s="5">
        <v>2.0748000000000002</v>
      </c>
      <c r="F205" s="5">
        <v>119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656.34204</v>
      </c>
      <c r="E206" s="5">
        <v>2.0720000000000001</v>
      </c>
      <c r="F206" s="5">
        <v>122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655.43295999999998</v>
      </c>
      <c r="E207" s="5">
        <v>2.0672100000000002</v>
      </c>
      <c r="F207" s="5">
        <v>118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655.43295999999998</v>
      </c>
      <c r="E208" s="5">
        <v>2.0720200000000002</v>
      </c>
      <c r="F208" s="5">
        <v>122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655.43295999999998</v>
      </c>
      <c r="E209" s="5">
        <v>2.0785100000000001</v>
      </c>
      <c r="F209" s="5">
        <v>119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657.45713999999998</v>
      </c>
      <c r="E210" s="5">
        <v>2.0709399999999998</v>
      </c>
      <c r="F210" s="5">
        <v>123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1459.9687899999999</v>
      </c>
      <c r="E211" s="5">
        <v>1.5873600000000001</v>
      </c>
      <c r="F211" s="5">
        <v>40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1459.9687899999999</v>
      </c>
      <c r="E212" s="5">
        <v>1.6155900000000001</v>
      </c>
      <c r="F212" s="5">
        <v>40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1467.0858700000001</v>
      </c>
      <c r="E213" s="5">
        <v>1.59832</v>
      </c>
      <c r="F213" s="5">
        <v>41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1460.81727</v>
      </c>
      <c r="E214" s="5">
        <v>1.6094900000000001</v>
      </c>
      <c r="F214" s="5">
        <v>40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1459.9687899999999</v>
      </c>
      <c r="E215" s="5">
        <v>1.60029</v>
      </c>
      <c r="F215" s="5">
        <v>41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1459.9687899999999</v>
      </c>
      <c r="E216" s="5">
        <v>1.6055299999999999</v>
      </c>
      <c r="F216" s="5">
        <v>41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1459.9687899999999</v>
      </c>
      <c r="E217" s="5">
        <v>1.5870599999999999</v>
      </c>
      <c r="F217" s="5">
        <v>39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1459.9687899999999</v>
      </c>
      <c r="E218" s="5">
        <v>1.5898600000000001</v>
      </c>
      <c r="F218" s="5">
        <v>41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1460.80863</v>
      </c>
      <c r="E219" s="5">
        <v>1.61843</v>
      </c>
      <c r="F219" s="5">
        <v>41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1459.9687899999999</v>
      </c>
      <c r="E220" s="5">
        <v>1.6159399999999999</v>
      </c>
      <c r="F220" s="5">
        <v>41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1012.16905</v>
      </c>
      <c r="E221" s="5">
        <v>4.5541099999999997</v>
      </c>
      <c r="F221" s="5">
        <v>111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1014.61618</v>
      </c>
      <c r="E222" s="5">
        <v>4.5467599999999999</v>
      </c>
      <c r="F222" s="5">
        <v>112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1018.34721</v>
      </c>
      <c r="E223" s="5">
        <v>4.5548999999999999</v>
      </c>
      <c r="F223" s="5">
        <v>113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1008.5388799999999</v>
      </c>
      <c r="E224" s="5">
        <v>4.5576299999999996</v>
      </c>
      <c r="F224" s="5">
        <v>114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1013.1228</v>
      </c>
      <c r="E225" s="5">
        <v>4.5962300000000003</v>
      </c>
      <c r="F225" s="5">
        <v>114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1013.41197</v>
      </c>
      <c r="E226" s="5">
        <v>4.57064</v>
      </c>
      <c r="F226" s="5">
        <v>113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1019.14895</v>
      </c>
      <c r="E227" s="5">
        <v>4.5592699999999997</v>
      </c>
      <c r="F227" s="5">
        <v>113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1012.25703</v>
      </c>
      <c r="E228" s="5">
        <v>4.5738399999999997</v>
      </c>
      <c r="F228" s="5">
        <v>112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1012.64239</v>
      </c>
      <c r="E229" s="5">
        <v>4.5495999999999999</v>
      </c>
      <c r="F229" s="5">
        <v>113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1011.42058</v>
      </c>
      <c r="E230" s="5">
        <v>4.5557800000000004</v>
      </c>
      <c r="F230" s="5">
        <v>113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994.28371000000004</v>
      </c>
      <c r="E231" s="5">
        <v>8.4100800000000007</v>
      </c>
      <c r="F231" s="5">
        <v>202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996.25666999999999</v>
      </c>
      <c r="E232" s="5">
        <v>8.3961100000000002</v>
      </c>
      <c r="F232" s="5">
        <v>201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994.54630999999995</v>
      </c>
      <c r="E233" s="5">
        <v>8.39649</v>
      </c>
      <c r="F233" s="5">
        <v>206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1002.4428799999999</v>
      </c>
      <c r="E234" s="5">
        <v>8.4058600000000006</v>
      </c>
      <c r="F234" s="5">
        <v>203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996.11089000000004</v>
      </c>
      <c r="E235" s="5">
        <v>8.4147599999999994</v>
      </c>
      <c r="F235" s="5">
        <v>206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997.68631000000005</v>
      </c>
      <c r="E236" s="5">
        <v>8.4169199999999993</v>
      </c>
      <c r="F236" s="5">
        <v>202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997.21965</v>
      </c>
      <c r="E237" s="5">
        <v>8.39194</v>
      </c>
      <c r="F237" s="5">
        <v>205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997.68502000000001</v>
      </c>
      <c r="E238" s="5">
        <v>8.3884000000000007</v>
      </c>
      <c r="F238" s="5">
        <v>203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990.69820000000004</v>
      </c>
      <c r="E239" s="5">
        <v>8.3918300000000006</v>
      </c>
      <c r="F239" s="5">
        <v>201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994.94659000000001</v>
      </c>
      <c r="E240" s="5">
        <v>8.4010400000000001</v>
      </c>
      <c r="F240" s="5">
        <v>202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1872.0736899999999</v>
      </c>
      <c r="E241" s="5">
        <v>5.1232899999999999</v>
      </c>
      <c r="F241" s="5">
        <v>37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1856.82635</v>
      </c>
      <c r="E242" s="5">
        <v>5.1065100000000001</v>
      </c>
      <c r="F242" s="5">
        <v>37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1831.8819100000001</v>
      </c>
      <c r="E243" s="5">
        <v>5.1188799999999999</v>
      </c>
      <c r="F243" s="5">
        <v>37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1878.35511</v>
      </c>
      <c r="E244" s="5">
        <v>5.1232699999999998</v>
      </c>
      <c r="F244" s="5">
        <v>37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1856.9270200000001</v>
      </c>
      <c r="E245" s="5">
        <v>5.0732900000000001</v>
      </c>
      <c r="F245" s="5">
        <v>37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1887.85247</v>
      </c>
      <c r="E246" s="5">
        <v>5.10093</v>
      </c>
      <c r="F246" s="5">
        <v>37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1866.0146500000001</v>
      </c>
      <c r="E247" s="5">
        <v>5.1067600000000004</v>
      </c>
      <c r="F247" s="5">
        <v>37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1840.4080300000001</v>
      </c>
      <c r="E248" s="5">
        <v>5.1343300000000003</v>
      </c>
      <c r="F248" s="5">
        <v>37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1846.05</v>
      </c>
      <c r="E249" s="5">
        <v>5.1154000000000002</v>
      </c>
      <c r="F249" s="5">
        <v>37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1838.78009</v>
      </c>
      <c r="E250" s="5">
        <v>5.1148999999999996</v>
      </c>
      <c r="F250" s="5">
        <v>37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1790.56333</v>
      </c>
      <c r="E251" s="5">
        <v>9.4031599999999997</v>
      </c>
      <c r="F251" s="5">
        <v>66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1781.2705800000001</v>
      </c>
      <c r="E252" s="5">
        <v>9.4838500000000003</v>
      </c>
      <c r="F252" s="5">
        <v>67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1789.34</v>
      </c>
      <c r="E253" s="5">
        <v>9.4026200000000006</v>
      </c>
      <c r="F253" s="5">
        <v>66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1786.28333</v>
      </c>
      <c r="E254" s="5">
        <v>9.4614899999999995</v>
      </c>
      <c r="F254" s="5">
        <v>67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1803.78568</v>
      </c>
      <c r="E255" s="5">
        <v>9.4102800000000002</v>
      </c>
      <c r="F255" s="5">
        <v>66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1787.86358</v>
      </c>
      <c r="E256" s="5">
        <v>9.36815</v>
      </c>
      <c r="F256" s="5">
        <v>66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1792.4559400000001</v>
      </c>
      <c r="E257" s="5">
        <v>9.3829700000000003</v>
      </c>
      <c r="F257" s="5">
        <v>66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1781.0119099999999</v>
      </c>
      <c r="E258" s="5">
        <v>9.4582800000000002</v>
      </c>
      <c r="F258" s="5">
        <v>67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1789.64652</v>
      </c>
      <c r="E259" s="5">
        <v>9.3876000000000008</v>
      </c>
      <c r="F259" s="5">
        <v>66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1770.1984500000001</v>
      </c>
      <c r="E260" s="5">
        <v>9.4651800000000001</v>
      </c>
      <c r="F260" s="5">
        <v>67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1758.1233299999999</v>
      </c>
      <c r="E261" s="5">
        <v>15.438470000000001</v>
      </c>
      <c r="F261" s="5">
        <v>108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1759.04</v>
      </c>
      <c r="E262" s="5">
        <v>15.41033</v>
      </c>
      <c r="F262" s="5">
        <v>108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1757.00477</v>
      </c>
      <c r="E263" s="5">
        <v>15.438079999999999</v>
      </c>
      <c r="F263" s="5">
        <v>109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1768.9523300000001</v>
      </c>
      <c r="E264" s="5">
        <v>15.37139</v>
      </c>
      <c r="F264" s="5">
        <v>106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1760.4561699999999</v>
      </c>
      <c r="E265" s="5">
        <v>15.44074</v>
      </c>
      <c r="F265" s="5">
        <v>107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1758.5235399999999</v>
      </c>
      <c r="E266" s="5">
        <v>15.403449999999999</v>
      </c>
      <c r="F266" s="5">
        <v>108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1756.89</v>
      </c>
      <c r="E267" s="5">
        <v>15.367620000000001</v>
      </c>
      <c r="F267" s="5">
        <v>108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1758.51667</v>
      </c>
      <c r="E268" s="5">
        <v>15.34793</v>
      </c>
      <c r="F268" s="5">
        <v>108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1756.99485</v>
      </c>
      <c r="E269" s="5">
        <v>15.351509999999999</v>
      </c>
      <c r="F269" s="5">
        <v>107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1756.2302</v>
      </c>
      <c r="E270" s="5">
        <v>15.40727</v>
      </c>
      <c r="F270" s="5">
        <v>108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41.318849999999998</v>
      </c>
      <c r="E271" s="5">
        <v>0.59062000000000003</v>
      </c>
      <c r="F271" s="5">
        <v>39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41.318849999999998</v>
      </c>
      <c r="E272" s="5">
        <v>0.59480999999999995</v>
      </c>
      <c r="F272" s="5">
        <v>37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41.318849999999998</v>
      </c>
      <c r="E273" s="5">
        <v>0.59528999999999999</v>
      </c>
      <c r="F273" s="5">
        <v>40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41.318849999999998</v>
      </c>
      <c r="E274" s="5">
        <v>0.58597999999999995</v>
      </c>
      <c r="F274" s="5">
        <v>35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41.318849999999998</v>
      </c>
      <c r="E275" s="5">
        <v>0.59189000000000003</v>
      </c>
      <c r="F275" s="5">
        <v>41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41.318849999999998</v>
      </c>
      <c r="E276" s="5">
        <v>0.59426000000000001</v>
      </c>
      <c r="F276" s="5">
        <v>41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40.897550000000003</v>
      </c>
      <c r="E277" s="5">
        <v>0.59304999999999997</v>
      </c>
      <c r="F277" s="5">
        <v>41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41.318849999999998</v>
      </c>
      <c r="E278" s="5">
        <v>0.59109999999999996</v>
      </c>
      <c r="F278" s="5">
        <v>41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40.897550000000003</v>
      </c>
      <c r="E279" s="5">
        <v>0.58731999999999995</v>
      </c>
      <c r="F279" s="5">
        <v>41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41.318849999999998</v>
      </c>
      <c r="E280" s="5">
        <v>0.59025000000000005</v>
      </c>
      <c r="F280" s="5">
        <v>41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0.88002000000000002</v>
      </c>
      <c r="F281" s="5">
        <v>65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0.87434999999999996</v>
      </c>
      <c r="F282" s="5">
        <v>66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28.65436</v>
      </c>
      <c r="E283" s="5">
        <v>0.88368999999999998</v>
      </c>
      <c r="F283" s="5">
        <v>60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0.88173999999999997</v>
      </c>
      <c r="F284" s="5">
        <v>65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0.88126000000000004</v>
      </c>
      <c r="F285" s="5">
        <v>66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28.65624</v>
      </c>
      <c r="E286" s="5">
        <v>0.88148000000000004</v>
      </c>
      <c r="F286" s="5">
        <v>66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28.65436</v>
      </c>
      <c r="E287" s="5">
        <v>0.87932999999999995</v>
      </c>
      <c r="F287" s="5">
        <v>66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28.65624</v>
      </c>
      <c r="E288" s="5">
        <v>0.87943000000000005</v>
      </c>
      <c r="F288" s="5">
        <v>61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28.65436</v>
      </c>
      <c r="E289" s="5">
        <v>0.88193999999999995</v>
      </c>
      <c r="F289" s="5">
        <v>66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0.87309999999999999</v>
      </c>
      <c r="F290" s="5">
        <v>65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28.592030000000001</v>
      </c>
      <c r="E291" s="5">
        <v>1.1351199999999999</v>
      </c>
      <c r="F291" s="5">
        <v>73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28.592030000000001</v>
      </c>
      <c r="E292" s="5">
        <v>1.1411199999999999</v>
      </c>
      <c r="F292" s="5">
        <v>81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28.546240000000001</v>
      </c>
      <c r="E293" s="5">
        <v>1.1385400000000001</v>
      </c>
      <c r="F293" s="5">
        <v>82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28.546240000000001</v>
      </c>
      <c r="E294" s="5">
        <v>1.1350499999999999</v>
      </c>
      <c r="F294" s="5">
        <v>75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28.546240000000001</v>
      </c>
      <c r="E295" s="5">
        <v>1.1390499999999999</v>
      </c>
      <c r="F295" s="5">
        <v>80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28.592030000000001</v>
      </c>
      <c r="E296" s="5">
        <v>1.14177</v>
      </c>
      <c r="F296" s="5">
        <v>80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28.635680000000001</v>
      </c>
      <c r="E297" s="5">
        <v>1.1416200000000001</v>
      </c>
      <c r="F297" s="5">
        <v>79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28.592030000000001</v>
      </c>
      <c r="E298" s="5">
        <v>1.1409800000000001</v>
      </c>
      <c r="F298" s="5">
        <v>77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28.602029999999999</v>
      </c>
      <c r="E299" s="5">
        <v>1.13188</v>
      </c>
      <c r="F299" s="5">
        <v>82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28.595680000000002</v>
      </c>
      <c r="E300" s="5">
        <v>1.13347</v>
      </c>
      <c r="F300" s="5">
        <v>80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59.10801</v>
      </c>
      <c r="E301" s="5">
        <v>1.94814</v>
      </c>
      <c r="F301" s="5">
        <v>46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56.901339999999998</v>
      </c>
      <c r="E302" s="5">
        <v>1.93994</v>
      </c>
      <c r="F302" s="5">
        <v>46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56.901339999999998</v>
      </c>
      <c r="E303" s="5">
        <v>1.9342900000000001</v>
      </c>
      <c r="F303" s="5">
        <v>47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59.136180000000003</v>
      </c>
      <c r="E304" s="5">
        <v>1.92424</v>
      </c>
      <c r="F304" s="5">
        <v>45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56.901339999999998</v>
      </c>
      <c r="E305" s="5">
        <v>1.9375800000000001</v>
      </c>
      <c r="F305" s="5">
        <v>47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59.069510000000001</v>
      </c>
      <c r="E306" s="5">
        <v>1.92259</v>
      </c>
      <c r="F306" s="5">
        <v>45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59.712330000000001</v>
      </c>
      <c r="E307" s="5">
        <v>1.9302900000000001</v>
      </c>
      <c r="F307" s="5">
        <v>47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58.193170000000002</v>
      </c>
      <c r="E308" s="5">
        <v>1.9534899999999999</v>
      </c>
      <c r="F308" s="5">
        <v>47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57.090429999999998</v>
      </c>
      <c r="E309" s="5">
        <v>1.93058</v>
      </c>
      <c r="F309" s="5">
        <v>47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56.901339999999998</v>
      </c>
      <c r="E310" s="5">
        <v>1.92245</v>
      </c>
      <c r="F310" s="5">
        <v>47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53.84507</v>
      </c>
      <c r="E311" s="5">
        <v>3.7786499999999998</v>
      </c>
      <c r="F311" s="5">
        <v>88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53.85275</v>
      </c>
      <c r="E312" s="5">
        <v>3.77129</v>
      </c>
      <c r="F312" s="5">
        <v>90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53.455599999999997</v>
      </c>
      <c r="E313" s="5">
        <v>3.7721100000000001</v>
      </c>
      <c r="F313" s="5">
        <v>90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53.705069999999999</v>
      </c>
      <c r="E314" s="5">
        <v>3.75135</v>
      </c>
      <c r="F314" s="5">
        <v>88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53.675069999999998</v>
      </c>
      <c r="E315" s="5">
        <v>3.7648700000000002</v>
      </c>
      <c r="F315" s="5">
        <v>88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53.529089999999997</v>
      </c>
      <c r="E316" s="5">
        <v>3.7590499999999998</v>
      </c>
      <c r="F316" s="5">
        <v>88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53.496079999999999</v>
      </c>
      <c r="E317" s="5">
        <v>3.7516799999999999</v>
      </c>
      <c r="F317" s="5">
        <v>88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53.959859999999999</v>
      </c>
      <c r="E318" s="5">
        <v>3.7787199999999999</v>
      </c>
      <c r="F318" s="5">
        <v>88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53.755070000000003</v>
      </c>
      <c r="E319" s="5">
        <v>3.7562099999999998</v>
      </c>
      <c r="F319" s="5">
        <v>87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53.330489999999998</v>
      </c>
      <c r="E320" s="5">
        <v>3.7736200000000002</v>
      </c>
      <c r="F320" s="5">
        <v>89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53.307490000000001</v>
      </c>
      <c r="E321" s="5">
        <v>6.0807599999999997</v>
      </c>
      <c r="F321" s="5">
        <v>136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53.535069999999997</v>
      </c>
      <c r="E322" s="5">
        <v>6.0853000000000002</v>
      </c>
      <c r="F322" s="5">
        <v>138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53.272500000000001</v>
      </c>
      <c r="E323" s="5">
        <v>6.0799899999999996</v>
      </c>
      <c r="F323" s="5">
        <v>138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53.297490000000003</v>
      </c>
      <c r="E324" s="5">
        <v>6.1021599999999996</v>
      </c>
      <c r="F324" s="5">
        <v>140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53.037489999999998</v>
      </c>
      <c r="E325" s="5">
        <v>6.0990900000000003</v>
      </c>
      <c r="F325" s="5">
        <v>137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53.49241</v>
      </c>
      <c r="E326" s="5">
        <v>6.07409</v>
      </c>
      <c r="F326" s="5">
        <v>138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53.367489999999997</v>
      </c>
      <c r="E327" s="5">
        <v>6.0780700000000003</v>
      </c>
      <c r="F327" s="5">
        <v>137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53.117489999999997</v>
      </c>
      <c r="E328" s="5">
        <v>6.0998700000000001</v>
      </c>
      <c r="F328" s="5">
        <v>138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53.495069999999998</v>
      </c>
      <c r="E329" s="5">
        <v>6.0763499999999997</v>
      </c>
      <c r="F329" s="5">
        <v>138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53.247489999999999</v>
      </c>
      <c r="E330" s="5">
        <v>6.0897199999999998</v>
      </c>
      <c r="F330" s="5">
        <v>137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148.26338000000001</v>
      </c>
      <c r="E331" s="5">
        <v>7.0527899999999999</v>
      </c>
      <c r="F331" s="5">
        <v>49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148.40715</v>
      </c>
      <c r="E332" s="5">
        <v>7.0639599999999998</v>
      </c>
      <c r="F332" s="5">
        <v>49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148.39735999999999</v>
      </c>
      <c r="E333" s="5">
        <v>7.1479200000000001</v>
      </c>
      <c r="F333" s="5">
        <v>50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148.31298000000001</v>
      </c>
      <c r="E334" s="5">
        <v>7.1387999999999998</v>
      </c>
      <c r="F334" s="5">
        <v>50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148.24986999999999</v>
      </c>
      <c r="E335" s="5">
        <v>7.0545900000000001</v>
      </c>
      <c r="F335" s="5">
        <v>49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148.31532999999999</v>
      </c>
      <c r="E336" s="5">
        <v>7.0306300000000004</v>
      </c>
      <c r="F336" s="5">
        <v>49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148.40421000000001</v>
      </c>
      <c r="E337" s="5">
        <v>7.0511600000000003</v>
      </c>
      <c r="F337" s="5">
        <v>49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148.28736000000001</v>
      </c>
      <c r="E338" s="5">
        <v>7.0495999999999999</v>
      </c>
      <c r="F338" s="5">
        <v>49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148.32235</v>
      </c>
      <c r="E339" s="5">
        <v>7.1392100000000003</v>
      </c>
      <c r="F339" s="5">
        <v>50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148.28450000000001</v>
      </c>
      <c r="E340" s="5">
        <v>7.1480399999999999</v>
      </c>
      <c r="F340" s="5">
        <v>50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108.48627999999999</v>
      </c>
      <c r="E341" s="5">
        <v>16.835419999999999</v>
      </c>
      <c r="F341" s="5">
        <v>114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108.42718000000001</v>
      </c>
      <c r="E342" s="5">
        <v>16.803339999999999</v>
      </c>
      <c r="F342" s="5">
        <v>114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108.53044</v>
      </c>
      <c r="E343" s="5">
        <v>16.861059999999998</v>
      </c>
      <c r="F343" s="5">
        <v>114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107.98533</v>
      </c>
      <c r="E344" s="5">
        <v>16.833819999999999</v>
      </c>
      <c r="F344" s="5">
        <v>114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108.37747</v>
      </c>
      <c r="E345" s="5">
        <v>16.841609999999999</v>
      </c>
      <c r="F345" s="5">
        <v>114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108.37403999999999</v>
      </c>
      <c r="E346" s="5">
        <v>16.811450000000001</v>
      </c>
      <c r="F346" s="5">
        <v>114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108.22933</v>
      </c>
      <c r="E347" s="5">
        <v>16.85087</v>
      </c>
      <c r="F347" s="5">
        <v>114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108.15085000000001</v>
      </c>
      <c r="E348" s="5">
        <v>16.905180000000001</v>
      </c>
      <c r="F348" s="5">
        <v>115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108.3858</v>
      </c>
      <c r="E349" s="5">
        <v>16.79101</v>
      </c>
      <c r="F349" s="5">
        <v>114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108.27858999999999</v>
      </c>
      <c r="E350" s="5">
        <v>16.863620000000001</v>
      </c>
      <c r="F350" s="5">
        <v>115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104.12496</v>
      </c>
      <c r="E351" s="5">
        <v>29.390229999999999</v>
      </c>
      <c r="F351" s="5">
        <v>195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104.01503</v>
      </c>
      <c r="E352" s="5">
        <v>29.42446</v>
      </c>
      <c r="F352" s="5">
        <v>196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103.98443</v>
      </c>
      <c r="E353" s="5">
        <v>29.409389999999998</v>
      </c>
      <c r="F353" s="5">
        <v>196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103.98496</v>
      </c>
      <c r="E354" s="5">
        <v>29.357340000000001</v>
      </c>
      <c r="F354" s="5">
        <v>194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104.06345</v>
      </c>
      <c r="E355" s="5">
        <v>29.45955</v>
      </c>
      <c r="F355" s="5">
        <v>195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103.99747000000001</v>
      </c>
      <c r="E356" s="5">
        <v>29.398260000000001</v>
      </c>
      <c r="F356" s="5">
        <v>196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104.06328999999999</v>
      </c>
      <c r="E357" s="5">
        <v>29.449660000000002</v>
      </c>
      <c r="F357" s="5">
        <v>195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104.04329</v>
      </c>
      <c r="E358" s="5">
        <v>29.378990000000002</v>
      </c>
      <c r="F358" s="5">
        <v>194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104.06086000000001</v>
      </c>
      <c r="E359" s="5">
        <v>29.408059999999999</v>
      </c>
      <c r="F359" s="5">
        <v>195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104.03919</v>
      </c>
      <c r="E360" s="5">
        <v>29.42183</v>
      </c>
      <c r="F360" s="5">
        <v>195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0.55344000000000004</v>
      </c>
      <c r="F361" s="5">
        <v>32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0.54668000000000005</v>
      </c>
      <c r="F362" s="5">
        <v>27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0.55227000000000004</v>
      </c>
      <c r="F363" s="5">
        <v>32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0.55327999999999999</v>
      </c>
      <c r="F364" s="5">
        <v>33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0.54537999999999998</v>
      </c>
      <c r="F365" s="5">
        <v>32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0.54952999999999996</v>
      </c>
      <c r="F366" s="5">
        <v>33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0.54235</v>
      </c>
      <c r="F367" s="5">
        <v>32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0.54366999999999999</v>
      </c>
      <c r="F368" s="5">
        <v>32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0.54169999999999996</v>
      </c>
      <c r="F369" s="5">
        <v>32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0.54103000000000001</v>
      </c>
      <c r="F370" s="5">
        <v>28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0.88148000000000004</v>
      </c>
      <c r="F371" s="5">
        <v>53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0.88273999999999997</v>
      </c>
      <c r="F372" s="5">
        <v>54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0.88007999999999997</v>
      </c>
      <c r="F373" s="5">
        <v>54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0.88183999999999996</v>
      </c>
      <c r="F374" s="5">
        <v>54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0.87280999999999997</v>
      </c>
      <c r="F375" s="5">
        <v>51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0.87182000000000004</v>
      </c>
      <c r="F376" s="5">
        <v>52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0.88207000000000002</v>
      </c>
      <c r="F377" s="5">
        <v>54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0.87358000000000002</v>
      </c>
      <c r="F378" s="5">
        <v>53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0.87292000000000003</v>
      </c>
      <c r="F379" s="5">
        <v>48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0.87158999999999998</v>
      </c>
      <c r="F380" s="5">
        <v>53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1.1536999999999999</v>
      </c>
      <c r="F381" s="5">
        <v>68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1.15699</v>
      </c>
      <c r="F382" s="5">
        <v>67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1.15466</v>
      </c>
      <c r="F383" s="5">
        <v>71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1.1581300000000001</v>
      </c>
      <c r="F384" s="5">
        <v>71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1.1529100000000001</v>
      </c>
      <c r="F385" s="5">
        <v>69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1.1525799999999999</v>
      </c>
      <c r="F386" s="5">
        <v>68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1.1556500000000001</v>
      </c>
      <c r="F387" s="5">
        <v>70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1.15174</v>
      </c>
      <c r="F388" s="5">
        <v>70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1.1556</v>
      </c>
      <c r="F389" s="5">
        <v>66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1.1490199999999999</v>
      </c>
      <c r="F390" s="5">
        <v>70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1.10921</v>
      </c>
      <c r="F391" s="5">
        <v>20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1.11649</v>
      </c>
      <c r="F392" s="5">
        <v>20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1.11181</v>
      </c>
      <c r="F393" s="5">
        <v>21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1.11219</v>
      </c>
      <c r="F394" s="5">
        <v>21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1.1470800000000001</v>
      </c>
      <c r="F395" s="5">
        <v>21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1.1108199999999999</v>
      </c>
      <c r="F396" s="5">
        <v>21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1.14256</v>
      </c>
      <c r="F397" s="5">
        <v>22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1.1180300000000001</v>
      </c>
      <c r="F398" s="5">
        <v>21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1.14506</v>
      </c>
      <c r="F399" s="5">
        <v>22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1.1452</v>
      </c>
      <c r="F400" s="5">
        <v>22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2.5055800000000001</v>
      </c>
      <c r="F401" s="5">
        <v>46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2.5276299999999998</v>
      </c>
      <c r="F402" s="5">
        <v>48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2.48847</v>
      </c>
      <c r="F403" s="5">
        <v>46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2.51756</v>
      </c>
      <c r="F404" s="5">
        <v>48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2.5003600000000001</v>
      </c>
      <c r="F405" s="5">
        <v>47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2.50678</v>
      </c>
      <c r="F406" s="5">
        <v>46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2.5100600000000002</v>
      </c>
      <c r="F407" s="5">
        <v>47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2.4987699999999999</v>
      </c>
      <c r="F408" s="5">
        <v>47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2.50556</v>
      </c>
      <c r="F409" s="5">
        <v>46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2.51336</v>
      </c>
      <c r="F410" s="5">
        <v>48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2.7384499999999998</v>
      </c>
      <c r="F411" s="5">
        <v>49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2.7404000000000002</v>
      </c>
      <c r="F412" s="5">
        <v>51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2.7357900000000002</v>
      </c>
      <c r="F413" s="5">
        <v>50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2.7595700000000001</v>
      </c>
      <c r="F414" s="5">
        <v>51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2.7315700000000001</v>
      </c>
      <c r="F415" s="5">
        <v>51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2.7387800000000002</v>
      </c>
      <c r="F416" s="5">
        <v>50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2.7605400000000002</v>
      </c>
      <c r="F417" s="5">
        <v>51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2.7371400000000001</v>
      </c>
      <c r="F418" s="5">
        <v>51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2.7487200000000001</v>
      </c>
      <c r="F419" s="5">
        <v>50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2.7668400000000002</v>
      </c>
      <c r="F420" s="5">
        <v>51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3.06284</v>
      </c>
      <c r="F421" s="5">
        <v>22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3.0129100000000002</v>
      </c>
      <c r="F422" s="5">
        <v>22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3.0146299999999999</v>
      </c>
      <c r="F423" s="5">
        <v>22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3.0171100000000002</v>
      </c>
      <c r="F424" s="5">
        <v>22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3.0381399999999998</v>
      </c>
      <c r="F425" s="5">
        <v>22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3.0453000000000001</v>
      </c>
      <c r="F426" s="5">
        <v>22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3.02034</v>
      </c>
      <c r="F427" s="5">
        <v>22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3.02651</v>
      </c>
      <c r="F428" s="5">
        <v>22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2.99878</v>
      </c>
      <c r="F429" s="5">
        <v>22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3.0159600000000002</v>
      </c>
      <c r="F430" s="5">
        <v>22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3.7816399999999999</v>
      </c>
      <c r="F431" s="5">
        <v>27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3.8840300000000001</v>
      </c>
      <c r="F432" s="5">
        <v>28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3.7767499999999998</v>
      </c>
      <c r="F433" s="5">
        <v>27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3.7710699999999999</v>
      </c>
      <c r="F434" s="5">
        <v>24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3.7691699999999999</v>
      </c>
      <c r="F435" s="5">
        <v>25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3.7877200000000002</v>
      </c>
      <c r="F436" s="5">
        <v>24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3.7836599999999998</v>
      </c>
      <c r="F437" s="5">
        <v>25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3.7755399999999999</v>
      </c>
      <c r="F438" s="5">
        <v>24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3.8737599999999999</v>
      </c>
      <c r="F439" s="5">
        <v>25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3.89181</v>
      </c>
      <c r="F440" s="5">
        <v>25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5.5072299999999998</v>
      </c>
      <c r="F441" s="5">
        <v>34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5.6303999999999998</v>
      </c>
      <c r="F442" s="5">
        <v>33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5.4634600000000004</v>
      </c>
      <c r="F443" s="5">
        <v>29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5.57247</v>
      </c>
      <c r="F444" s="5">
        <v>34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5.4986600000000001</v>
      </c>
      <c r="F445" s="5">
        <v>34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5.6211200000000003</v>
      </c>
      <c r="F446" s="5">
        <v>34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5.5125799999999998</v>
      </c>
      <c r="F447" s="5">
        <v>32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5.6314599999999997</v>
      </c>
      <c r="F448" s="5">
        <v>30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5.5529299999999999</v>
      </c>
      <c r="F449" s="5">
        <v>34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5.46774</v>
      </c>
      <c r="F450" s="5">
        <v>32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U1"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0.54676999999999998</v>
      </c>
      <c r="F1" s="5">
        <v>22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0.54466000000000003</v>
      </c>
      <c r="F2" s="5">
        <v>23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0.55179999999999996</v>
      </c>
      <c r="F3" s="5">
        <v>21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170.35004000000001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0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0.54505000000000003</v>
      </c>
      <c r="F4" s="5">
        <v>21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0.54900000000000004</v>
      </c>
      <c r="F5" s="5">
        <v>24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0.55123999999999995</v>
      </c>
      <c r="F6" s="5">
        <v>20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0.55154999999999998</v>
      </c>
      <c r="F7" s="5">
        <v>19</v>
      </c>
      <c r="H7" s="5" t="s">
        <v>27</v>
      </c>
      <c r="I7" s="5">
        <v>50</v>
      </c>
      <c r="J7" s="5">
        <v>1</v>
      </c>
      <c r="L7" s="5">
        <f t="shared" ca="1" si="11"/>
        <v>180.67332999999999</v>
      </c>
      <c r="M7" s="5">
        <f t="shared" ca="1" si="0"/>
        <v>181.71333000000001</v>
      </c>
      <c r="N7" s="5">
        <f t="shared" ca="1" si="0"/>
        <v>180.05332999999999</v>
      </c>
      <c r="O7" s="5">
        <f t="shared" ca="1" si="0"/>
        <v>182.37101999999999</v>
      </c>
      <c r="P7" s="5">
        <f t="shared" ca="1" si="0"/>
        <v>181.91333</v>
      </c>
      <c r="Q7" s="5">
        <f t="shared" ca="1" si="0"/>
        <v>181.64518000000001</v>
      </c>
      <c r="R7" s="5">
        <f t="shared" ca="1" si="0"/>
        <v>180.05332999999999</v>
      </c>
      <c r="S7" s="5">
        <f t="shared" ca="1" si="0"/>
        <v>180.88135</v>
      </c>
      <c r="T7" s="5">
        <f t="shared" ca="1" si="0"/>
        <v>179.67332999999999</v>
      </c>
      <c r="U7" s="5">
        <f t="shared" ca="1" si="0"/>
        <v>179.94640000000001</v>
      </c>
      <c r="W7" s="5">
        <f t="shared" ca="1" si="12"/>
        <v>180.89239300000003</v>
      </c>
      <c r="Y7" s="5">
        <f ca="1">Total!E7</f>
        <v>179.67332999999999</v>
      </c>
      <c r="AB7" s="5">
        <f t="shared" ca="1" si="1"/>
        <v>5.5656562941200013E-3</v>
      </c>
      <c r="AC7" s="5">
        <f t="shared" ca="1" si="2"/>
        <v>1.1353938840004917E-2</v>
      </c>
      <c r="AD7" s="5">
        <f t="shared" ca="1" si="3"/>
        <v>2.1149493917655754E-3</v>
      </c>
      <c r="AE7" s="5">
        <f t="shared" ca="1" si="4"/>
        <v>1.5014415328084554E-2</v>
      </c>
      <c r="AF7" s="5">
        <f t="shared" ca="1" si="5"/>
        <v>1.2467070098828853E-2</v>
      </c>
      <c r="AG7" s="5">
        <f t="shared" ca="1" si="6"/>
        <v>1.0974639363560622E-2</v>
      </c>
      <c r="AH7" s="5">
        <f t="shared" ca="1" si="7"/>
        <v>2.1149493917655754E-3</v>
      </c>
      <c r="AI7" s="5">
        <f t="shared" ca="1" si="8"/>
        <v>6.72342411642287E-3</v>
      </c>
      <c r="AJ7" s="5">
        <f t="shared" ca="1" si="9"/>
        <v>0</v>
      </c>
      <c r="AK7" s="5">
        <f t="shared" ca="1" si="10"/>
        <v>1.5198137642354508E-3</v>
      </c>
      <c r="AM7" s="5">
        <f t="shared" ca="1" si="13"/>
        <v>6.7848856588788406E-2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0.55132000000000003</v>
      </c>
      <c r="F8" s="5">
        <v>26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0.55776000000000003</v>
      </c>
      <c r="F9" s="5">
        <v>24</v>
      </c>
      <c r="H9" s="5" t="s">
        <v>27</v>
      </c>
      <c r="I9" s="5">
        <v>100</v>
      </c>
      <c r="J9" s="5">
        <v>0.7</v>
      </c>
      <c r="L9" s="5">
        <f t="shared" ca="1" si="11"/>
        <v>259.16113000000001</v>
      </c>
      <c r="M9" s="5">
        <f t="shared" ca="1" si="0"/>
        <v>258.56732</v>
      </c>
      <c r="N9" s="5">
        <f t="shared" ca="1" si="0"/>
        <v>259.64062999999999</v>
      </c>
      <c r="O9" s="5">
        <f t="shared" ca="1" si="0"/>
        <v>256.97374000000002</v>
      </c>
      <c r="P9" s="5">
        <f t="shared" ca="1" si="0"/>
        <v>259.23549000000003</v>
      </c>
      <c r="Q9" s="5">
        <f t="shared" ca="1" si="0"/>
        <v>258.95751999999999</v>
      </c>
      <c r="R9" s="5">
        <f t="shared" ca="1" si="0"/>
        <v>259.13391000000001</v>
      </c>
      <c r="S9" s="5">
        <f t="shared" ca="1" si="0"/>
        <v>258.06398000000002</v>
      </c>
      <c r="T9" s="5">
        <f t="shared" ca="1" si="0"/>
        <v>256.41953000000001</v>
      </c>
      <c r="U9" s="5">
        <f t="shared" ca="1" si="0"/>
        <v>256.53282999999999</v>
      </c>
      <c r="W9" s="5">
        <f t="shared" ca="1" si="12"/>
        <v>258.26860800000003</v>
      </c>
      <c r="Y9" s="5">
        <f ca="1">Total!E9</f>
        <v>255.18879999999999</v>
      </c>
      <c r="AB9" s="5">
        <f t="shared" ca="1" si="1"/>
        <v>1.5566239584182488E-2</v>
      </c>
      <c r="AC9" s="5">
        <f t="shared" ca="1" si="2"/>
        <v>1.3239295768466363E-2</v>
      </c>
      <c r="AD9" s="5">
        <f t="shared" ca="1" si="3"/>
        <v>1.7445240543472133E-2</v>
      </c>
      <c r="AE9" s="5">
        <f t="shared" ca="1" si="4"/>
        <v>6.9945859692903236E-3</v>
      </c>
      <c r="AF9" s="5">
        <f t="shared" ca="1" si="5"/>
        <v>1.5857631682895335E-2</v>
      </c>
      <c r="AG9" s="5">
        <f t="shared" ca="1" si="6"/>
        <v>1.4768359739925898E-2</v>
      </c>
      <c r="AH9" s="5">
        <f t="shared" ca="1" si="7"/>
        <v>1.5459573460904352E-2</v>
      </c>
      <c r="AI9" s="5">
        <f t="shared" ca="1" si="8"/>
        <v>1.126687378129459E-2</v>
      </c>
      <c r="AJ9" s="5">
        <f t="shared" ca="1" si="9"/>
        <v>4.8228213777408045E-3</v>
      </c>
      <c r="AK9" s="5">
        <f t="shared" ca="1" si="10"/>
        <v>5.2668063802173279E-3</v>
      </c>
      <c r="AM9" s="5">
        <f t="shared" ca="1" si="13"/>
        <v>0.12068742828838962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0.55345999999999995</v>
      </c>
      <c r="F10" s="5">
        <v>25</v>
      </c>
      <c r="H10" s="5" t="s">
        <v>27</v>
      </c>
      <c r="I10" s="5">
        <v>100</v>
      </c>
      <c r="J10" s="5">
        <v>1</v>
      </c>
      <c r="L10" s="5">
        <f t="shared" ca="1" si="11"/>
        <v>239.35479000000001</v>
      </c>
      <c r="M10" s="5">
        <f t="shared" ca="1" si="0"/>
        <v>239.36</v>
      </c>
      <c r="N10" s="5">
        <f t="shared" ca="1" si="0"/>
        <v>239.09372999999999</v>
      </c>
      <c r="O10" s="5">
        <f t="shared" ca="1" si="0"/>
        <v>239.30053000000001</v>
      </c>
      <c r="P10" s="5">
        <f t="shared" ca="1" si="0"/>
        <v>239.07052999999999</v>
      </c>
      <c r="Q10" s="5">
        <f t="shared" ca="1" si="0"/>
        <v>239.03372999999999</v>
      </c>
      <c r="R10" s="5">
        <f t="shared" ca="1" si="0"/>
        <v>240.08332999999999</v>
      </c>
      <c r="S10" s="5">
        <f t="shared" ca="1" si="0"/>
        <v>238.99985000000001</v>
      </c>
      <c r="T10" s="5">
        <f t="shared" ca="1" si="0"/>
        <v>238.98052999999999</v>
      </c>
      <c r="U10" s="5">
        <f t="shared" ca="1" si="0"/>
        <v>239.09255999999999</v>
      </c>
      <c r="W10" s="5">
        <f t="shared" ca="1" si="12"/>
        <v>239.23695800000002</v>
      </c>
      <c r="Y10" s="5">
        <f ca="1">Total!E10</f>
        <v>238.77667</v>
      </c>
      <c r="AB10" s="5">
        <f t="shared" ca="1" si="1"/>
        <v>2.42117456450001E-3</v>
      </c>
      <c r="AC10" s="5">
        <f t="shared" ca="1" si="2"/>
        <v>2.4429941166363442E-3</v>
      </c>
      <c r="AD10" s="5">
        <f t="shared" ca="1" si="3"/>
        <v>1.327851669930726E-3</v>
      </c>
      <c r="AE10" s="5">
        <f t="shared" ca="1" si="4"/>
        <v>2.1939329332300904E-3</v>
      </c>
      <c r="AF10" s="5">
        <f t="shared" ca="1" si="5"/>
        <v>1.2306897487095163E-3</v>
      </c>
      <c r="AG10" s="5">
        <f t="shared" ca="1" si="6"/>
        <v>1.0765708391862389E-3</v>
      </c>
      <c r="AH10" s="5">
        <f t="shared" ca="1" si="7"/>
        <v>5.472310171676294E-3</v>
      </c>
      <c r="AI10" s="5">
        <f t="shared" ca="1" si="8"/>
        <v>9.3468093009259855E-4</v>
      </c>
      <c r="AJ10" s="5">
        <f t="shared" ca="1" si="9"/>
        <v>8.5376850259278562E-4</v>
      </c>
      <c r="AK10" s="5">
        <f t="shared" ca="1" si="10"/>
        <v>1.3229516937312009E-3</v>
      </c>
      <c r="AM10" s="5">
        <f t="shared" ca="1" si="13"/>
        <v>1.9276925170285803E-2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1.4298200000000001</v>
      </c>
      <c r="F11" s="5">
        <v>78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1.4354499999999999</v>
      </c>
      <c r="F12" s="5">
        <v>80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1.4213100000000001</v>
      </c>
      <c r="F13" s="5">
        <v>76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1.4317500000000001</v>
      </c>
      <c r="F14" s="5">
        <v>82</v>
      </c>
      <c r="H14" s="5" t="s">
        <v>2</v>
      </c>
      <c r="I14" s="5">
        <v>47</v>
      </c>
      <c r="J14" s="5">
        <v>0.4</v>
      </c>
      <c r="L14" s="5">
        <f t="shared" ca="1" si="11"/>
        <v>4348.0289499999999</v>
      </c>
      <c r="M14" s="5">
        <f t="shared" ca="1" si="0"/>
        <v>4348.0289499999999</v>
      </c>
      <c r="N14" s="5">
        <f t="shared" ca="1" si="0"/>
        <v>4348.0289499999999</v>
      </c>
      <c r="O14" s="5">
        <f t="shared" ca="1" si="0"/>
        <v>4348.0289499999999</v>
      </c>
      <c r="P14" s="5">
        <f t="shared" ca="1" si="0"/>
        <v>4348.0289499999999</v>
      </c>
      <c r="Q14" s="5">
        <f t="shared" ca="1" si="0"/>
        <v>4348.0289499999999</v>
      </c>
      <c r="R14" s="5">
        <f t="shared" ca="1" si="0"/>
        <v>4348.0289499999999</v>
      </c>
      <c r="S14" s="5">
        <f t="shared" ca="1" si="0"/>
        <v>4348.0289499999999</v>
      </c>
      <c r="T14" s="5">
        <f t="shared" ca="1" si="0"/>
        <v>4348.0289499999999</v>
      </c>
      <c r="U14" s="5">
        <f t="shared" ca="1" si="0"/>
        <v>4348.0289499999999</v>
      </c>
      <c r="W14" s="5">
        <f t="shared" ca="1" si="12"/>
        <v>4348.0289499999999</v>
      </c>
      <c r="Y14" s="5">
        <f ca="1">Total!E14</f>
        <v>4348.0289499999999</v>
      </c>
      <c r="AB14" s="5">
        <f t="shared" ca="1" si="1"/>
        <v>0</v>
      </c>
      <c r="AC14" s="5">
        <f t="shared" ca="1" si="2"/>
        <v>0</v>
      </c>
      <c r="AD14" s="5">
        <f t="shared" ca="1" si="3"/>
        <v>0</v>
      </c>
      <c r="AE14" s="5">
        <f t="shared" ca="1" si="4"/>
        <v>0</v>
      </c>
      <c r="AF14" s="5">
        <f t="shared" ca="1" si="5"/>
        <v>0</v>
      </c>
      <c r="AG14" s="5">
        <f t="shared" ca="1" si="6"/>
        <v>0</v>
      </c>
      <c r="AH14" s="5">
        <f t="shared" ca="1" si="7"/>
        <v>0</v>
      </c>
      <c r="AI14" s="5">
        <f t="shared" ca="1" si="8"/>
        <v>0</v>
      </c>
      <c r="AJ14" s="5">
        <f t="shared" ca="1" si="9"/>
        <v>0</v>
      </c>
      <c r="AK14" s="5">
        <f t="shared" ca="1" si="10"/>
        <v>0</v>
      </c>
      <c r="AM14" s="5">
        <f t="shared" ca="1" si="13"/>
        <v>0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1.4234800000000001</v>
      </c>
      <c r="F15" s="5">
        <v>84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1.4261600000000001</v>
      </c>
      <c r="F16" s="5">
        <v>78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1.4223399999999999</v>
      </c>
      <c r="F17" s="5">
        <v>82</v>
      </c>
      <c r="H17" s="5" t="s">
        <v>2</v>
      </c>
      <c r="I17" s="5">
        <v>100</v>
      </c>
      <c r="J17" s="5">
        <v>0.4</v>
      </c>
      <c r="L17" s="5">
        <f t="shared" ca="1" si="11"/>
        <v>42988.218220000002</v>
      </c>
      <c r="M17" s="5">
        <f t="shared" ca="1" si="0"/>
        <v>42986.853589999999</v>
      </c>
      <c r="N17" s="5">
        <f t="shared" ca="1" si="0"/>
        <v>42986.673049999998</v>
      </c>
      <c r="O17" s="5">
        <f t="shared" ca="1" si="0"/>
        <v>42987.644590000004</v>
      </c>
      <c r="P17" s="5">
        <f t="shared" ca="1" si="0"/>
        <v>42986.802479999998</v>
      </c>
      <c r="Q17" s="5">
        <f t="shared" ca="1" si="0"/>
        <v>42986.802479999998</v>
      </c>
      <c r="R17" s="5">
        <f t="shared" ca="1" si="0"/>
        <v>42987.113590000001</v>
      </c>
      <c r="S17" s="5">
        <f t="shared" ca="1" si="0"/>
        <v>42987.644590000004</v>
      </c>
      <c r="T17" s="5">
        <f t="shared" ca="1" si="0"/>
        <v>42986.836920000002</v>
      </c>
      <c r="U17" s="5">
        <f t="shared" ca="1" si="0"/>
        <v>42986.673049999998</v>
      </c>
      <c r="W17" s="5">
        <f t="shared" ca="1" si="12"/>
        <v>42987.126255999996</v>
      </c>
      <c r="Y17" s="5">
        <f ca="1">Total!E17</f>
        <v>42986.193919999998</v>
      </c>
      <c r="AB17" s="5">
        <f t="shared" ca="1" si="1"/>
        <v>4.7091864047604123E-5</v>
      </c>
      <c r="AC17" s="5">
        <f t="shared" ca="1" si="2"/>
        <v>1.5346089984812385E-5</v>
      </c>
      <c r="AD17" s="5">
        <f t="shared" ca="1" si="3"/>
        <v>1.1146136847830832E-5</v>
      </c>
      <c r="AE17" s="5">
        <f t="shared" ca="1" si="4"/>
        <v>3.3747346943658645E-5</v>
      </c>
      <c r="AF17" s="5">
        <f t="shared" ca="1" si="5"/>
        <v>1.4157103583842479E-5</v>
      </c>
      <c r="AG17" s="5">
        <f t="shared" ca="1" si="6"/>
        <v>1.4157103583842479E-5</v>
      </c>
      <c r="AH17" s="5">
        <f t="shared" ca="1" si="7"/>
        <v>2.1394543599615166E-5</v>
      </c>
      <c r="AI17" s="5">
        <f t="shared" ca="1" si="8"/>
        <v>3.3747346943658645E-5</v>
      </c>
      <c r="AJ17" s="5">
        <f t="shared" ca="1" si="9"/>
        <v>1.4958291055038052E-5</v>
      </c>
      <c r="AK17" s="5">
        <f t="shared" ca="1" si="10"/>
        <v>1.1146136847830832E-5</v>
      </c>
      <c r="AM17" s="5">
        <f t="shared" ca="1" si="13"/>
        <v>2.1689196343773365E-4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1.42961</v>
      </c>
      <c r="F18" s="5">
        <v>82</v>
      </c>
      <c r="H18" s="5" t="s">
        <v>2</v>
      </c>
      <c r="I18" s="5">
        <v>100</v>
      </c>
      <c r="J18" s="5">
        <v>0.7</v>
      </c>
      <c r="L18" s="5">
        <f t="shared" ca="1" si="11"/>
        <v>35673.107629999999</v>
      </c>
      <c r="M18" s="5">
        <f t="shared" ca="1" si="11"/>
        <v>35826.982969999997</v>
      </c>
      <c r="N18" s="5">
        <f t="shared" ca="1" si="11"/>
        <v>35797.807240000002</v>
      </c>
      <c r="O18" s="5">
        <f t="shared" ca="1" si="11"/>
        <v>35814.935790000003</v>
      </c>
      <c r="P18" s="5">
        <f t="shared" ca="1" si="11"/>
        <v>35752.439120000003</v>
      </c>
      <c r="Q18" s="5">
        <f t="shared" ca="1" si="11"/>
        <v>35751.015509999997</v>
      </c>
      <c r="R18" s="5">
        <f t="shared" ca="1" si="11"/>
        <v>35739.731269999997</v>
      </c>
      <c r="S18" s="5">
        <f t="shared" ca="1" si="11"/>
        <v>35799.027450000001</v>
      </c>
      <c r="T18" s="5">
        <f t="shared" ca="1" si="11"/>
        <v>35689.659350000002</v>
      </c>
      <c r="U18" s="5">
        <f t="shared" ca="1" si="11"/>
        <v>35808.534110000001</v>
      </c>
      <c r="W18" s="5">
        <f t="shared" ca="1" si="12"/>
        <v>35765.324043999994</v>
      </c>
      <c r="Y18" s="5">
        <f ca="1">Total!E18</f>
        <v>35336.072039999999</v>
      </c>
      <c r="AB18" s="5">
        <f t="shared" ca="1" si="1"/>
        <v>9.5380038171327969E-3</v>
      </c>
      <c r="AC18" s="5">
        <f t="shared" ca="1" si="2"/>
        <v>1.3892628740520255E-2</v>
      </c>
      <c r="AD18" s="5">
        <f t="shared" ca="1" si="3"/>
        <v>1.3066964530673478E-2</v>
      </c>
      <c r="AE18" s="5">
        <f t="shared" ca="1" si="4"/>
        <v>1.3551697241785567E-2</v>
      </c>
      <c r="AF18" s="5">
        <f t="shared" ca="1" si="5"/>
        <v>1.1783060650563571E-2</v>
      </c>
      <c r="AG18" s="5">
        <f t="shared" ca="1" si="6"/>
        <v>1.1742772924231291E-2</v>
      </c>
      <c r="AH18" s="5">
        <f t="shared" ca="1" si="7"/>
        <v>1.1423432393477696E-2</v>
      </c>
      <c r="AI18" s="5">
        <f t="shared" ca="1" si="8"/>
        <v>1.3101496099395045E-2</v>
      </c>
      <c r="AJ18" s="5">
        <f t="shared" ca="1" si="9"/>
        <v>1.0006412416177614E-2</v>
      </c>
      <c r="AK18" s="5">
        <f t="shared" ca="1" si="10"/>
        <v>1.3370531661390664E-2</v>
      </c>
      <c r="AM18" s="5">
        <f t="shared" ca="1" si="13"/>
        <v>0.12147700047534797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1.43282</v>
      </c>
      <c r="F19" s="5">
        <v>77</v>
      </c>
      <c r="H19" s="5" t="s">
        <v>2</v>
      </c>
      <c r="I19" s="5">
        <v>100</v>
      </c>
      <c r="J19" s="5">
        <v>1</v>
      </c>
      <c r="L19" s="5">
        <f t="shared" ca="1" si="11"/>
        <v>35211.56</v>
      </c>
      <c r="M19" s="5">
        <f t="shared" ca="1" si="11"/>
        <v>35383.267310000003</v>
      </c>
      <c r="N19" s="5">
        <f t="shared" ca="1" si="11"/>
        <v>35426.36333</v>
      </c>
      <c r="O19" s="5">
        <f t="shared" ca="1" si="11"/>
        <v>35256.457369999996</v>
      </c>
      <c r="P19" s="5">
        <f t="shared" ca="1" si="11"/>
        <v>35221.436130000002</v>
      </c>
      <c r="Q19" s="5">
        <f t="shared" ca="1" si="11"/>
        <v>35496.117460000001</v>
      </c>
      <c r="R19" s="5">
        <f t="shared" ca="1" si="11"/>
        <v>35276.931960000002</v>
      </c>
      <c r="S19" s="5">
        <f t="shared" ca="1" si="11"/>
        <v>35227.300000000003</v>
      </c>
      <c r="T19" s="5">
        <f t="shared" ca="1" si="11"/>
        <v>35423.150629999996</v>
      </c>
      <c r="U19" s="5">
        <f t="shared" ca="1" si="11"/>
        <v>35565.716549999997</v>
      </c>
      <c r="W19" s="5">
        <f t="shared" ca="1" si="12"/>
        <v>35348.830073999998</v>
      </c>
      <c r="Y19" s="5">
        <f ca="1">Total!E19</f>
        <v>35203.853329999998</v>
      </c>
      <c r="AB19" s="5">
        <f t="shared" ca="1" si="1"/>
        <v>2.1891552404100352E-4</v>
      </c>
      <c r="AC19" s="5">
        <f t="shared" ca="1" si="2"/>
        <v>5.0964301639988916E-3</v>
      </c>
      <c r="AD19" s="5">
        <f t="shared" ca="1" si="3"/>
        <v>6.3206149029823282E-3</v>
      </c>
      <c r="AE19" s="5">
        <f t="shared" ca="1" si="4"/>
        <v>1.4942693774709676E-3</v>
      </c>
      <c r="AF19" s="5">
        <f t="shared" ca="1" si="5"/>
        <v>4.9945668831144886E-4</v>
      </c>
      <c r="AG19" s="5">
        <f t="shared" ca="1" si="6"/>
        <v>8.3020494165887727E-3</v>
      </c>
      <c r="AH19" s="5">
        <f t="shared" ca="1" si="7"/>
        <v>2.0758701984969216E-3</v>
      </c>
      <c r="AI19" s="5">
        <f t="shared" ca="1" si="8"/>
        <v>6.6602566998039516E-4</v>
      </c>
      <c r="AJ19" s="5">
        <f t="shared" ca="1" si="9"/>
        <v>6.2293550068031256E-3</v>
      </c>
      <c r="AK19" s="5">
        <f t="shared" ca="1" si="10"/>
        <v>1.0279079866851591E-2</v>
      </c>
      <c r="AM19" s="5">
        <f t="shared" ca="1" si="13"/>
        <v>4.1182066815525442E-2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1.4227799999999999</v>
      </c>
      <c r="F20" s="5">
        <v>81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1.7721100000000001</v>
      </c>
      <c r="F21" s="5">
        <v>93</v>
      </c>
      <c r="H21" s="5" t="s">
        <v>1</v>
      </c>
      <c r="I21" s="5">
        <v>30</v>
      </c>
      <c r="J21" s="5">
        <v>0.7</v>
      </c>
      <c r="L21" s="5">
        <f t="shared" ca="1" si="11"/>
        <v>675.36989000000005</v>
      </c>
      <c r="M21" s="5">
        <f t="shared" ca="1" si="11"/>
        <v>675.36989000000005</v>
      </c>
      <c r="N21" s="5">
        <f t="shared" ca="1" si="11"/>
        <v>675.36989000000005</v>
      </c>
      <c r="O21" s="5">
        <f t="shared" ca="1" si="11"/>
        <v>675.36989000000005</v>
      </c>
      <c r="P21" s="5">
        <f t="shared" ca="1" si="11"/>
        <v>675.36989000000005</v>
      </c>
      <c r="Q21" s="5">
        <f t="shared" ca="1" si="11"/>
        <v>675.36989000000005</v>
      </c>
      <c r="R21" s="5">
        <f t="shared" ca="1" si="11"/>
        <v>675.36989000000005</v>
      </c>
      <c r="S21" s="5">
        <f t="shared" ca="1" si="11"/>
        <v>675.36989000000005</v>
      </c>
      <c r="T21" s="5">
        <f t="shared" ca="1" si="11"/>
        <v>675.36989000000005</v>
      </c>
      <c r="U21" s="5">
        <f t="shared" ca="1" si="11"/>
        <v>675.36989000000005</v>
      </c>
      <c r="W21" s="5">
        <f t="shared" ca="1" si="12"/>
        <v>675.36989000000005</v>
      </c>
      <c r="Y21" s="5">
        <f ca="1">Total!E21</f>
        <v>675.36581000000001</v>
      </c>
      <c r="AB21" s="5">
        <f t="shared" ca="1" si="1"/>
        <v>6.0411704881010963E-6</v>
      </c>
      <c r="AC21" s="5">
        <f t="shared" ca="1" si="2"/>
        <v>6.0411704881010963E-6</v>
      </c>
      <c r="AD21" s="5">
        <f t="shared" ca="1" si="3"/>
        <v>6.0411704881010963E-6</v>
      </c>
      <c r="AE21" s="5">
        <f t="shared" ca="1" si="4"/>
        <v>6.0411704881010963E-6</v>
      </c>
      <c r="AF21" s="5">
        <f t="shared" ca="1" si="5"/>
        <v>6.0411704881010963E-6</v>
      </c>
      <c r="AG21" s="5">
        <f t="shared" ca="1" si="6"/>
        <v>6.0411704881010963E-6</v>
      </c>
      <c r="AH21" s="5">
        <f t="shared" ca="1" si="7"/>
        <v>6.0411704881010963E-6</v>
      </c>
      <c r="AI21" s="5">
        <f t="shared" ca="1" si="8"/>
        <v>6.0411704881010963E-6</v>
      </c>
      <c r="AJ21" s="5">
        <f t="shared" ca="1" si="9"/>
        <v>6.0411704881010963E-6</v>
      </c>
      <c r="AK21" s="5">
        <f t="shared" ca="1" si="10"/>
        <v>6.0411704881010963E-6</v>
      </c>
      <c r="AM21" s="5">
        <f t="shared" ca="1" si="13"/>
        <v>6.041170488101097E-5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1.7766599999999999</v>
      </c>
      <c r="F22" s="5">
        <v>101</v>
      </c>
      <c r="H22" s="5" t="s">
        <v>1</v>
      </c>
      <c r="I22" s="5">
        <v>30</v>
      </c>
      <c r="J22" s="5">
        <v>1</v>
      </c>
      <c r="L22" s="5">
        <f t="shared" ca="1" si="11"/>
        <v>655.43295999999998</v>
      </c>
      <c r="M22" s="5">
        <f t="shared" ca="1" si="11"/>
        <v>657.32380999999998</v>
      </c>
      <c r="N22" s="5">
        <f t="shared" ca="1" si="11"/>
        <v>657.32380999999998</v>
      </c>
      <c r="O22" s="5">
        <f t="shared" ca="1" si="11"/>
        <v>657.32992999999999</v>
      </c>
      <c r="P22" s="5">
        <f t="shared" ca="1" si="11"/>
        <v>655.43295999999998</v>
      </c>
      <c r="Q22" s="5">
        <f t="shared" ca="1" si="11"/>
        <v>655.46475999999996</v>
      </c>
      <c r="R22" s="5">
        <f t="shared" ca="1" si="11"/>
        <v>656.34204</v>
      </c>
      <c r="S22" s="5">
        <f t="shared" ca="1" si="11"/>
        <v>657.32992999999999</v>
      </c>
      <c r="T22" s="5">
        <f t="shared" ca="1" si="11"/>
        <v>655.43295999999998</v>
      </c>
      <c r="U22" s="5">
        <f t="shared" ca="1" si="11"/>
        <v>655.43907999999999</v>
      </c>
      <c r="W22" s="5">
        <f t="shared" ca="1" si="12"/>
        <v>656.28522399999997</v>
      </c>
      <c r="Y22" s="5">
        <f ca="1">Total!E22</f>
        <v>655.43295999999998</v>
      </c>
      <c r="AB22" s="5">
        <f t="shared" ca="1" si="1"/>
        <v>0</v>
      </c>
      <c r="AC22" s="5">
        <f t="shared" ca="1" si="2"/>
        <v>2.8848869608266272E-3</v>
      </c>
      <c r="AD22" s="5">
        <f t="shared" ca="1" si="3"/>
        <v>2.8848869608266272E-3</v>
      </c>
      <c r="AE22" s="5">
        <f t="shared" ca="1" si="4"/>
        <v>2.8942243002244047E-3</v>
      </c>
      <c r="AF22" s="5">
        <f t="shared" ca="1" si="5"/>
        <v>0</v>
      </c>
      <c r="AG22" s="5">
        <f t="shared" ca="1" si="6"/>
        <v>4.8517547851080951E-5</v>
      </c>
      <c r="AH22" s="5">
        <f t="shared" ca="1" si="7"/>
        <v>1.3869915849212362E-3</v>
      </c>
      <c r="AI22" s="5">
        <f t="shared" ca="1" si="8"/>
        <v>2.8942243002244047E-3</v>
      </c>
      <c r="AJ22" s="5">
        <f t="shared" ca="1" si="9"/>
        <v>0</v>
      </c>
      <c r="AK22" s="5">
        <f t="shared" ca="1" si="10"/>
        <v>9.337339397777456E-6</v>
      </c>
      <c r="AM22" s="5">
        <f t="shared" ca="1" si="13"/>
        <v>1.3003068994272159E-2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1.7771300000000001</v>
      </c>
      <c r="F23" s="5">
        <v>97</v>
      </c>
      <c r="H23" s="5" t="s">
        <v>1</v>
      </c>
      <c r="I23" s="5">
        <v>50</v>
      </c>
      <c r="J23" s="5">
        <v>0.4</v>
      </c>
      <c r="L23" s="5">
        <f t="shared" ca="1" si="11"/>
        <v>1460.0209400000001</v>
      </c>
      <c r="M23" s="5">
        <f t="shared" ca="1" si="11"/>
        <v>1459.9687899999999</v>
      </c>
      <c r="N23" s="5">
        <f t="shared" ca="1" si="11"/>
        <v>1459.9687899999999</v>
      </c>
      <c r="O23" s="5">
        <f t="shared" ca="1" si="11"/>
        <v>1459.9687899999999</v>
      </c>
      <c r="P23" s="5">
        <f t="shared" ca="1" si="11"/>
        <v>1460.81727</v>
      </c>
      <c r="Q23" s="5">
        <f t="shared" ca="1" si="11"/>
        <v>1459.9687899999999</v>
      </c>
      <c r="R23" s="5">
        <f t="shared" ca="1" si="11"/>
        <v>1459.9687899999999</v>
      </c>
      <c r="S23" s="5">
        <f t="shared" ca="1" si="11"/>
        <v>1459.9687899999999</v>
      </c>
      <c r="T23" s="5">
        <f t="shared" ca="1" si="11"/>
        <v>1459.9687899999999</v>
      </c>
      <c r="U23" s="5">
        <f t="shared" ca="1" si="11"/>
        <v>1460.0209400000001</v>
      </c>
      <c r="W23" s="5">
        <f t="shared" ca="1" si="12"/>
        <v>1460.0640679999999</v>
      </c>
      <c r="Y23" s="5">
        <f ca="1">Total!E23</f>
        <v>1459.9687899999999</v>
      </c>
      <c r="AB23" s="5">
        <f t="shared" ca="1" si="1"/>
        <v>3.5719941657253266E-5</v>
      </c>
      <c r="AC23" s="5">
        <f t="shared" ca="1" si="2"/>
        <v>0</v>
      </c>
      <c r="AD23" s="5">
        <f t="shared" ca="1" si="3"/>
        <v>0</v>
      </c>
      <c r="AE23" s="5">
        <f t="shared" ca="1" si="4"/>
        <v>0</v>
      </c>
      <c r="AF23" s="5">
        <f t="shared" ca="1" si="5"/>
        <v>5.8116310828816326E-4</v>
      </c>
      <c r="AG23" s="5">
        <f t="shared" ca="1" si="6"/>
        <v>0</v>
      </c>
      <c r="AH23" s="5">
        <f t="shared" ca="1" si="7"/>
        <v>0</v>
      </c>
      <c r="AI23" s="5">
        <f t="shared" ca="1" si="8"/>
        <v>0</v>
      </c>
      <c r="AJ23" s="5">
        <f t="shared" ca="1" si="9"/>
        <v>0</v>
      </c>
      <c r="AK23" s="5">
        <f t="shared" ca="1" si="10"/>
        <v>3.5719941657253266E-5</v>
      </c>
      <c r="AM23" s="5">
        <f t="shared" ca="1" si="13"/>
        <v>6.5260299160266983E-4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1.7716099999999999</v>
      </c>
      <c r="F24" s="5">
        <v>100</v>
      </c>
      <c r="H24" s="5" t="s">
        <v>1</v>
      </c>
      <c r="I24" s="5">
        <v>50</v>
      </c>
      <c r="J24" s="5">
        <v>0.7</v>
      </c>
      <c r="L24" s="5">
        <f t="shared" ca="1" si="11"/>
        <v>1016.70532</v>
      </c>
      <c r="M24" s="5">
        <f t="shared" ca="1" si="11"/>
        <v>1017.54333</v>
      </c>
      <c r="N24" s="5">
        <f t="shared" ca="1" si="11"/>
        <v>1011.69742</v>
      </c>
      <c r="O24" s="5">
        <f t="shared" ca="1" si="11"/>
        <v>1014.94335</v>
      </c>
      <c r="P24" s="5">
        <f t="shared" ca="1" si="11"/>
        <v>1026.05576</v>
      </c>
      <c r="Q24" s="5">
        <f t="shared" ca="1" si="11"/>
        <v>1026.49721</v>
      </c>
      <c r="R24" s="5">
        <f t="shared" ca="1" si="11"/>
        <v>1018.33901</v>
      </c>
      <c r="S24" s="5">
        <f t="shared" ca="1" si="11"/>
        <v>1015.7056700000001</v>
      </c>
      <c r="T24" s="5">
        <f t="shared" ca="1" si="11"/>
        <v>1013.59941</v>
      </c>
      <c r="U24" s="5">
        <f t="shared" ca="1" si="11"/>
        <v>1009.95397</v>
      </c>
      <c r="W24" s="5">
        <f t="shared" ca="1" si="12"/>
        <v>1017.104045</v>
      </c>
      <c r="Y24" s="5">
        <f ca="1">Total!E24</f>
        <v>1005.95063</v>
      </c>
      <c r="AB24" s="5">
        <f t="shared" ca="1" si="1"/>
        <v>1.0691071389855367E-2</v>
      </c>
      <c r="AC24" s="5">
        <f t="shared" ca="1" si="2"/>
        <v>1.1524124200806875E-2</v>
      </c>
      <c r="AD24" s="5">
        <f t="shared" ca="1" si="3"/>
        <v>5.7127952690878264E-3</v>
      </c>
      <c r="AE24" s="5">
        <f t="shared" ca="1" si="4"/>
        <v>8.9395241991149822E-3</v>
      </c>
      <c r="AF24" s="5">
        <f t="shared" ca="1" si="5"/>
        <v>1.998619952154105E-2</v>
      </c>
      <c r="AG24" s="5">
        <f t="shared" ca="1" si="6"/>
        <v>2.0425038155202455E-2</v>
      </c>
      <c r="AH24" s="5">
        <f t="shared" ca="1" si="7"/>
        <v>1.231509741188788E-2</v>
      </c>
      <c r="AI24" s="5">
        <f t="shared" ca="1" si="8"/>
        <v>9.6973347489230245E-3</v>
      </c>
      <c r="AJ24" s="5">
        <f t="shared" ca="1" si="9"/>
        <v>7.6035341813941578E-3</v>
      </c>
      <c r="AK24" s="5">
        <f t="shared" ca="1" si="10"/>
        <v>3.9796585245937769E-3</v>
      </c>
      <c r="AM24" s="5">
        <f t="shared" ca="1" si="13"/>
        <v>0.1108743776024074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1.7821400000000001</v>
      </c>
      <c r="F25" s="5">
        <v>101</v>
      </c>
      <c r="H25" s="5" t="s">
        <v>1</v>
      </c>
      <c r="I25" s="5">
        <v>50</v>
      </c>
      <c r="J25" s="5">
        <v>1</v>
      </c>
      <c r="L25" s="5">
        <f t="shared" ca="1" si="11"/>
        <v>995.35902999999996</v>
      </c>
      <c r="M25" s="5">
        <f t="shared" ca="1" si="11"/>
        <v>1002.89333</v>
      </c>
      <c r="N25" s="5">
        <f t="shared" ca="1" si="11"/>
        <v>994.34202000000005</v>
      </c>
      <c r="O25" s="5">
        <f t="shared" ca="1" si="11"/>
        <v>992.39783</v>
      </c>
      <c r="P25" s="5">
        <f t="shared" ca="1" si="11"/>
        <v>993.31470000000002</v>
      </c>
      <c r="Q25" s="5">
        <f t="shared" ca="1" si="11"/>
        <v>1001.89978</v>
      </c>
      <c r="R25" s="5">
        <f t="shared" ca="1" si="11"/>
        <v>995.02832000000001</v>
      </c>
      <c r="S25" s="5">
        <f t="shared" ca="1" si="11"/>
        <v>1002.41707</v>
      </c>
      <c r="T25" s="5">
        <f t="shared" ca="1" si="11"/>
        <v>997.45785000000001</v>
      </c>
      <c r="U25" s="5">
        <f t="shared" ca="1" si="11"/>
        <v>996.08667000000003</v>
      </c>
      <c r="W25" s="5">
        <f t="shared" ca="1" si="12"/>
        <v>997.11966000000007</v>
      </c>
      <c r="Y25" s="5">
        <f ca="1">Total!E25</f>
        <v>990.69820000000004</v>
      </c>
      <c r="AB25" s="5">
        <f t="shared" ca="1" si="1"/>
        <v>4.70459116610883E-3</v>
      </c>
      <c r="AC25" s="5">
        <f t="shared" ca="1" si="2"/>
        <v>1.2309631732448841E-2</v>
      </c>
      <c r="AD25" s="5">
        <f t="shared" ca="1" si="3"/>
        <v>3.678032321043891E-3</v>
      </c>
      <c r="AE25" s="5">
        <f t="shared" ca="1" si="4"/>
        <v>1.7155880569884516E-3</v>
      </c>
      <c r="AF25" s="5">
        <f t="shared" ca="1" si="5"/>
        <v>2.6410666739880759E-3</v>
      </c>
      <c r="AG25" s="5">
        <f t="shared" ca="1" si="6"/>
        <v>1.1306753156511157E-2</v>
      </c>
      <c r="AH25" s="5">
        <f t="shared" ca="1" si="7"/>
        <v>4.3707760849873E-3</v>
      </c>
      <c r="AI25" s="5">
        <f t="shared" ca="1" si="8"/>
        <v>1.1828900062602237E-2</v>
      </c>
      <c r="AJ25" s="5">
        <f t="shared" ca="1" si="9"/>
        <v>6.823117272242914E-3</v>
      </c>
      <c r="AK25" s="5">
        <f t="shared" ca="1" si="10"/>
        <v>5.4390630769289615E-3</v>
      </c>
      <c r="AM25" s="5">
        <f t="shared" ca="1" si="13"/>
        <v>6.4817519603850668E-2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1.7715000000000001</v>
      </c>
      <c r="F26" s="5">
        <v>96</v>
      </c>
      <c r="H26" s="5" t="s">
        <v>1</v>
      </c>
      <c r="I26" s="5">
        <v>100</v>
      </c>
      <c r="J26" s="5">
        <v>0.4</v>
      </c>
      <c r="L26" s="5">
        <f t="shared" ca="1" si="11"/>
        <v>1873.9828</v>
      </c>
      <c r="M26" s="5">
        <f t="shared" ca="1" si="11"/>
        <v>1864.5416499999999</v>
      </c>
      <c r="N26" s="5">
        <f t="shared" ca="1" si="11"/>
        <v>1878.3000500000001</v>
      </c>
      <c r="O26" s="5">
        <f t="shared" ca="1" si="11"/>
        <v>1876.84905</v>
      </c>
      <c r="P26" s="5">
        <f t="shared" ca="1" si="11"/>
        <v>1848.1315199999999</v>
      </c>
      <c r="Q26" s="5">
        <f t="shared" ca="1" si="11"/>
        <v>1877.25243</v>
      </c>
      <c r="R26" s="5">
        <f t="shared" ca="1" si="11"/>
        <v>1874.4159199999999</v>
      </c>
      <c r="S26" s="5">
        <f t="shared" ca="1" si="11"/>
        <v>1866.27639</v>
      </c>
      <c r="T26" s="5">
        <f t="shared" ca="1" si="11"/>
        <v>1853.08464</v>
      </c>
      <c r="U26" s="5">
        <f t="shared" ca="1" si="11"/>
        <v>1878.60616</v>
      </c>
      <c r="W26" s="5">
        <f t="shared" ca="1" si="12"/>
        <v>1869.1440609999997</v>
      </c>
      <c r="Y26" s="5">
        <f ca="1">Total!E26</f>
        <v>1786.3248599999999</v>
      </c>
      <c r="AB26" s="5">
        <f t="shared" ca="1" si="1"/>
        <v>4.907166773685278E-2</v>
      </c>
      <c r="AC26" s="5">
        <f t="shared" ca="1" si="2"/>
        <v>4.3786430873497414E-2</v>
      </c>
      <c r="AD26" s="5">
        <f t="shared" ca="1" si="3"/>
        <v>5.1488501369230291E-2</v>
      </c>
      <c r="AE26" s="5">
        <f t="shared" ca="1" si="4"/>
        <v>5.0676219106081347E-2</v>
      </c>
      <c r="AF26" s="5">
        <f t="shared" ca="1" si="5"/>
        <v>3.4599899147123761E-2</v>
      </c>
      <c r="AG26" s="5">
        <f t="shared" ca="1" si="6"/>
        <v>5.0902034694853916E-2</v>
      </c>
      <c r="AH26" s="5">
        <f t="shared" ca="1" si="7"/>
        <v>4.9314132033072625E-2</v>
      </c>
      <c r="AI26" s="5">
        <f t="shared" ca="1" si="8"/>
        <v>4.4757553225788983E-2</v>
      </c>
      <c r="AJ26" s="5">
        <f t="shared" ca="1" si="9"/>
        <v>3.7372698267212213E-2</v>
      </c>
      <c r="AK26" s="5">
        <f t="shared" ca="1" si="10"/>
        <v>5.1659864376516658E-2</v>
      </c>
      <c r="AM26" s="5">
        <f t="shared" ca="1" si="13"/>
        <v>0.46362900083023001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1.77054</v>
      </c>
      <c r="F27" s="5">
        <v>100</v>
      </c>
      <c r="H27" s="5" t="s">
        <v>1</v>
      </c>
      <c r="I27" s="5">
        <v>100</v>
      </c>
      <c r="J27" s="5">
        <v>0.7</v>
      </c>
      <c r="L27" s="5">
        <f t="shared" ca="1" si="11"/>
        <v>1773.2260000000001</v>
      </c>
      <c r="M27" s="5">
        <f t="shared" ca="1" si="11"/>
        <v>1804.00665</v>
      </c>
      <c r="N27" s="5">
        <f t="shared" ca="1" si="11"/>
        <v>1789.66013</v>
      </c>
      <c r="O27" s="5">
        <f t="shared" ca="1" si="11"/>
        <v>1790.1423299999999</v>
      </c>
      <c r="P27" s="5">
        <f t="shared" ca="1" si="11"/>
        <v>1792.0471399999999</v>
      </c>
      <c r="Q27" s="5">
        <f t="shared" ca="1" si="11"/>
        <v>1794.07834</v>
      </c>
      <c r="R27" s="5">
        <f t="shared" ca="1" si="11"/>
        <v>1797.3802800000001</v>
      </c>
      <c r="S27" s="5">
        <f t="shared" ca="1" si="11"/>
        <v>1790.34871</v>
      </c>
      <c r="T27" s="5">
        <f t="shared" ca="1" si="11"/>
        <v>1803.9665199999999</v>
      </c>
      <c r="U27" s="5">
        <f t="shared" ca="1" si="11"/>
        <v>1798.7868000000001</v>
      </c>
      <c r="W27" s="5">
        <f t="shared" ca="1" si="12"/>
        <v>1793.36429</v>
      </c>
      <c r="Y27" s="5">
        <f ca="1">Total!E27</f>
        <v>1761.02206</v>
      </c>
      <c r="AB27" s="5">
        <f t="shared" ca="1" si="1"/>
        <v>6.9300324380945589E-3</v>
      </c>
      <c r="AC27" s="5">
        <f t="shared" ca="1" si="2"/>
        <v>2.4408887870490406E-2</v>
      </c>
      <c r="AD27" s="5">
        <f t="shared" ca="1" si="3"/>
        <v>1.6262186971127419E-2</v>
      </c>
      <c r="AE27" s="5">
        <f t="shared" ca="1" si="4"/>
        <v>1.6536005233233644E-2</v>
      </c>
      <c r="AF27" s="5">
        <f t="shared" ca="1" si="5"/>
        <v>1.7617655510800297E-2</v>
      </c>
      <c r="AG27" s="5">
        <f t="shared" ca="1" si="6"/>
        <v>1.8771076609909142E-2</v>
      </c>
      <c r="AH27" s="5">
        <f t="shared" ca="1" si="7"/>
        <v>2.0646090032512183E-2</v>
      </c>
      <c r="AI27" s="5">
        <f t="shared" ca="1" si="8"/>
        <v>1.6653198540851882E-2</v>
      </c>
      <c r="AJ27" s="5">
        <f t="shared" ca="1" si="9"/>
        <v>2.4386099967424562E-2</v>
      </c>
      <c r="AK27" s="5">
        <f t="shared" ca="1" si="10"/>
        <v>2.1444785308368072E-2</v>
      </c>
      <c r="AM27" s="5">
        <f t="shared" ca="1" si="13"/>
        <v>0.18365601848281216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1.7803899999999999</v>
      </c>
      <c r="F28" s="5">
        <v>97</v>
      </c>
      <c r="H28" s="5" t="s">
        <v>1</v>
      </c>
      <c r="I28" s="5">
        <v>100</v>
      </c>
      <c r="J28" s="5">
        <v>1</v>
      </c>
      <c r="L28" s="5">
        <f t="shared" ca="1" si="11"/>
        <v>1767.50182</v>
      </c>
      <c r="M28" s="5">
        <f t="shared" ca="1" si="11"/>
        <v>1757.0866699999999</v>
      </c>
      <c r="N28" s="5">
        <f t="shared" ca="1" si="11"/>
        <v>1755.1033299999999</v>
      </c>
      <c r="O28" s="5">
        <f t="shared" ca="1" si="11"/>
        <v>1763.9861699999999</v>
      </c>
      <c r="P28" s="5">
        <f t="shared" ca="1" si="11"/>
        <v>1757.32223</v>
      </c>
      <c r="Q28" s="5">
        <f t="shared" ca="1" si="11"/>
        <v>1768.18832</v>
      </c>
      <c r="R28" s="5">
        <f t="shared" ca="1" si="11"/>
        <v>1758.46</v>
      </c>
      <c r="S28" s="5">
        <f t="shared" ca="1" si="11"/>
        <v>1756.49389</v>
      </c>
      <c r="T28" s="5">
        <f t="shared" ca="1" si="11"/>
        <v>1756.98191</v>
      </c>
      <c r="U28" s="5">
        <f t="shared" ca="1" si="11"/>
        <v>1767.93667</v>
      </c>
      <c r="W28" s="5">
        <f t="shared" ca="1" si="12"/>
        <v>1760.9061009999998</v>
      </c>
      <c r="Y28" s="5">
        <f ca="1">Total!E28</f>
        <v>1753.1198199999999</v>
      </c>
      <c r="AB28" s="5">
        <f t="shared" ca="1" si="1"/>
        <v>8.2036606031868735E-3</v>
      </c>
      <c r="AC28" s="5">
        <f t="shared" ca="1" si="2"/>
        <v>2.262737523553879E-3</v>
      </c>
      <c r="AD28" s="5">
        <f t="shared" ca="1" si="3"/>
        <v>1.1314172467686914E-3</v>
      </c>
      <c r="AE28" s="5">
        <f t="shared" ca="1" si="4"/>
        <v>6.1982928240466827E-3</v>
      </c>
      <c r="AF28" s="5">
        <f t="shared" ca="1" si="5"/>
        <v>2.3971036959699083E-3</v>
      </c>
      <c r="AG28" s="5">
        <f t="shared" ca="1" si="6"/>
        <v>8.5952482129830043E-3</v>
      </c>
      <c r="AH28" s="5">
        <f t="shared" ca="1" si="7"/>
        <v>3.0461009789964875E-3</v>
      </c>
      <c r="AI28" s="5">
        <f t="shared" ca="1" si="8"/>
        <v>1.9246088952437231E-3</v>
      </c>
      <c r="AJ28" s="5">
        <f t="shared" ca="1" si="9"/>
        <v>2.2029811972578577E-3</v>
      </c>
      <c r="AK28" s="5">
        <f t="shared" ca="1" si="10"/>
        <v>8.4517041168356427E-3</v>
      </c>
      <c r="AM28" s="5">
        <f t="shared" ca="1" si="13"/>
        <v>4.441385529484275E-2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1.7748200000000001</v>
      </c>
      <c r="F29" s="5">
        <v>101</v>
      </c>
      <c r="H29" s="5" t="s">
        <v>0</v>
      </c>
      <c r="I29" s="5">
        <v>25</v>
      </c>
      <c r="J29" s="5">
        <v>0.4</v>
      </c>
      <c r="L29" s="5">
        <f t="shared" ca="1" si="11"/>
        <v>41.318849999999998</v>
      </c>
      <c r="M29" s="5">
        <f t="shared" ca="1" si="11"/>
        <v>41.318849999999998</v>
      </c>
      <c r="N29" s="5">
        <f t="shared" ca="1" si="11"/>
        <v>41.504739999999998</v>
      </c>
      <c r="O29" s="5">
        <f t="shared" ca="1" si="11"/>
        <v>41.318849999999998</v>
      </c>
      <c r="P29" s="5">
        <f t="shared" ca="1" si="11"/>
        <v>41.318849999999998</v>
      </c>
      <c r="Q29" s="5">
        <f t="shared" ca="1" si="11"/>
        <v>41.318849999999998</v>
      </c>
      <c r="R29" s="5">
        <f t="shared" ca="1" si="11"/>
        <v>41.318849999999998</v>
      </c>
      <c r="S29" s="5">
        <f t="shared" ca="1" si="11"/>
        <v>41.318849999999998</v>
      </c>
      <c r="T29" s="5">
        <f t="shared" ca="1" si="11"/>
        <v>41.318849999999998</v>
      </c>
      <c r="U29" s="5">
        <f t="shared" ca="1" si="11"/>
        <v>41.318849999999998</v>
      </c>
      <c r="W29" s="5">
        <f t="shared" ca="1" si="12"/>
        <v>41.337438999999996</v>
      </c>
      <c r="Y29" s="5">
        <f ca="1">Total!E29</f>
        <v>40.897550000000003</v>
      </c>
      <c r="AB29" s="5">
        <f t="shared" ca="1" si="1"/>
        <v>1.0301350569899543E-2</v>
      </c>
      <c r="AC29" s="5">
        <f t="shared" ca="1" si="2"/>
        <v>1.0301350569899543E-2</v>
      </c>
      <c r="AD29" s="5">
        <f t="shared" ca="1" si="3"/>
        <v>1.484661061603924E-2</v>
      </c>
      <c r="AE29" s="5">
        <f t="shared" ca="1" si="4"/>
        <v>1.0301350569899543E-2</v>
      </c>
      <c r="AF29" s="5">
        <f t="shared" ca="1" si="5"/>
        <v>1.0301350569899543E-2</v>
      </c>
      <c r="AG29" s="5">
        <f t="shared" ca="1" si="6"/>
        <v>1.0301350569899543E-2</v>
      </c>
      <c r="AH29" s="5">
        <f t="shared" ca="1" si="7"/>
        <v>1.0301350569899543E-2</v>
      </c>
      <c r="AI29" s="5">
        <f t="shared" ca="1" si="8"/>
        <v>1.0301350569899543E-2</v>
      </c>
      <c r="AJ29" s="5">
        <f t="shared" ca="1" si="9"/>
        <v>1.0301350569899543E-2</v>
      </c>
      <c r="AK29" s="5">
        <f t="shared" ca="1" si="10"/>
        <v>1.0301350569899543E-2</v>
      </c>
      <c r="AM29" s="5">
        <f t="shared" ca="1" si="13"/>
        <v>0.10755876574513513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1.77</v>
      </c>
      <c r="F30" s="5">
        <v>95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1"/>
        <v>28.65436</v>
      </c>
      <c r="N30" s="5">
        <f t="shared" ca="1" si="11"/>
        <v>28.65436</v>
      </c>
      <c r="O30" s="5">
        <f t="shared" ca="1" si="11"/>
        <v>28.65436</v>
      </c>
      <c r="P30" s="5">
        <f t="shared" ca="1" si="11"/>
        <v>28.65436</v>
      </c>
      <c r="Q30" s="5">
        <f t="shared" ca="1" si="11"/>
        <v>28.65436</v>
      </c>
      <c r="R30" s="5">
        <f t="shared" ca="1" si="11"/>
        <v>28.65436</v>
      </c>
      <c r="S30" s="5">
        <f t="shared" ca="1" si="11"/>
        <v>28.65436</v>
      </c>
      <c r="T30" s="5">
        <f t="shared" ca="1" si="11"/>
        <v>28.65436</v>
      </c>
      <c r="U30" s="5">
        <f t="shared" ca="1" si="11"/>
        <v>28.65436</v>
      </c>
      <c r="W30" s="5">
        <f t="shared" ca="1" si="12"/>
        <v>28.654360000000004</v>
      </c>
      <c r="Y30" s="5">
        <f ca="1">Total!E30</f>
        <v>28.65436</v>
      </c>
      <c r="AB30" s="5">
        <f t="shared" ca="1" si="1"/>
        <v>0</v>
      </c>
      <c r="AC30" s="5">
        <f t="shared" ca="1" si="2"/>
        <v>0</v>
      </c>
      <c r="AD30" s="5">
        <f t="shared" ca="1" si="3"/>
        <v>0</v>
      </c>
      <c r="AE30" s="5">
        <f t="shared" ca="1" si="4"/>
        <v>0</v>
      </c>
      <c r="AF30" s="5">
        <f t="shared" ca="1" si="5"/>
        <v>0</v>
      </c>
      <c r="AG30" s="5">
        <f t="shared" ca="1" si="6"/>
        <v>0</v>
      </c>
      <c r="AH30" s="5">
        <f t="shared" ca="1" si="7"/>
        <v>0</v>
      </c>
      <c r="AI30" s="5">
        <f t="shared" ca="1" si="8"/>
        <v>0</v>
      </c>
      <c r="AJ30" s="5">
        <f t="shared" ca="1" si="9"/>
        <v>0</v>
      </c>
      <c r="AK30" s="5">
        <f t="shared" ca="1" si="10"/>
        <v>0</v>
      </c>
      <c r="AM30" s="5">
        <f t="shared" ca="1" si="13"/>
        <v>0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1.20052</v>
      </c>
      <c r="F31" s="5">
        <v>21</v>
      </c>
      <c r="H31" s="5" t="s">
        <v>0</v>
      </c>
      <c r="I31" s="5">
        <v>25</v>
      </c>
      <c r="J31" s="5">
        <v>1</v>
      </c>
      <c r="L31" s="5">
        <f t="shared" ca="1" si="11"/>
        <v>28.592030000000001</v>
      </c>
      <c r="M31" s="5">
        <f t="shared" ca="1" si="11"/>
        <v>28.592030000000001</v>
      </c>
      <c r="N31" s="5">
        <f t="shared" ca="1" si="11"/>
        <v>28.592030000000001</v>
      </c>
      <c r="O31" s="5">
        <f t="shared" ca="1" si="11"/>
        <v>28.587009999999999</v>
      </c>
      <c r="P31" s="5">
        <f t="shared" ca="1" si="11"/>
        <v>28.592030000000001</v>
      </c>
      <c r="Q31" s="5">
        <f t="shared" ca="1" si="11"/>
        <v>28.546240000000001</v>
      </c>
      <c r="R31" s="5">
        <f t="shared" ca="1" si="11"/>
        <v>28.592030000000001</v>
      </c>
      <c r="S31" s="5">
        <f t="shared" ca="1" si="11"/>
        <v>28.592030000000001</v>
      </c>
      <c r="T31" s="5">
        <f t="shared" ca="1" si="11"/>
        <v>28.602029999999999</v>
      </c>
      <c r="U31" s="5">
        <f t="shared" ca="1" si="11"/>
        <v>28.602029999999999</v>
      </c>
      <c r="W31" s="5">
        <f t="shared" ca="1" si="12"/>
        <v>28.588949000000003</v>
      </c>
      <c r="Y31" s="5">
        <f ca="1">Total!E31</f>
        <v>28.504100000000001</v>
      </c>
      <c r="AB31" s="5">
        <f t="shared" ca="1" si="1"/>
        <v>3.0848193768615766E-3</v>
      </c>
      <c r="AC31" s="5">
        <f t="shared" ca="1" si="2"/>
        <v>3.0848193768615766E-3</v>
      </c>
      <c r="AD31" s="5">
        <f t="shared" ca="1" si="3"/>
        <v>3.0848193768615766E-3</v>
      </c>
      <c r="AE31" s="5">
        <f t="shared" ca="1" si="4"/>
        <v>2.9087043618285882E-3</v>
      </c>
      <c r="AF31" s="5">
        <f t="shared" ca="1" si="5"/>
        <v>3.0848193768615766E-3</v>
      </c>
      <c r="AG31" s="5">
        <f t="shared" ca="1" si="6"/>
        <v>1.4783838114516804E-3</v>
      </c>
      <c r="AH31" s="5">
        <f t="shared" ca="1" si="7"/>
        <v>3.0848193768615766E-3</v>
      </c>
      <c r="AI31" s="5">
        <f t="shared" ca="1" si="8"/>
        <v>3.0848193768615766E-3</v>
      </c>
      <c r="AJ31" s="5">
        <f t="shared" ca="1" si="9"/>
        <v>3.4356461000346642E-3</v>
      </c>
      <c r="AK31" s="5">
        <f t="shared" ca="1" si="10"/>
        <v>3.4356461000346642E-3</v>
      </c>
      <c r="AM31" s="5">
        <f t="shared" ca="1" si="13"/>
        <v>2.9767296634519057E-2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1.2005600000000001</v>
      </c>
      <c r="F32" s="5">
        <v>21</v>
      </c>
      <c r="H32" s="5" t="s">
        <v>0</v>
      </c>
      <c r="I32" s="5">
        <v>50</v>
      </c>
      <c r="J32" s="5">
        <v>0.4</v>
      </c>
      <c r="L32" s="5">
        <f t="shared" ca="1" si="11"/>
        <v>58.249510000000001</v>
      </c>
      <c r="M32" s="5">
        <f t="shared" ca="1" si="11"/>
        <v>56.911659999999998</v>
      </c>
      <c r="N32" s="5">
        <f t="shared" ca="1" si="11"/>
        <v>56.912840000000003</v>
      </c>
      <c r="O32" s="5">
        <f t="shared" ca="1" si="11"/>
        <v>59.045529999999999</v>
      </c>
      <c r="P32" s="5">
        <f t="shared" ca="1" si="11"/>
        <v>57.090060000000001</v>
      </c>
      <c r="Q32" s="5">
        <f t="shared" ca="1" si="11"/>
        <v>59.186500000000002</v>
      </c>
      <c r="R32" s="5">
        <f t="shared" ca="1" si="11"/>
        <v>57.306280000000001</v>
      </c>
      <c r="S32" s="5">
        <f t="shared" ca="1" si="11"/>
        <v>59.194740000000003</v>
      </c>
      <c r="T32" s="5">
        <f t="shared" ca="1" si="11"/>
        <v>58.927329999999998</v>
      </c>
      <c r="U32" s="5">
        <f t="shared" ca="1" si="11"/>
        <v>59.202849999999998</v>
      </c>
      <c r="W32" s="5">
        <f t="shared" ca="1" si="12"/>
        <v>58.20273000000001</v>
      </c>
      <c r="Y32" s="5">
        <f ca="1">Total!E32</f>
        <v>56.511339999999997</v>
      </c>
      <c r="AB32" s="5">
        <f t="shared" ca="1" si="1"/>
        <v>3.075789744146934E-2</v>
      </c>
      <c r="AC32" s="5">
        <f t="shared" ca="1" si="2"/>
        <v>7.0838879417830245E-3</v>
      </c>
      <c r="AD32" s="5">
        <f t="shared" ca="1" si="3"/>
        <v>7.1047687065995211E-3</v>
      </c>
      <c r="AE32" s="5">
        <f t="shared" ca="1" si="4"/>
        <v>4.4843919822110084E-2</v>
      </c>
      <c r="AF32" s="5">
        <f t="shared" ca="1" si="5"/>
        <v>1.0240776453009328E-2</v>
      </c>
      <c r="AG32" s="5">
        <f t="shared" ca="1" si="6"/>
        <v>4.7338463395134596E-2</v>
      </c>
      <c r="AH32" s="5">
        <f t="shared" ca="1" si="7"/>
        <v>1.4066911172164808E-2</v>
      </c>
      <c r="AI32" s="5">
        <f t="shared" ca="1" si="8"/>
        <v>4.7484274837581379E-2</v>
      </c>
      <c r="AJ32" s="5">
        <f t="shared" ca="1" si="9"/>
        <v>4.2752304227788633E-2</v>
      </c>
      <c r="AK32" s="5">
        <f t="shared" ca="1" si="10"/>
        <v>4.7627785856785579E-2</v>
      </c>
      <c r="AM32" s="5">
        <f t="shared" ca="1" si="13"/>
        <v>0.29930098985442627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1.21268</v>
      </c>
      <c r="F33" s="5">
        <v>20</v>
      </c>
      <c r="H33" s="5" t="s">
        <v>0</v>
      </c>
      <c r="I33" s="5">
        <v>50</v>
      </c>
      <c r="J33" s="5">
        <v>0.7</v>
      </c>
      <c r="L33" s="5">
        <f t="shared" ca="1" si="11"/>
        <v>53.524979999999999</v>
      </c>
      <c r="M33" s="5">
        <f t="shared" ca="1" si="11"/>
        <v>53.522750000000002</v>
      </c>
      <c r="N33" s="5">
        <f t="shared" ca="1" si="11"/>
        <v>53.756079999999997</v>
      </c>
      <c r="O33" s="5">
        <f t="shared" ca="1" si="11"/>
        <v>53.935070000000003</v>
      </c>
      <c r="P33" s="5">
        <f t="shared" ca="1" si="11"/>
        <v>53.755070000000003</v>
      </c>
      <c r="Q33" s="5">
        <f t="shared" ca="1" si="11"/>
        <v>53.53266</v>
      </c>
      <c r="R33" s="5">
        <f t="shared" ca="1" si="11"/>
        <v>54.07038</v>
      </c>
      <c r="S33" s="5">
        <f t="shared" ca="1" si="11"/>
        <v>53.632750000000001</v>
      </c>
      <c r="T33" s="5">
        <f t="shared" ca="1" si="11"/>
        <v>53.652659999999997</v>
      </c>
      <c r="U33" s="5">
        <f t="shared" ca="1" si="11"/>
        <v>53.556080000000001</v>
      </c>
      <c r="W33" s="5">
        <f t="shared" ca="1" si="12"/>
        <v>53.693847999999988</v>
      </c>
      <c r="Y33" s="5">
        <f ca="1">Total!E33</f>
        <v>53.115070000000003</v>
      </c>
      <c r="AB33" s="5">
        <f t="shared" ca="1" si="1"/>
        <v>7.7173954585769431E-3</v>
      </c>
      <c r="AC33" s="5">
        <f t="shared" ca="1" si="2"/>
        <v>7.6754111403787876E-3</v>
      </c>
      <c r="AD33" s="5">
        <f t="shared" ca="1" si="3"/>
        <v>1.2068326371404467E-2</v>
      </c>
      <c r="AE33" s="5">
        <f t="shared" ca="1" si="4"/>
        <v>1.5438179785887513E-2</v>
      </c>
      <c r="AF33" s="5">
        <f t="shared" ca="1" si="5"/>
        <v>1.2049311052400017E-2</v>
      </c>
      <c r="AG33" s="5">
        <f t="shared" ca="1" si="6"/>
        <v>7.8619871912057535E-3</v>
      </c>
      <c r="AH33" s="5">
        <f t="shared" ca="1" si="7"/>
        <v>1.7985667721044086E-2</v>
      </c>
      <c r="AI33" s="5">
        <f t="shared" ca="1" si="8"/>
        <v>9.7463864775100273E-3</v>
      </c>
      <c r="AJ33" s="5">
        <f t="shared" ca="1" si="9"/>
        <v>1.0121233013530706E-2</v>
      </c>
      <c r="AK33" s="5">
        <f t="shared" ca="1" si="10"/>
        <v>8.302916667529546E-3</v>
      </c>
      <c r="AM33" s="5">
        <f t="shared" ca="1" si="13"/>
        <v>0.10896681487946785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1.2290099999999999</v>
      </c>
      <c r="F34" s="5">
        <v>21</v>
      </c>
      <c r="H34" s="5" t="s">
        <v>0</v>
      </c>
      <c r="I34" s="5">
        <v>50</v>
      </c>
      <c r="J34" s="5">
        <v>1</v>
      </c>
      <c r="L34" s="5">
        <f t="shared" ca="1" si="11"/>
        <v>53.252409999999998</v>
      </c>
      <c r="M34" s="5">
        <f t="shared" ca="1" si="11"/>
        <v>53.228319999999997</v>
      </c>
      <c r="N34" s="5">
        <f t="shared" ca="1" si="11"/>
        <v>53.007489999999997</v>
      </c>
      <c r="O34" s="5">
        <f t="shared" ca="1" si="11"/>
        <v>53.24241</v>
      </c>
      <c r="P34" s="5">
        <f t="shared" ca="1" si="11"/>
        <v>53.244979999999998</v>
      </c>
      <c r="Q34" s="5">
        <f t="shared" ca="1" si="11"/>
        <v>53.217489999999998</v>
      </c>
      <c r="R34" s="5">
        <f t="shared" ca="1" si="11"/>
        <v>53.205930000000002</v>
      </c>
      <c r="S34" s="5">
        <f t="shared" ca="1" si="11"/>
        <v>53.45749</v>
      </c>
      <c r="T34" s="5">
        <f t="shared" ca="1" si="11"/>
        <v>53.210819999999998</v>
      </c>
      <c r="U34" s="5">
        <f t="shared" ca="1" si="11"/>
        <v>53.166440000000001</v>
      </c>
      <c r="W34" s="5">
        <f t="shared" ca="1" si="12"/>
        <v>53.223378000000004</v>
      </c>
      <c r="Y34" s="5">
        <f ca="1">Total!E34</f>
        <v>53.003740000000001</v>
      </c>
      <c r="AB34" s="5">
        <f t="shared" ca="1" si="1"/>
        <v>4.691555727954236E-3</v>
      </c>
      <c r="AC34" s="5">
        <f t="shared" ca="1" si="2"/>
        <v>4.2370594980655329E-3</v>
      </c>
      <c r="AD34" s="5">
        <f t="shared" ca="1" si="3"/>
        <v>7.0749724453342147E-5</v>
      </c>
      <c r="AE34" s="5">
        <f t="shared" ca="1" si="4"/>
        <v>4.5028897960785229E-3</v>
      </c>
      <c r="AF34" s="5">
        <f t="shared" ca="1" si="5"/>
        <v>4.5513769405705652E-3</v>
      </c>
      <c r="AG34" s="5">
        <f t="shared" ca="1" si="6"/>
        <v>4.0327342938441223E-3</v>
      </c>
      <c r="AH34" s="5">
        <f t="shared" ca="1" si="7"/>
        <v>3.8146364765958337E-3</v>
      </c>
      <c r="AI34" s="5">
        <f t="shared" ca="1" si="8"/>
        <v>8.5607166588621744E-3</v>
      </c>
      <c r="AJ34" s="5">
        <f t="shared" ca="1" si="9"/>
        <v>3.9068941172830012E-3</v>
      </c>
      <c r="AK34" s="5">
        <f t="shared" ca="1" si="10"/>
        <v>3.0695947116184813E-3</v>
      </c>
      <c r="AM34" s="5">
        <f t="shared" ca="1" si="13"/>
        <v>4.1438207945325815E-2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1.2443599999999999</v>
      </c>
      <c r="F35" s="5">
        <v>20</v>
      </c>
      <c r="H35" s="5" t="s">
        <v>0</v>
      </c>
      <c r="I35" s="5">
        <v>100</v>
      </c>
      <c r="J35" s="5">
        <v>0.4</v>
      </c>
      <c r="L35" s="5">
        <f t="shared" ca="1" si="11"/>
        <v>148.31486000000001</v>
      </c>
      <c r="M35" s="5">
        <f t="shared" ca="1" si="11"/>
        <v>148.28901999999999</v>
      </c>
      <c r="N35" s="5">
        <f t="shared" ca="1" si="11"/>
        <v>148.26087999999999</v>
      </c>
      <c r="O35" s="5">
        <f t="shared" ca="1" si="11"/>
        <v>148.47502</v>
      </c>
      <c r="P35" s="5">
        <f t="shared" ca="1" si="11"/>
        <v>148.32320000000001</v>
      </c>
      <c r="Q35" s="5">
        <f t="shared" ca="1" si="11"/>
        <v>148.30547999999999</v>
      </c>
      <c r="R35" s="5">
        <f t="shared" ca="1" si="11"/>
        <v>148.39297999999999</v>
      </c>
      <c r="S35" s="5">
        <f t="shared" ca="1" si="11"/>
        <v>148.24902</v>
      </c>
      <c r="T35" s="5">
        <f t="shared" ca="1" si="11"/>
        <v>148.43902</v>
      </c>
      <c r="U35" s="5">
        <f t="shared" ca="1" si="11"/>
        <v>148.25403</v>
      </c>
      <c r="W35" s="5">
        <f t="shared" ca="1" si="12"/>
        <v>148.33035100000001</v>
      </c>
      <c r="Y35" s="5">
        <f ca="1">Total!E35</f>
        <v>147.96312</v>
      </c>
      <c r="AB35" s="5">
        <f t="shared" ca="1" si="1"/>
        <v>2.3772139976502697E-3</v>
      </c>
      <c r="AC35" s="5">
        <f t="shared" ca="1" si="2"/>
        <v>2.2025758851259023E-3</v>
      </c>
      <c r="AD35" s="5">
        <f t="shared" ca="1" si="3"/>
        <v>2.012393358561123E-3</v>
      </c>
      <c r="AE35" s="5">
        <f t="shared" ca="1" si="4"/>
        <v>3.4596458901380097E-3</v>
      </c>
      <c r="AF35" s="5">
        <f t="shared" ca="1" si="5"/>
        <v>2.4335793946492247E-3</v>
      </c>
      <c r="AG35" s="5">
        <f t="shared" ca="1" si="6"/>
        <v>2.3138198221285488E-3</v>
      </c>
      <c r="AH35" s="5">
        <f t="shared" ca="1" si="7"/>
        <v>2.905183399755228E-3</v>
      </c>
      <c r="AI35" s="5">
        <f t="shared" ca="1" si="8"/>
        <v>1.9322382496394916E-3</v>
      </c>
      <c r="AJ35" s="5">
        <f t="shared" ca="1" si="9"/>
        <v>3.2163420182001823E-3</v>
      </c>
      <c r="AK35" s="5">
        <f t="shared" ca="1" si="10"/>
        <v>1.9660980384841619E-3</v>
      </c>
      <c r="AM35" s="5">
        <f t="shared" ca="1" si="13"/>
        <v>2.4819090054332145E-2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1.2072799999999999</v>
      </c>
      <c r="F36" s="5">
        <v>21</v>
      </c>
      <c r="H36" s="5" t="s">
        <v>0</v>
      </c>
      <c r="I36" s="5">
        <v>100</v>
      </c>
      <c r="J36" s="5">
        <v>0.7</v>
      </c>
      <c r="L36" s="5">
        <f t="shared" ca="1" si="11"/>
        <v>109.55407</v>
      </c>
      <c r="M36" s="5">
        <f t="shared" ca="1" si="11"/>
        <v>108.2158</v>
      </c>
      <c r="N36" s="5">
        <f t="shared" ca="1" si="11"/>
        <v>108.91876999999999</v>
      </c>
      <c r="O36" s="5">
        <f t="shared" ca="1" si="11"/>
        <v>108.29003</v>
      </c>
      <c r="P36" s="5">
        <f t="shared" ca="1" si="11"/>
        <v>109.8944</v>
      </c>
      <c r="Q36" s="5">
        <f t="shared" ca="1" si="11"/>
        <v>108.58168999999999</v>
      </c>
      <c r="R36" s="5">
        <f t="shared" ca="1" si="11"/>
        <v>109.24033</v>
      </c>
      <c r="S36" s="5">
        <f t="shared" ca="1" si="11"/>
        <v>108.87927999999999</v>
      </c>
      <c r="T36" s="5">
        <f t="shared" ca="1" si="11"/>
        <v>109.98163</v>
      </c>
      <c r="U36" s="5">
        <f t="shared" ca="1" si="11"/>
        <v>108.0483</v>
      </c>
      <c r="W36" s="5">
        <f t="shared" ca="1" si="12"/>
        <v>108.96043</v>
      </c>
      <c r="Y36" s="5">
        <f ca="1">Total!E36</f>
        <v>107.28163000000001</v>
      </c>
      <c r="AB36" s="5">
        <f t="shared" ca="1" si="1"/>
        <v>2.1182004784975665E-2</v>
      </c>
      <c r="AC36" s="5">
        <f t="shared" ca="1" si="2"/>
        <v>8.7076417463082412E-3</v>
      </c>
      <c r="AD36" s="5">
        <f t="shared" ca="1" si="3"/>
        <v>1.526020810832188E-2</v>
      </c>
      <c r="AE36" s="5">
        <f t="shared" ca="1" si="4"/>
        <v>9.399558899319432E-3</v>
      </c>
      <c r="AF36" s="5">
        <f t="shared" ca="1" si="5"/>
        <v>2.4354309307194507E-2</v>
      </c>
      <c r="AG36" s="5">
        <f t="shared" ca="1" si="6"/>
        <v>1.2118197682119369E-2</v>
      </c>
      <c r="AH36" s="5">
        <f t="shared" ca="1" si="7"/>
        <v>1.8257552574471446E-2</v>
      </c>
      <c r="AI36" s="5">
        <f t="shared" ca="1" si="8"/>
        <v>1.4892111538573633E-2</v>
      </c>
      <c r="AJ36" s="5">
        <f t="shared" ca="1" si="9"/>
        <v>2.5167402844270621E-2</v>
      </c>
      <c r="AK36" s="5">
        <f t="shared" ca="1" si="10"/>
        <v>7.1463306439321491E-3</v>
      </c>
      <c r="AM36" s="5">
        <f t="shared" ca="1" si="13"/>
        <v>0.15648531812948693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1.20069</v>
      </c>
      <c r="F37" s="5">
        <v>21</v>
      </c>
      <c r="H37" s="5" t="s">
        <v>0</v>
      </c>
      <c r="I37" s="5">
        <v>100</v>
      </c>
      <c r="J37" s="5">
        <v>1</v>
      </c>
      <c r="L37" s="5">
        <f t="shared" ca="1" si="11"/>
        <v>104.02670000000001</v>
      </c>
      <c r="M37" s="5">
        <f t="shared" ca="1" si="11"/>
        <v>104.00586</v>
      </c>
      <c r="N37" s="5">
        <f t="shared" ca="1" si="11"/>
        <v>103.70859</v>
      </c>
      <c r="O37" s="5">
        <f t="shared" ca="1" si="11"/>
        <v>104.03328999999999</v>
      </c>
      <c r="P37" s="5">
        <f t="shared" ca="1" si="11"/>
        <v>103.96086</v>
      </c>
      <c r="Q37" s="5">
        <f t="shared" ca="1" si="11"/>
        <v>103.98496</v>
      </c>
      <c r="R37" s="5">
        <f t="shared" ca="1" si="11"/>
        <v>104.04003</v>
      </c>
      <c r="S37" s="5">
        <f t="shared" ca="1" si="11"/>
        <v>103.98698</v>
      </c>
      <c r="T37" s="5">
        <f t="shared" ca="1" si="11"/>
        <v>103.74419</v>
      </c>
      <c r="U37" s="5">
        <f t="shared" ca="1" si="11"/>
        <v>103.96793</v>
      </c>
      <c r="W37" s="5">
        <f t="shared" ca="1" si="12"/>
        <v>103.945939</v>
      </c>
      <c r="Y37" s="5">
        <f ca="1">Total!E37</f>
        <v>103.21266</v>
      </c>
      <c r="AB37" s="5">
        <f t="shared" ca="1" si="1"/>
        <v>7.8870169609038827E-3</v>
      </c>
      <c r="AC37" s="5">
        <f t="shared" ca="1" si="2"/>
        <v>7.6851037459939389E-3</v>
      </c>
      <c r="AD37" s="5">
        <f t="shared" ca="1" si="3"/>
        <v>4.8049338133519795E-3</v>
      </c>
      <c r="AE37" s="5">
        <f t="shared" ca="1" si="4"/>
        <v>7.9508657174419701E-3</v>
      </c>
      <c r="AF37" s="5">
        <f t="shared" ca="1" si="5"/>
        <v>7.2491107195570498E-3</v>
      </c>
      <c r="AG37" s="5">
        <f t="shared" ca="1" si="6"/>
        <v>7.4826092070488376E-3</v>
      </c>
      <c r="AH37" s="5">
        <f t="shared" ca="1" si="7"/>
        <v>8.0161677840683686E-3</v>
      </c>
      <c r="AI37" s="5">
        <f t="shared" ca="1" si="8"/>
        <v>7.5021804495689097E-3</v>
      </c>
      <c r="AJ37" s="5">
        <f t="shared" ca="1" si="9"/>
        <v>5.1498527409331724E-3</v>
      </c>
      <c r="AK37" s="5">
        <f t="shared" ca="1" si="10"/>
        <v>7.3176100683772314E-3</v>
      </c>
      <c r="AM37" s="5">
        <f t="shared" ca="1" si="13"/>
        <v>7.1045451207245341E-2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1.23041</v>
      </c>
      <c r="F38" s="5">
        <v>20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1.2139200000000001</v>
      </c>
      <c r="F39" s="5">
        <v>21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1.2226399999999999</v>
      </c>
      <c r="F40" s="5">
        <v>21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2.9027799999999999</v>
      </c>
      <c r="F41" s="5">
        <v>62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2.92523</v>
      </c>
      <c r="F42" s="5">
        <v>65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2.9211900000000002</v>
      </c>
      <c r="F43" s="5">
        <v>64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2.8977499999999998</v>
      </c>
      <c r="F44" s="5">
        <v>63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2.9182600000000001</v>
      </c>
      <c r="F45" s="5">
        <v>64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2.9151600000000002</v>
      </c>
      <c r="F46" s="5">
        <v>65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2.8970099999999999</v>
      </c>
      <c r="F47" s="5">
        <v>63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2.9192800000000001</v>
      </c>
      <c r="F48" s="5">
        <v>63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2.9080300000000001</v>
      </c>
      <c r="F49" s="5">
        <v>65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2.91757</v>
      </c>
      <c r="F50" s="5">
        <v>64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180.67332999999999</v>
      </c>
      <c r="E51" s="5">
        <v>4.6138000000000003</v>
      </c>
      <c r="F51" s="5">
        <v>100</v>
      </c>
    </row>
    <row r="52" spans="1:6" x14ac:dyDescent="0.25">
      <c r="A52" s="5" t="s">
        <v>27</v>
      </c>
      <c r="B52" s="5">
        <v>50</v>
      </c>
      <c r="C52" s="5">
        <v>1</v>
      </c>
      <c r="D52" s="5">
        <v>181.71333000000001</v>
      </c>
      <c r="E52" s="5">
        <v>4.6232699999999998</v>
      </c>
      <c r="F52" s="5">
        <v>102</v>
      </c>
    </row>
    <row r="53" spans="1:6" x14ac:dyDescent="0.25">
      <c r="A53" s="5" t="s">
        <v>27</v>
      </c>
      <c r="B53" s="5">
        <v>50</v>
      </c>
      <c r="C53" s="5">
        <v>1</v>
      </c>
      <c r="D53" s="5">
        <v>180.05332999999999</v>
      </c>
      <c r="E53" s="5">
        <v>4.6099500000000004</v>
      </c>
      <c r="F53" s="5">
        <v>102</v>
      </c>
    </row>
    <row r="54" spans="1:6" x14ac:dyDescent="0.25">
      <c r="A54" s="5" t="s">
        <v>27</v>
      </c>
      <c r="B54" s="5">
        <v>50</v>
      </c>
      <c r="C54" s="5">
        <v>1</v>
      </c>
      <c r="D54" s="5">
        <v>182.37101999999999</v>
      </c>
      <c r="E54" s="5">
        <v>4.6204700000000001</v>
      </c>
      <c r="F54" s="5">
        <v>101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181.91333</v>
      </c>
      <c r="E55" s="5">
        <v>4.6499699999999997</v>
      </c>
      <c r="F55" s="5">
        <v>101</v>
      </c>
    </row>
    <row r="56" spans="1:6" x14ac:dyDescent="0.25">
      <c r="A56" s="5" t="s">
        <v>27</v>
      </c>
      <c r="B56" s="5">
        <v>50</v>
      </c>
      <c r="C56" s="5">
        <v>1</v>
      </c>
      <c r="D56" s="5">
        <v>181.64518000000001</v>
      </c>
      <c r="E56" s="5">
        <v>4.6271899999999997</v>
      </c>
      <c r="F56" s="5">
        <v>101</v>
      </c>
    </row>
    <row r="57" spans="1:6" x14ac:dyDescent="0.25">
      <c r="A57" s="5" t="s">
        <v>27</v>
      </c>
      <c r="B57" s="5">
        <v>50</v>
      </c>
      <c r="C57" s="5">
        <v>1</v>
      </c>
      <c r="D57" s="5">
        <v>180.05332999999999</v>
      </c>
      <c r="E57" s="5">
        <v>4.6116099999999998</v>
      </c>
      <c r="F57" s="5">
        <v>102</v>
      </c>
    </row>
    <row r="58" spans="1:6" x14ac:dyDescent="0.25">
      <c r="A58" s="5" t="s">
        <v>27</v>
      </c>
      <c r="B58" s="5">
        <v>50</v>
      </c>
      <c r="C58" s="5">
        <v>1</v>
      </c>
      <c r="D58" s="5">
        <v>180.88135</v>
      </c>
      <c r="E58" s="5">
        <v>4.6209899999999999</v>
      </c>
      <c r="F58" s="5">
        <v>102</v>
      </c>
    </row>
    <row r="59" spans="1:6" x14ac:dyDescent="0.25">
      <c r="A59" s="5" t="s">
        <v>27</v>
      </c>
      <c r="B59" s="5">
        <v>50</v>
      </c>
      <c r="C59" s="5">
        <v>1</v>
      </c>
      <c r="D59" s="5">
        <v>179.67332999999999</v>
      </c>
      <c r="E59" s="5">
        <v>4.6164100000000001</v>
      </c>
      <c r="F59" s="5">
        <v>102</v>
      </c>
    </row>
    <row r="60" spans="1:6" x14ac:dyDescent="0.25">
      <c r="A60" s="5" t="s">
        <v>27</v>
      </c>
      <c r="B60" s="5">
        <v>50</v>
      </c>
      <c r="C60" s="5">
        <v>1</v>
      </c>
      <c r="D60" s="5">
        <v>179.94640000000001</v>
      </c>
      <c r="E60" s="5">
        <v>4.5995999999999997</v>
      </c>
      <c r="F60" s="5">
        <v>101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5.6935000000000002</v>
      </c>
      <c r="F61" s="5">
        <v>36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5.59612</v>
      </c>
      <c r="F62" s="5">
        <v>35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5.6862599999999999</v>
      </c>
      <c r="F63" s="5">
        <v>36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5.7100900000000001</v>
      </c>
      <c r="F64" s="5">
        <v>36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5.6852600000000004</v>
      </c>
      <c r="F65" s="5">
        <v>36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5.6997499999999999</v>
      </c>
      <c r="F66" s="5">
        <v>36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5.6744899999999996</v>
      </c>
      <c r="F67" s="5">
        <v>36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5.6604299999999999</v>
      </c>
      <c r="F68" s="5">
        <v>36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5.6840900000000003</v>
      </c>
      <c r="F69" s="5">
        <v>36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5.74057</v>
      </c>
      <c r="F70" s="5">
        <v>36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259.16113000000001</v>
      </c>
      <c r="E71" s="5">
        <v>11.732939999999999</v>
      </c>
      <c r="F71" s="5">
        <v>71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258.56732</v>
      </c>
      <c r="E72" s="5">
        <v>11.753579999999999</v>
      </c>
      <c r="F72" s="5">
        <v>71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259.64062999999999</v>
      </c>
      <c r="E73" s="5">
        <v>11.705220000000001</v>
      </c>
      <c r="F73" s="5">
        <v>71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256.97374000000002</v>
      </c>
      <c r="E74" s="5">
        <v>11.74628</v>
      </c>
      <c r="F74" s="5">
        <v>71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259.23549000000003</v>
      </c>
      <c r="E75" s="5">
        <v>11.6706</v>
      </c>
      <c r="F75" s="5">
        <v>71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258.95751999999999</v>
      </c>
      <c r="E76" s="5">
        <v>11.70509</v>
      </c>
      <c r="F76" s="5">
        <v>71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259.13391000000001</v>
      </c>
      <c r="E77" s="5">
        <v>11.70234</v>
      </c>
      <c r="F77" s="5">
        <v>70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258.06398000000002</v>
      </c>
      <c r="E78" s="5">
        <v>11.71735</v>
      </c>
      <c r="F78" s="5">
        <v>71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256.41953000000001</v>
      </c>
      <c r="E79" s="5">
        <v>11.777480000000001</v>
      </c>
      <c r="F79" s="5">
        <v>71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256.53282999999999</v>
      </c>
      <c r="E80" s="5">
        <v>11.66952</v>
      </c>
      <c r="F80" s="5">
        <v>70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239.35479000000001</v>
      </c>
      <c r="E81" s="5">
        <v>30.241409999999998</v>
      </c>
      <c r="F81" s="5">
        <v>178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239.36</v>
      </c>
      <c r="E82" s="5">
        <v>30.230879999999999</v>
      </c>
      <c r="F82" s="5">
        <v>177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239.09372999999999</v>
      </c>
      <c r="E83" s="5">
        <v>30.148700000000002</v>
      </c>
      <c r="F83" s="5">
        <v>177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239.30053000000001</v>
      </c>
      <c r="E84" s="5">
        <v>30.203620000000001</v>
      </c>
      <c r="F84" s="5">
        <v>178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239.07052999999999</v>
      </c>
      <c r="E85" s="5">
        <v>30.172000000000001</v>
      </c>
      <c r="F85" s="5">
        <v>178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239.03372999999999</v>
      </c>
      <c r="E86" s="5">
        <v>30.221019999999999</v>
      </c>
      <c r="F86" s="5">
        <v>179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240.08332999999999</v>
      </c>
      <c r="E87" s="5">
        <v>30.18113</v>
      </c>
      <c r="F87" s="5">
        <v>178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238.99985000000001</v>
      </c>
      <c r="E88" s="5">
        <v>30.173169999999999</v>
      </c>
      <c r="F88" s="5">
        <v>178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238.98052999999999</v>
      </c>
      <c r="E89" s="5">
        <v>30.197669999999999</v>
      </c>
      <c r="F89" s="5">
        <v>178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239.09255999999999</v>
      </c>
      <c r="E90" s="5">
        <v>30.17924</v>
      </c>
      <c r="F90" s="5">
        <v>177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0.59028000000000003</v>
      </c>
      <c r="F91" s="5">
        <v>51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0.58942000000000005</v>
      </c>
      <c r="F92" s="5">
        <v>50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0.58923999999999999</v>
      </c>
      <c r="F93" s="5">
        <v>51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0.58655000000000002</v>
      </c>
      <c r="F94" s="5">
        <v>51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0.59458</v>
      </c>
      <c r="F95" s="5">
        <v>51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0.58787999999999996</v>
      </c>
      <c r="F96" s="5">
        <v>48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0.58269000000000004</v>
      </c>
      <c r="F97" s="5">
        <v>51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0.58262999999999998</v>
      </c>
      <c r="F98" s="5">
        <v>51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0.58448</v>
      </c>
      <c r="F99" s="5">
        <v>51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0.58482999999999996</v>
      </c>
      <c r="F100" s="5">
        <v>51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0.73648000000000002</v>
      </c>
      <c r="F101" s="5">
        <v>57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0.74253000000000002</v>
      </c>
      <c r="F102" s="5">
        <v>66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0.73653000000000002</v>
      </c>
      <c r="F103" s="5">
        <v>63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0.73721999999999999</v>
      </c>
      <c r="F104" s="5">
        <v>64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0.74133000000000004</v>
      </c>
      <c r="F105" s="5">
        <v>64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0.74136000000000002</v>
      </c>
      <c r="F106" s="5">
        <v>58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0.73753999999999997</v>
      </c>
      <c r="F107" s="5">
        <v>64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0.73531999999999997</v>
      </c>
      <c r="F108" s="5">
        <v>64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0.73731000000000002</v>
      </c>
      <c r="F109" s="5">
        <v>64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0.73575000000000002</v>
      </c>
      <c r="F110" s="5">
        <v>64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1.27963</v>
      </c>
      <c r="F111" s="5">
        <v>98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1.2800199999999999</v>
      </c>
      <c r="F112" s="5">
        <v>103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1.2842800000000001</v>
      </c>
      <c r="F113" s="5">
        <v>103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1.27878</v>
      </c>
      <c r="F114" s="5">
        <v>105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1.2826599999999999</v>
      </c>
      <c r="F115" s="5">
        <v>102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1.2801100000000001</v>
      </c>
      <c r="F116" s="5">
        <v>103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1.2749600000000001</v>
      </c>
      <c r="F117" s="5">
        <v>103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1.2742100000000001</v>
      </c>
      <c r="F118" s="5">
        <v>97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1.27468</v>
      </c>
      <c r="F119" s="5">
        <v>107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1.2835099999999999</v>
      </c>
      <c r="F120" s="5">
        <v>105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4348.0289499999999</v>
      </c>
      <c r="E121" s="5">
        <v>2.0141399999999998</v>
      </c>
      <c r="F121" s="5">
        <v>54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4348.0289499999999</v>
      </c>
      <c r="E122" s="5">
        <v>2.0055200000000002</v>
      </c>
      <c r="F122" s="5">
        <v>56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4348.0289499999999</v>
      </c>
      <c r="E123" s="5">
        <v>2.0291299999999999</v>
      </c>
      <c r="F123" s="5">
        <v>56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4348.0289499999999</v>
      </c>
      <c r="E124" s="5">
        <v>2.0090300000000001</v>
      </c>
      <c r="F124" s="5">
        <v>56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4348.0289499999999</v>
      </c>
      <c r="E125" s="5">
        <v>1.9910099999999999</v>
      </c>
      <c r="F125" s="5">
        <v>56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4348.0289499999999</v>
      </c>
      <c r="E126" s="5">
        <v>2.0004599999999999</v>
      </c>
      <c r="F126" s="5">
        <v>54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2.0088300000000001</v>
      </c>
      <c r="F127" s="5">
        <v>57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2.0061200000000001</v>
      </c>
      <c r="F128" s="5">
        <v>55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2.0150399999999999</v>
      </c>
      <c r="F129" s="5">
        <v>57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4348.0289499999999</v>
      </c>
      <c r="E130" s="5">
        <v>2.01816</v>
      </c>
      <c r="F130" s="5">
        <v>55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2.8912100000000001</v>
      </c>
      <c r="F131" s="5">
        <v>78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2.8826299999999998</v>
      </c>
      <c r="F132" s="5">
        <v>77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2.8640599999999998</v>
      </c>
      <c r="F133" s="5">
        <v>77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2.87209</v>
      </c>
      <c r="F134" s="5">
        <v>79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2.8878200000000001</v>
      </c>
      <c r="F135" s="5">
        <v>77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2.8865500000000002</v>
      </c>
      <c r="F136" s="5">
        <v>77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2.8827500000000001</v>
      </c>
      <c r="F137" s="5">
        <v>79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2.8854199999999999</v>
      </c>
      <c r="F138" s="5">
        <v>77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2.8786700000000001</v>
      </c>
      <c r="F139" s="5">
        <v>77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2.8708999999999998</v>
      </c>
      <c r="F140" s="5">
        <v>78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3.5184600000000001</v>
      </c>
      <c r="F141" s="5">
        <v>94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3.5369000000000002</v>
      </c>
      <c r="F142" s="5">
        <v>95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3.5150000000000001</v>
      </c>
      <c r="F143" s="5">
        <v>94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3.5300600000000002</v>
      </c>
      <c r="F144" s="5">
        <v>94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3.5224600000000001</v>
      </c>
      <c r="F145" s="5">
        <v>94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3.52637</v>
      </c>
      <c r="F146" s="5">
        <v>94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3.5314000000000001</v>
      </c>
      <c r="F147" s="5">
        <v>96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3.52536</v>
      </c>
      <c r="F148" s="5">
        <v>94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3.5137800000000001</v>
      </c>
      <c r="F149" s="5">
        <v>93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3.53857</v>
      </c>
      <c r="F150" s="5">
        <v>94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42988.218220000002</v>
      </c>
      <c r="E151" s="5">
        <v>4.9183599999999998</v>
      </c>
      <c r="F151" s="5">
        <v>32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42986.853589999999</v>
      </c>
      <c r="E152" s="5">
        <v>5.0088200000000001</v>
      </c>
      <c r="F152" s="5">
        <v>33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42986.673049999998</v>
      </c>
      <c r="E153" s="5">
        <v>4.99932</v>
      </c>
      <c r="F153" s="5">
        <v>33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42987.644590000004</v>
      </c>
      <c r="E154" s="5">
        <v>4.9913400000000001</v>
      </c>
      <c r="F154" s="5">
        <v>33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42986.802479999998</v>
      </c>
      <c r="E155" s="5">
        <v>4.9036999999999997</v>
      </c>
      <c r="F155" s="5">
        <v>32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42986.802479999998</v>
      </c>
      <c r="E156" s="5">
        <v>4.8917400000000004</v>
      </c>
      <c r="F156" s="5">
        <v>32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42987.113590000001</v>
      </c>
      <c r="E157" s="5">
        <v>4.9950000000000001</v>
      </c>
      <c r="F157" s="5">
        <v>33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42987.644590000004</v>
      </c>
      <c r="E158" s="5">
        <v>5.0625499999999999</v>
      </c>
      <c r="F158" s="5">
        <v>33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42986.836920000002</v>
      </c>
      <c r="E159" s="5">
        <v>4.9933100000000001</v>
      </c>
      <c r="F159" s="5">
        <v>33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42986.673049999998</v>
      </c>
      <c r="E160" s="5">
        <v>4.8920000000000003</v>
      </c>
      <c r="F160" s="5">
        <v>32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35673.107629999999</v>
      </c>
      <c r="E161" s="5">
        <v>12.829750000000001</v>
      </c>
      <c r="F161" s="5">
        <v>80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35826.982969999997</v>
      </c>
      <c r="E162" s="5">
        <v>12.82837</v>
      </c>
      <c r="F162" s="5">
        <v>80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35797.807240000002</v>
      </c>
      <c r="E163" s="5">
        <v>12.77299</v>
      </c>
      <c r="F163" s="5">
        <v>79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35814.935790000003</v>
      </c>
      <c r="E164" s="5">
        <v>12.83921</v>
      </c>
      <c r="F164" s="5">
        <v>80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35752.439120000003</v>
      </c>
      <c r="E165" s="5">
        <v>12.794549999999999</v>
      </c>
      <c r="F165" s="5">
        <v>80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35751.015509999997</v>
      </c>
      <c r="E166" s="5">
        <v>12.811909999999999</v>
      </c>
      <c r="F166" s="5">
        <v>80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35739.731269999997</v>
      </c>
      <c r="E167" s="5">
        <v>12.70434</v>
      </c>
      <c r="F167" s="5">
        <v>79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35799.027450000001</v>
      </c>
      <c r="E168" s="5">
        <v>12.762930000000001</v>
      </c>
      <c r="F168" s="5">
        <v>79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35689.659350000002</v>
      </c>
      <c r="E169" s="5">
        <v>12.74614</v>
      </c>
      <c r="F169" s="5">
        <v>79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35808.534110000001</v>
      </c>
      <c r="E170" s="5">
        <v>12.707240000000001</v>
      </c>
      <c r="F170" s="5">
        <v>79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35211.56</v>
      </c>
      <c r="E171" s="5">
        <v>28.605370000000001</v>
      </c>
      <c r="F171" s="5">
        <v>183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35383.267310000003</v>
      </c>
      <c r="E172" s="5">
        <v>28.565270000000002</v>
      </c>
      <c r="F172" s="5">
        <v>156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35426.36333</v>
      </c>
      <c r="E173" s="5">
        <v>28.628160000000001</v>
      </c>
      <c r="F173" s="5">
        <v>130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35256.457369999996</v>
      </c>
      <c r="E174" s="5">
        <v>28.53115</v>
      </c>
      <c r="F174" s="5">
        <v>136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35221.436130000002</v>
      </c>
      <c r="E175" s="5">
        <v>28.517530000000001</v>
      </c>
      <c r="F175" s="5">
        <v>178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35496.117460000001</v>
      </c>
      <c r="E176" s="5">
        <v>28.595189999999999</v>
      </c>
      <c r="F176" s="5">
        <v>178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35276.931960000002</v>
      </c>
      <c r="E177" s="5">
        <v>28.52253</v>
      </c>
      <c r="F177" s="5">
        <v>179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35227.300000000003</v>
      </c>
      <c r="E178" s="5">
        <v>28.547889999999999</v>
      </c>
      <c r="F178" s="5">
        <v>183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35423.150629999996</v>
      </c>
      <c r="E179" s="5">
        <v>28.563669999999998</v>
      </c>
      <c r="F179" s="5">
        <v>177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35565.716549999997</v>
      </c>
      <c r="E180" s="5">
        <v>28.570180000000001</v>
      </c>
      <c r="F180" s="5">
        <v>178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0.73877999999999999</v>
      </c>
      <c r="F181" s="5">
        <v>42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0.73119999999999996</v>
      </c>
      <c r="F182" s="5">
        <v>45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0.74280000000000002</v>
      </c>
      <c r="F183" s="5">
        <v>45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0.73821000000000003</v>
      </c>
      <c r="F184" s="5">
        <v>44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0.75632999999999995</v>
      </c>
      <c r="F185" s="5">
        <v>41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0.73438999999999999</v>
      </c>
      <c r="F186" s="5">
        <v>44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0.73079000000000005</v>
      </c>
      <c r="F187" s="5">
        <v>44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0.73621000000000003</v>
      </c>
      <c r="F188" s="5">
        <v>45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0.73041</v>
      </c>
      <c r="F189" s="5">
        <v>44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0.73426999999999998</v>
      </c>
      <c r="F190" s="5">
        <v>44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675.36989000000005</v>
      </c>
      <c r="E191" s="5">
        <v>1.1431199999999999</v>
      </c>
      <c r="F191" s="5">
        <v>68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675.36989000000005</v>
      </c>
      <c r="E192" s="5">
        <v>1.1386799999999999</v>
      </c>
      <c r="F192" s="5">
        <v>67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675.36989000000005</v>
      </c>
      <c r="E193" s="5">
        <v>1.1479699999999999</v>
      </c>
      <c r="F193" s="5">
        <v>67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675.36989000000005</v>
      </c>
      <c r="E194" s="5">
        <v>1.14683</v>
      </c>
      <c r="F194" s="5">
        <v>67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675.36989000000005</v>
      </c>
      <c r="E195" s="5">
        <v>1.1412800000000001</v>
      </c>
      <c r="F195" s="5">
        <v>69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675.36989000000005</v>
      </c>
      <c r="E196" s="5">
        <v>1.14646</v>
      </c>
      <c r="F196" s="5">
        <v>70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675.36989000000005</v>
      </c>
      <c r="E197" s="5">
        <v>1.13565</v>
      </c>
      <c r="F197" s="5">
        <v>62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675.36989000000005</v>
      </c>
      <c r="E198" s="5">
        <v>1.13863</v>
      </c>
      <c r="F198" s="5">
        <v>69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675.36989000000005</v>
      </c>
      <c r="E199" s="5">
        <v>1.1351599999999999</v>
      </c>
      <c r="F199" s="5">
        <v>70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675.36989000000005</v>
      </c>
      <c r="E200" s="5">
        <v>1.1375200000000001</v>
      </c>
      <c r="F200" s="5">
        <v>70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655.43295999999998</v>
      </c>
      <c r="E201" s="5">
        <v>2.0783499999999999</v>
      </c>
      <c r="F201" s="5">
        <v>117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657.32380999999998</v>
      </c>
      <c r="E202" s="5">
        <v>2.0769199999999999</v>
      </c>
      <c r="F202" s="5">
        <v>123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657.32380999999998</v>
      </c>
      <c r="E203" s="5">
        <v>2.07463</v>
      </c>
      <c r="F203" s="5">
        <v>119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657.32992999999999</v>
      </c>
      <c r="E204" s="5">
        <v>2.0718999999999999</v>
      </c>
      <c r="F204" s="5">
        <v>122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655.43295999999998</v>
      </c>
      <c r="E205" s="5">
        <v>2.0685099999999998</v>
      </c>
      <c r="F205" s="5">
        <v>120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655.46475999999996</v>
      </c>
      <c r="E206" s="5">
        <v>2.07097</v>
      </c>
      <c r="F206" s="5">
        <v>123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656.34204</v>
      </c>
      <c r="E207" s="5">
        <v>2.0799500000000002</v>
      </c>
      <c r="F207" s="5">
        <v>121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657.32992999999999</v>
      </c>
      <c r="E208" s="5">
        <v>2.0743900000000002</v>
      </c>
      <c r="F208" s="5">
        <v>123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655.43295999999998</v>
      </c>
      <c r="E209" s="5">
        <v>2.07036</v>
      </c>
      <c r="F209" s="5">
        <v>118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655.43907999999999</v>
      </c>
      <c r="E210" s="5">
        <v>2.0717699999999999</v>
      </c>
      <c r="F210" s="5">
        <v>123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1460.0209400000001</v>
      </c>
      <c r="E211" s="5">
        <v>1.5991</v>
      </c>
      <c r="F211" s="5">
        <v>42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1459.9687899999999</v>
      </c>
      <c r="E212" s="5">
        <v>1.61206</v>
      </c>
      <c r="F212" s="5">
        <v>42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1459.9687899999999</v>
      </c>
      <c r="E213" s="5">
        <v>1.6068</v>
      </c>
      <c r="F213" s="5">
        <v>43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1459.9687899999999</v>
      </c>
      <c r="E214" s="5">
        <v>1.5948500000000001</v>
      </c>
      <c r="F214" s="5">
        <v>43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1460.81727</v>
      </c>
      <c r="E215" s="5">
        <v>1.6163799999999999</v>
      </c>
      <c r="F215" s="5">
        <v>43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1459.9687899999999</v>
      </c>
      <c r="E216" s="5">
        <v>1.60181</v>
      </c>
      <c r="F216" s="5">
        <v>43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1459.9687899999999</v>
      </c>
      <c r="E217" s="5">
        <v>1.6130199999999999</v>
      </c>
      <c r="F217" s="5">
        <v>41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1459.9687899999999</v>
      </c>
      <c r="E218" s="5">
        <v>1.59823</v>
      </c>
      <c r="F218" s="5">
        <v>43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1459.9687899999999</v>
      </c>
      <c r="E219" s="5">
        <v>1.6047400000000001</v>
      </c>
      <c r="F219" s="5">
        <v>43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1460.0209400000001</v>
      </c>
      <c r="E220" s="5">
        <v>1.58778</v>
      </c>
      <c r="F220" s="5">
        <v>40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1016.70532</v>
      </c>
      <c r="E221" s="5">
        <v>4.5529099999999998</v>
      </c>
      <c r="F221" s="5">
        <v>114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1017.54333</v>
      </c>
      <c r="E222" s="5">
        <v>4.5575200000000002</v>
      </c>
      <c r="F222" s="5">
        <v>119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1011.69742</v>
      </c>
      <c r="E223" s="5">
        <v>4.5465</v>
      </c>
      <c r="F223" s="5">
        <v>118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1014.94335</v>
      </c>
      <c r="E224" s="5">
        <v>4.5716700000000001</v>
      </c>
      <c r="F224" s="5">
        <v>118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1026.05576</v>
      </c>
      <c r="E225" s="5">
        <v>4.57125</v>
      </c>
      <c r="F225" s="5">
        <v>118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1026.49721</v>
      </c>
      <c r="E226" s="5">
        <v>4.5733199999999998</v>
      </c>
      <c r="F226" s="5">
        <v>119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1018.33901</v>
      </c>
      <c r="E227" s="5">
        <v>4.5487299999999999</v>
      </c>
      <c r="F227" s="5">
        <v>116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1015.7056700000001</v>
      </c>
      <c r="E228" s="5">
        <v>4.5417399999999999</v>
      </c>
      <c r="F228" s="5">
        <v>118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1013.59941</v>
      </c>
      <c r="E229" s="5">
        <v>4.55985</v>
      </c>
      <c r="F229" s="5">
        <v>119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1009.95397</v>
      </c>
      <c r="E230" s="5">
        <v>4.5493499999999996</v>
      </c>
      <c r="F230" s="5">
        <v>119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995.35902999999996</v>
      </c>
      <c r="E231" s="5">
        <v>8.4162999999999997</v>
      </c>
      <c r="F231" s="5">
        <v>210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1002.89333</v>
      </c>
      <c r="E232" s="5">
        <v>8.4113199999999999</v>
      </c>
      <c r="F232" s="5">
        <v>208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994.34202000000005</v>
      </c>
      <c r="E233" s="5">
        <v>8.3878699999999995</v>
      </c>
      <c r="F233" s="5">
        <v>209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992.39783</v>
      </c>
      <c r="E234" s="5">
        <v>8.41648</v>
      </c>
      <c r="F234" s="5">
        <v>210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993.31470000000002</v>
      </c>
      <c r="E235" s="5">
        <v>8.4123199999999994</v>
      </c>
      <c r="F235" s="5">
        <v>210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1001.89978</v>
      </c>
      <c r="E236" s="5">
        <v>8.4145400000000006</v>
      </c>
      <c r="F236" s="5">
        <v>207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995.02832000000001</v>
      </c>
      <c r="E237" s="5">
        <v>8.3863299999999992</v>
      </c>
      <c r="F237" s="5">
        <v>208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1002.41707</v>
      </c>
      <c r="E238" s="5">
        <v>8.3924199999999995</v>
      </c>
      <c r="F238" s="5">
        <v>210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997.45785000000001</v>
      </c>
      <c r="E239" s="5">
        <v>8.3968699999999998</v>
      </c>
      <c r="F239" s="5">
        <v>208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996.08667000000003</v>
      </c>
      <c r="E240" s="5">
        <v>8.4027799999999999</v>
      </c>
      <c r="F240" s="5">
        <v>210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1873.9828</v>
      </c>
      <c r="E241" s="5">
        <v>5.1408899999999997</v>
      </c>
      <c r="F241" s="5">
        <v>37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1864.5416499999999</v>
      </c>
      <c r="E242" s="5">
        <v>5.1411100000000003</v>
      </c>
      <c r="F242" s="5">
        <v>37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1878.3000500000001</v>
      </c>
      <c r="E243" s="5">
        <v>5.1276000000000002</v>
      </c>
      <c r="F243" s="5">
        <v>37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1876.84905</v>
      </c>
      <c r="E244" s="5">
        <v>5.1383599999999996</v>
      </c>
      <c r="F244" s="5">
        <v>37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1848.1315199999999</v>
      </c>
      <c r="E245" s="5">
        <v>5.1374599999999999</v>
      </c>
      <c r="F245" s="5">
        <v>37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1877.25243</v>
      </c>
      <c r="E246" s="5">
        <v>5.1261700000000001</v>
      </c>
      <c r="F246" s="5">
        <v>37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1874.4159199999999</v>
      </c>
      <c r="E247" s="5">
        <v>5.1321099999999999</v>
      </c>
      <c r="F247" s="5">
        <v>37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1866.27639</v>
      </c>
      <c r="E248" s="5">
        <v>5.1406299999999998</v>
      </c>
      <c r="F248" s="5">
        <v>37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1853.08464</v>
      </c>
      <c r="E249" s="5">
        <v>5.1334900000000001</v>
      </c>
      <c r="F249" s="5">
        <v>37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1878.60616</v>
      </c>
      <c r="E250" s="5">
        <v>5.1403499999999998</v>
      </c>
      <c r="F250" s="5">
        <v>37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1773.2260000000001</v>
      </c>
      <c r="E251" s="5">
        <v>9.4319900000000008</v>
      </c>
      <c r="F251" s="5">
        <v>65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1804.00665</v>
      </c>
      <c r="E252" s="5">
        <v>9.4049700000000005</v>
      </c>
      <c r="F252" s="5">
        <v>65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1789.66013</v>
      </c>
      <c r="E253" s="5">
        <v>9.4143500000000007</v>
      </c>
      <c r="F253" s="5">
        <v>65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1790.1423299999999</v>
      </c>
      <c r="E254" s="5">
        <v>9.3849300000000007</v>
      </c>
      <c r="F254" s="5">
        <v>65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1792.0471399999999</v>
      </c>
      <c r="E255" s="5">
        <v>9.3800100000000004</v>
      </c>
      <c r="F255" s="5">
        <v>65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1794.07834</v>
      </c>
      <c r="E256" s="5">
        <v>9.4635800000000003</v>
      </c>
      <c r="F256" s="5">
        <v>66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1797.3802800000001</v>
      </c>
      <c r="E257" s="5">
        <v>9.3883600000000005</v>
      </c>
      <c r="F257" s="5">
        <v>65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1790.34871</v>
      </c>
      <c r="E258" s="5">
        <v>9.4079700000000006</v>
      </c>
      <c r="F258" s="5">
        <v>65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1803.9665199999999</v>
      </c>
      <c r="E259" s="5">
        <v>9.3827400000000001</v>
      </c>
      <c r="F259" s="5">
        <v>65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1798.7868000000001</v>
      </c>
      <c r="E260" s="5">
        <v>9.3798399999999997</v>
      </c>
      <c r="F260" s="5">
        <v>65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1767.50182</v>
      </c>
      <c r="E261" s="5">
        <v>15.34844</v>
      </c>
      <c r="F261" s="5">
        <v>104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1757.0866699999999</v>
      </c>
      <c r="E262" s="5">
        <v>15.44059</v>
      </c>
      <c r="F262" s="5">
        <v>106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1755.1033299999999</v>
      </c>
      <c r="E263" s="5">
        <v>15.398350000000001</v>
      </c>
      <c r="F263" s="5">
        <v>106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1763.9861699999999</v>
      </c>
      <c r="E264" s="5">
        <v>15.42306</v>
      </c>
      <c r="F264" s="5">
        <v>104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1757.32223</v>
      </c>
      <c r="E265" s="5">
        <v>15.417759999999999</v>
      </c>
      <c r="F265" s="5">
        <v>106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1768.18832</v>
      </c>
      <c r="E266" s="5">
        <v>15.37213</v>
      </c>
      <c r="F266" s="5">
        <v>104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1758.46</v>
      </c>
      <c r="E267" s="5">
        <v>15.341010000000001</v>
      </c>
      <c r="F267" s="5">
        <v>105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1756.49389</v>
      </c>
      <c r="E268" s="5">
        <v>15.39983</v>
      </c>
      <c r="F268" s="5">
        <v>106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1756.98191</v>
      </c>
      <c r="E269" s="5">
        <v>15.440860000000001</v>
      </c>
      <c r="F269" s="5">
        <v>106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1767.93667</v>
      </c>
      <c r="E270" s="5">
        <v>15.38814</v>
      </c>
      <c r="F270" s="5">
        <v>105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41.318849999999998</v>
      </c>
      <c r="E271" s="5">
        <v>0.59508000000000005</v>
      </c>
      <c r="F271" s="5">
        <v>34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41.318849999999998</v>
      </c>
      <c r="E272" s="5">
        <v>0.58833999999999997</v>
      </c>
      <c r="F272" s="5">
        <v>38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41.504739999999998</v>
      </c>
      <c r="E273" s="5">
        <v>0.58509</v>
      </c>
      <c r="F273" s="5">
        <v>40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41.318849999999998</v>
      </c>
      <c r="E274" s="5">
        <v>0.58640999999999999</v>
      </c>
      <c r="F274" s="5">
        <v>39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41.318849999999998</v>
      </c>
      <c r="E275" s="5">
        <v>0.58614999999999995</v>
      </c>
      <c r="F275" s="5">
        <v>39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41.318849999999998</v>
      </c>
      <c r="E276" s="5">
        <v>0.58603000000000005</v>
      </c>
      <c r="F276" s="5">
        <v>39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41.318849999999998</v>
      </c>
      <c r="E277" s="5">
        <v>0.59226999999999996</v>
      </c>
      <c r="F277" s="5">
        <v>40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41.318849999999998</v>
      </c>
      <c r="E278" s="5">
        <v>0.59111999999999998</v>
      </c>
      <c r="F278" s="5">
        <v>35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41.318849999999998</v>
      </c>
      <c r="E279" s="5">
        <v>0.58720000000000006</v>
      </c>
      <c r="F279" s="5">
        <v>39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41.318849999999998</v>
      </c>
      <c r="E280" s="5">
        <v>0.58840000000000003</v>
      </c>
      <c r="F280" s="5">
        <v>40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0.87907999999999997</v>
      </c>
      <c r="F281" s="5">
        <v>65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0.88873000000000002</v>
      </c>
      <c r="F282" s="5">
        <v>62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28.65436</v>
      </c>
      <c r="E283" s="5">
        <v>0.87461</v>
      </c>
      <c r="F283" s="5">
        <v>62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0.87612999999999996</v>
      </c>
      <c r="F284" s="5">
        <v>65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0.87366999999999995</v>
      </c>
      <c r="F285" s="5">
        <v>66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28.65436</v>
      </c>
      <c r="E286" s="5">
        <v>0.88307000000000002</v>
      </c>
      <c r="F286" s="5">
        <v>66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28.65436</v>
      </c>
      <c r="E287" s="5">
        <v>0.87544</v>
      </c>
      <c r="F287" s="5">
        <v>60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0.88100999999999996</v>
      </c>
      <c r="F288" s="5">
        <v>67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28.65436</v>
      </c>
      <c r="E289" s="5">
        <v>0.87414999999999998</v>
      </c>
      <c r="F289" s="5">
        <v>67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0.88197000000000003</v>
      </c>
      <c r="F290" s="5">
        <v>67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28.592030000000001</v>
      </c>
      <c r="E291" s="5">
        <v>1.1434599999999999</v>
      </c>
      <c r="F291" s="5">
        <v>77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28.592030000000001</v>
      </c>
      <c r="E292" s="5">
        <v>1.1408199999999999</v>
      </c>
      <c r="F292" s="5">
        <v>83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28.592030000000001</v>
      </c>
      <c r="E293" s="5">
        <v>1.1352800000000001</v>
      </c>
      <c r="F293" s="5">
        <v>83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28.587009999999999</v>
      </c>
      <c r="E294" s="5">
        <v>1.13713</v>
      </c>
      <c r="F294" s="5">
        <v>84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28.592030000000001</v>
      </c>
      <c r="E295" s="5">
        <v>1.1370100000000001</v>
      </c>
      <c r="F295" s="5">
        <v>77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28.546240000000001</v>
      </c>
      <c r="E296" s="5">
        <v>1.1412100000000001</v>
      </c>
      <c r="F296" s="5">
        <v>84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28.592030000000001</v>
      </c>
      <c r="E297" s="5">
        <v>1.1340300000000001</v>
      </c>
      <c r="F297" s="5">
        <v>82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28.592030000000001</v>
      </c>
      <c r="E298" s="5">
        <v>1.14116</v>
      </c>
      <c r="F298" s="5">
        <v>80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28.602029999999999</v>
      </c>
      <c r="E299" s="5">
        <v>1.1410499999999999</v>
      </c>
      <c r="F299" s="5">
        <v>79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28.602029999999999</v>
      </c>
      <c r="E300" s="5">
        <v>1.1407</v>
      </c>
      <c r="F300" s="5">
        <v>83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58.249510000000001</v>
      </c>
      <c r="E301" s="5">
        <v>1.93188</v>
      </c>
      <c r="F301" s="5">
        <v>48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56.911659999999998</v>
      </c>
      <c r="E302" s="5">
        <v>1.9445399999999999</v>
      </c>
      <c r="F302" s="5">
        <v>46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56.912840000000003</v>
      </c>
      <c r="E303" s="5">
        <v>1.9230700000000001</v>
      </c>
      <c r="F303" s="5">
        <v>48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59.045529999999999</v>
      </c>
      <c r="E304" s="5">
        <v>1.9434</v>
      </c>
      <c r="F304" s="5">
        <v>50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57.090060000000001</v>
      </c>
      <c r="E305" s="5">
        <v>1.9254</v>
      </c>
      <c r="F305" s="5">
        <v>48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59.186500000000002</v>
      </c>
      <c r="E306" s="5">
        <v>1.9406099999999999</v>
      </c>
      <c r="F306" s="5">
        <v>50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57.306280000000001</v>
      </c>
      <c r="E307" s="5">
        <v>1.92882</v>
      </c>
      <c r="F307" s="5">
        <v>48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59.194740000000003</v>
      </c>
      <c r="E308" s="5">
        <v>1.9434899999999999</v>
      </c>
      <c r="F308" s="5">
        <v>50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58.927329999999998</v>
      </c>
      <c r="E309" s="5">
        <v>1.93137</v>
      </c>
      <c r="F309" s="5">
        <v>48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59.202849999999998</v>
      </c>
      <c r="E310" s="5">
        <v>1.9377500000000001</v>
      </c>
      <c r="F310" s="5">
        <v>50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53.524979999999999</v>
      </c>
      <c r="E311" s="5">
        <v>3.7735599999999998</v>
      </c>
      <c r="F311" s="5">
        <v>91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53.522750000000002</v>
      </c>
      <c r="E312" s="5">
        <v>3.7500200000000001</v>
      </c>
      <c r="F312" s="5">
        <v>92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53.756079999999997</v>
      </c>
      <c r="E313" s="5">
        <v>3.7733699999999999</v>
      </c>
      <c r="F313" s="5">
        <v>93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53.935070000000003</v>
      </c>
      <c r="E314" s="5">
        <v>3.7820100000000001</v>
      </c>
      <c r="F314" s="5">
        <v>93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53.755070000000003</v>
      </c>
      <c r="E315" s="5">
        <v>3.7795299999999998</v>
      </c>
      <c r="F315" s="5">
        <v>92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53.53266</v>
      </c>
      <c r="E316" s="5">
        <v>3.7754599999999998</v>
      </c>
      <c r="F316" s="5">
        <v>93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54.07038</v>
      </c>
      <c r="E317" s="5">
        <v>3.7515800000000001</v>
      </c>
      <c r="F317" s="5">
        <v>92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53.632750000000001</v>
      </c>
      <c r="E318" s="5">
        <v>3.7820399999999998</v>
      </c>
      <c r="F318" s="5">
        <v>92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53.652659999999997</v>
      </c>
      <c r="E319" s="5">
        <v>3.75468</v>
      </c>
      <c r="F319" s="5">
        <v>91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53.556080000000001</v>
      </c>
      <c r="E320" s="5">
        <v>3.7593700000000001</v>
      </c>
      <c r="F320" s="5">
        <v>91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53.252409999999998</v>
      </c>
      <c r="E321" s="5">
        <v>6.1039399999999997</v>
      </c>
      <c r="F321" s="5">
        <v>142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53.228319999999997</v>
      </c>
      <c r="E322" s="5">
        <v>6.0844300000000002</v>
      </c>
      <c r="F322" s="5">
        <v>139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53.007489999999997</v>
      </c>
      <c r="E323" s="5">
        <v>6.08155</v>
      </c>
      <c r="F323" s="5">
        <v>141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53.24241</v>
      </c>
      <c r="E324" s="5">
        <v>6.07735</v>
      </c>
      <c r="F324" s="5">
        <v>141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53.244979999999998</v>
      </c>
      <c r="E325" s="5">
        <v>6.0867399999999998</v>
      </c>
      <c r="F325" s="5">
        <v>143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53.217489999999998</v>
      </c>
      <c r="E326" s="5">
        <v>6.1004800000000001</v>
      </c>
      <c r="F326" s="5">
        <v>140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53.205930000000002</v>
      </c>
      <c r="E327" s="5">
        <v>6.0898700000000003</v>
      </c>
      <c r="F327" s="5">
        <v>141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53.45749</v>
      </c>
      <c r="E328" s="5">
        <v>6.1004300000000002</v>
      </c>
      <c r="F328" s="5">
        <v>141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53.210819999999998</v>
      </c>
      <c r="E329" s="5">
        <v>6.0906599999999997</v>
      </c>
      <c r="F329" s="5">
        <v>141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53.166440000000001</v>
      </c>
      <c r="E330" s="5">
        <v>6.0840899999999998</v>
      </c>
      <c r="F330" s="5">
        <v>139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148.31486000000001</v>
      </c>
      <c r="E331" s="5">
        <v>7.10609</v>
      </c>
      <c r="F331" s="5">
        <v>49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148.28901999999999</v>
      </c>
      <c r="E332" s="5">
        <v>7.07531</v>
      </c>
      <c r="F332" s="5">
        <v>49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148.26087999999999</v>
      </c>
      <c r="E333" s="5">
        <v>7.0637299999999996</v>
      </c>
      <c r="F333" s="5">
        <v>49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148.47502</v>
      </c>
      <c r="E334" s="5">
        <v>7.0668600000000001</v>
      </c>
      <c r="F334" s="5">
        <v>48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148.32320000000001</v>
      </c>
      <c r="E335" s="5">
        <v>7.1301500000000004</v>
      </c>
      <c r="F335" s="5">
        <v>49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148.30547999999999</v>
      </c>
      <c r="E336" s="5">
        <v>7.09321</v>
      </c>
      <c r="F336" s="5">
        <v>49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148.39297999999999</v>
      </c>
      <c r="E337" s="5">
        <v>7.0897899999999998</v>
      </c>
      <c r="F337" s="5">
        <v>49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148.24902</v>
      </c>
      <c r="E338" s="5">
        <v>7.12357</v>
      </c>
      <c r="F338" s="5">
        <v>49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148.43902</v>
      </c>
      <c r="E339" s="5">
        <v>7.1183100000000001</v>
      </c>
      <c r="F339" s="5">
        <v>49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148.25403</v>
      </c>
      <c r="E340" s="5">
        <v>7.1116799999999998</v>
      </c>
      <c r="F340" s="5">
        <v>49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109.55407</v>
      </c>
      <c r="E341" s="5">
        <v>16.817270000000001</v>
      </c>
      <c r="F341" s="5">
        <v>111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108.2158</v>
      </c>
      <c r="E342" s="5">
        <v>16.881589999999999</v>
      </c>
      <c r="F342" s="5">
        <v>112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108.91876999999999</v>
      </c>
      <c r="E343" s="5">
        <v>16.791419999999999</v>
      </c>
      <c r="F343" s="5">
        <v>111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108.29003</v>
      </c>
      <c r="E344" s="5">
        <v>16.80856</v>
      </c>
      <c r="F344" s="5">
        <v>111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109.8944</v>
      </c>
      <c r="E345" s="5">
        <v>16.870760000000001</v>
      </c>
      <c r="F345" s="5">
        <v>111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108.58168999999999</v>
      </c>
      <c r="E346" s="5">
        <v>16.821429999999999</v>
      </c>
      <c r="F346" s="5">
        <v>111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109.24033</v>
      </c>
      <c r="E347" s="5">
        <v>16.907820000000001</v>
      </c>
      <c r="F347" s="5">
        <v>112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108.87927999999999</v>
      </c>
      <c r="E348" s="5">
        <v>16.797630000000002</v>
      </c>
      <c r="F348" s="5">
        <v>111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109.98163</v>
      </c>
      <c r="E349" s="5">
        <v>16.85042</v>
      </c>
      <c r="F349" s="5">
        <v>111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108.0483</v>
      </c>
      <c r="E350" s="5">
        <v>16.81108</v>
      </c>
      <c r="F350" s="5">
        <v>112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104.02670000000001</v>
      </c>
      <c r="E351" s="5">
        <v>29.445309999999999</v>
      </c>
      <c r="F351" s="5">
        <v>191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104.00586</v>
      </c>
      <c r="E352" s="5">
        <v>29.349969999999999</v>
      </c>
      <c r="F352" s="5">
        <v>189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103.70859</v>
      </c>
      <c r="E353" s="5">
        <v>29.377949999999998</v>
      </c>
      <c r="F353" s="5">
        <v>190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104.03328999999999</v>
      </c>
      <c r="E354" s="5">
        <v>29.418859999999999</v>
      </c>
      <c r="F354" s="5">
        <v>190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103.96086</v>
      </c>
      <c r="E355" s="5">
        <v>29.397970000000001</v>
      </c>
      <c r="F355" s="5">
        <v>189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103.98496</v>
      </c>
      <c r="E356" s="5">
        <v>29.433789999999998</v>
      </c>
      <c r="F356" s="5">
        <v>190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104.04003</v>
      </c>
      <c r="E357" s="5">
        <v>29.454509999999999</v>
      </c>
      <c r="F357" s="5">
        <v>190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103.98698</v>
      </c>
      <c r="E358" s="5">
        <v>29.343810000000001</v>
      </c>
      <c r="F358" s="5">
        <v>189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103.74419</v>
      </c>
      <c r="E359" s="5">
        <v>29.40099</v>
      </c>
      <c r="F359" s="5">
        <v>188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103.96793</v>
      </c>
      <c r="E360" s="5">
        <v>29.42502</v>
      </c>
      <c r="F360" s="5">
        <v>188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0.54805000000000004</v>
      </c>
      <c r="F361" s="5">
        <v>33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0.54796</v>
      </c>
      <c r="F362" s="5">
        <v>29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0.54203000000000001</v>
      </c>
      <c r="F363" s="5">
        <v>31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0.55371000000000004</v>
      </c>
      <c r="F364" s="5">
        <v>33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0.54915000000000003</v>
      </c>
      <c r="F365" s="5">
        <v>32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0.54908000000000001</v>
      </c>
      <c r="F366" s="5">
        <v>32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0.54461000000000004</v>
      </c>
      <c r="F367" s="5">
        <v>27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0.54468000000000005</v>
      </c>
      <c r="F368" s="5">
        <v>32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0.54993000000000003</v>
      </c>
      <c r="F369" s="5">
        <v>33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0.54973000000000005</v>
      </c>
      <c r="F370" s="5">
        <v>34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0.87561</v>
      </c>
      <c r="F371" s="5">
        <v>50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0.87316000000000005</v>
      </c>
      <c r="F372" s="5">
        <v>54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0.87378999999999996</v>
      </c>
      <c r="F373" s="5">
        <v>54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0.87465000000000004</v>
      </c>
      <c r="F374" s="5">
        <v>49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0.88034000000000001</v>
      </c>
      <c r="F375" s="5">
        <v>54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0.87426000000000004</v>
      </c>
      <c r="F376" s="5">
        <v>54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0.88251999999999997</v>
      </c>
      <c r="F377" s="5">
        <v>56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0.87134999999999996</v>
      </c>
      <c r="F378" s="5">
        <v>54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0.88082000000000005</v>
      </c>
      <c r="F379" s="5">
        <v>53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0.87163999999999997</v>
      </c>
      <c r="F380" s="5">
        <v>54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1.1581999999999999</v>
      </c>
      <c r="F381" s="5">
        <v>68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1.15507</v>
      </c>
      <c r="F382" s="5">
        <v>71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1.15473</v>
      </c>
      <c r="F383" s="5">
        <v>68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1.15862</v>
      </c>
      <c r="F384" s="5">
        <v>71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1.1487499999999999</v>
      </c>
      <c r="F385" s="5">
        <v>71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1.1554</v>
      </c>
      <c r="F386" s="5">
        <v>65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1.1504700000000001</v>
      </c>
      <c r="F387" s="5">
        <v>70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1.1508700000000001</v>
      </c>
      <c r="F388" s="5">
        <v>71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1.1551800000000001</v>
      </c>
      <c r="F389" s="5">
        <v>71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1.1489400000000001</v>
      </c>
      <c r="F390" s="5">
        <v>64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1.13357</v>
      </c>
      <c r="F391" s="5">
        <v>22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1.1123799999999999</v>
      </c>
      <c r="F392" s="5">
        <v>22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1.13561</v>
      </c>
      <c r="F393" s="5">
        <v>23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1.1324399999999999</v>
      </c>
      <c r="F394" s="5">
        <v>23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1.1143000000000001</v>
      </c>
      <c r="F395" s="5">
        <v>22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1.1328499999999999</v>
      </c>
      <c r="F396" s="5">
        <v>23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1.125</v>
      </c>
      <c r="F397" s="5">
        <v>23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1.1314200000000001</v>
      </c>
      <c r="F398" s="5">
        <v>23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1.10972</v>
      </c>
      <c r="F399" s="5">
        <v>21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1.12568</v>
      </c>
      <c r="F400" s="5">
        <v>23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2.5261800000000001</v>
      </c>
      <c r="F401" s="5">
        <v>49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2.4987699999999999</v>
      </c>
      <c r="F402" s="5">
        <v>49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2.5165600000000001</v>
      </c>
      <c r="F403" s="5">
        <v>49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2.5167600000000001</v>
      </c>
      <c r="F404" s="5">
        <v>49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2.5068100000000002</v>
      </c>
      <c r="F405" s="5">
        <v>50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2.5261499999999999</v>
      </c>
      <c r="F406" s="5">
        <v>49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2.52495</v>
      </c>
      <c r="F407" s="5">
        <v>50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2.5200900000000002</v>
      </c>
      <c r="F408" s="5">
        <v>49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2.52556</v>
      </c>
      <c r="F409" s="5">
        <v>49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2.4883899999999999</v>
      </c>
      <c r="F410" s="5">
        <v>49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2.73942</v>
      </c>
      <c r="F411" s="5">
        <v>52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2.7538900000000002</v>
      </c>
      <c r="F412" s="5">
        <v>52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2.7298900000000001</v>
      </c>
      <c r="F413" s="5">
        <v>52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2.7269700000000001</v>
      </c>
      <c r="F414" s="5">
        <v>53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2.7372000000000001</v>
      </c>
      <c r="F415" s="5">
        <v>52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2.7263600000000001</v>
      </c>
      <c r="F416" s="5">
        <v>52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2.7255400000000001</v>
      </c>
      <c r="F417" s="5">
        <v>53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2.7414100000000001</v>
      </c>
      <c r="F418" s="5">
        <v>52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2.74926</v>
      </c>
      <c r="F419" s="5">
        <v>53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2.7485200000000001</v>
      </c>
      <c r="F420" s="5">
        <v>53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2.9831099999999999</v>
      </c>
      <c r="F421" s="5">
        <v>22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2.9794800000000001</v>
      </c>
      <c r="F422" s="5">
        <v>22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3.0640100000000001</v>
      </c>
      <c r="F423" s="5">
        <v>23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3.0688900000000001</v>
      </c>
      <c r="F424" s="5">
        <v>23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3.0878000000000001</v>
      </c>
      <c r="F425" s="5">
        <v>23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2.9891999999999999</v>
      </c>
      <c r="F426" s="5">
        <v>22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2.9782299999999999</v>
      </c>
      <c r="F427" s="5">
        <v>22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3.0626000000000002</v>
      </c>
      <c r="F428" s="5">
        <v>23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3.0840399999999999</v>
      </c>
      <c r="F429" s="5">
        <v>23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3.06603</v>
      </c>
      <c r="F430" s="5">
        <v>23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3.8941699999999999</v>
      </c>
      <c r="F431" s="5">
        <v>25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3.8431899999999999</v>
      </c>
      <c r="F432" s="5">
        <v>26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3.8479999999999999</v>
      </c>
      <c r="F433" s="5">
        <v>26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3.8431999999999999</v>
      </c>
      <c r="F434" s="5">
        <v>23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3.8401800000000001</v>
      </c>
      <c r="F435" s="5">
        <v>24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3.8104</v>
      </c>
      <c r="F436" s="5">
        <v>24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3.8563800000000001</v>
      </c>
      <c r="F437" s="5">
        <v>25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3.8542999999999998</v>
      </c>
      <c r="F438" s="5">
        <v>24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3.79297</v>
      </c>
      <c r="F439" s="5">
        <v>26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3.77847</v>
      </c>
      <c r="F440" s="5">
        <v>26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5.5579999999999998</v>
      </c>
      <c r="F441" s="5">
        <v>31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5.4916900000000002</v>
      </c>
      <c r="F442" s="5">
        <v>31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5.5758099999999997</v>
      </c>
      <c r="F443" s="5">
        <v>34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5.5272399999999999</v>
      </c>
      <c r="F444" s="5">
        <v>31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5.5871399999999998</v>
      </c>
      <c r="F445" s="5">
        <v>34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5.4647500000000004</v>
      </c>
      <c r="F446" s="5">
        <v>34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5.5573800000000002</v>
      </c>
      <c r="F447" s="5">
        <v>34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5.4624899999999998</v>
      </c>
      <c r="F448" s="5">
        <v>35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5.5599499999999997</v>
      </c>
      <c r="F449" s="5">
        <v>36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5.5668800000000003</v>
      </c>
      <c r="F450" s="5">
        <v>36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W1" zoomScale="85" zoomScaleNormal="85" workbookViewId="0">
      <selection activeCell="AP21" sqref="AP21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0.54413</v>
      </c>
      <c r="F1" s="5">
        <v>21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0.55545999999999995</v>
      </c>
      <c r="F2" s="5">
        <v>21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0.55754999999999999</v>
      </c>
      <c r="F3" s="5">
        <v>22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170.35004000000001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0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0.55571000000000004</v>
      </c>
      <c r="F4" s="5">
        <v>22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0.55100000000000005</v>
      </c>
      <c r="F5" s="5">
        <v>26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0.54732000000000003</v>
      </c>
      <c r="F6" s="5">
        <v>24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0.54727000000000003</v>
      </c>
      <c r="F7" s="5">
        <v>27</v>
      </c>
      <c r="H7" s="5" t="s">
        <v>27</v>
      </c>
      <c r="I7" s="5">
        <v>50</v>
      </c>
      <c r="J7" s="5">
        <v>1</v>
      </c>
      <c r="L7" s="5">
        <f t="shared" ca="1" si="11"/>
        <v>182.37333000000001</v>
      </c>
      <c r="M7" s="5">
        <f t="shared" ca="1" si="0"/>
        <v>179.95332999999999</v>
      </c>
      <c r="N7" s="5">
        <f t="shared" ca="1" si="0"/>
        <v>180.37180000000001</v>
      </c>
      <c r="O7" s="5">
        <f t="shared" ca="1" si="0"/>
        <v>180.36302000000001</v>
      </c>
      <c r="P7" s="5">
        <f t="shared" ca="1" si="0"/>
        <v>180.25</v>
      </c>
      <c r="Q7" s="5">
        <f t="shared" ca="1" si="0"/>
        <v>182.34269</v>
      </c>
      <c r="R7" s="5">
        <f t="shared" ca="1" si="0"/>
        <v>180.31627</v>
      </c>
      <c r="S7" s="5">
        <f t="shared" ca="1" si="0"/>
        <v>181.40834000000001</v>
      </c>
      <c r="T7" s="5">
        <f t="shared" ca="1" si="0"/>
        <v>182.34583000000001</v>
      </c>
      <c r="U7" s="5">
        <f t="shared" ca="1" si="0"/>
        <v>180.33813000000001</v>
      </c>
      <c r="W7" s="5">
        <f t="shared" ca="1" si="12"/>
        <v>181.00627400000002</v>
      </c>
      <c r="Y7" s="5">
        <f ca="1">Total!E7</f>
        <v>179.67332999999999</v>
      </c>
      <c r="AB7" s="5">
        <f t="shared" ca="1" si="1"/>
        <v>1.5027271994124099E-2</v>
      </c>
      <c r="AC7" s="5">
        <f t="shared" ca="1" si="2"/>
        <v>1.5583837623536067E-3</v>
      </c>
      <c r="AD7" s="5">
        <f t="shared" ca="1" si="3"/>
        <v>3.8874439517540783E-3</v>
      </c>
      <c r="AE7" s="5">
        <f t="shared" ca="1" si="4"/>
        <v>3.838577489491696E-3</v>
      </c>
      <c r="AF7" s="5">
        <f t="shared" ca="1" si="5"/>
        <v>3.209547015130221E-3</v>
      </c>
      <c r="AG7" s="5">
        <f t="shared" ca="1" si="6"/>
        <v>1.4856740285272231E-2</v>
      </c>
      <c r="AH7" s="5">
        <f t="shared" ca="1" si="7"/>
        <v>3.5783830577415694E-3</v>
      </c>
      <c r="AI7" s="5">
        <f t="shared" ca="1" si="8"/>
        <v>9.6564693268612369E-3</v>
      </c>
      <c r="AJ7" s="5">
        <f t="shared" ca="1" si="9"/>
        <v>1.4874216446035779E-2</v>
      </c>
      <c r="AK7" s="5">
        <f t="shared" ca="1" si="10"/>
        <v>3.7000483043310539E-3</v>
      </c>
      <c r="AM7" s="5">
        <f t="shared" ca="1" si="13"/>
        <v>7.4187081633095564E-2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0.55008999999999997</v>
      </c>
      <c r="F8" s="5">
        <v>22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0.55586999999999998</v>
      </c>
      <c r="F9" s="5">
        <v>23</v>
      </c>
      <c r="H9" s="5" t="s">
        <v>27</v>
      </c>
      <c r="I9" s="5">
        <v>100</v>
      </c>
      <c r="J9" s="5">
        <v>0.7</v>
      </c>
      <c r="L9" s="5">
        <f t="shared" ca="1" si="11"/>
        <v>259.22331000000003</v>
      </c>
      <c r="M9" s="5">
        <f t="shared" ca="1" si="0"/>
        <v>257.27938999999998</v>
      </c>
      <c r="N9" s="5">
        <f t="shared" ca="1" si="0"/>
        <v>258.04874000000001</v>
      </c>
      <c r="O9" s="5">
        <f t="shared" ca="1" si="0"/>
        <v>257.54833000000002</v>
      </c>
      <c r="P9" s="5">
        <f t="shared" ca="1" si="0"/>
        <v>258.46731999999997</v>
      </c>
      <c r="Q9" s="5">
        <f t="shared" ca="1" si="0"/>
        <v>259.08465999999999</v>
      </c>
      <c r="R9" s="5">
        <f t="shared" ca="1" si="0"/>
        <v>258.74272000000002</v>
      </c>
      <c r="S9" s="5">
        <f t="shared" ca="1" si="0"/>
        <v>258.77731999999997</v>
      </c>
      <c r="T9" s="5">
        <f t="shared" ca="1" si="0"/>
        <v>258.14037999999999</v>
      </c>
      <c r="U9" s="5">
        <f t="shared" ca="1" si="0"/>
        <v>259.92351000000002</v>
      </c>
      <c r="W9" s="5">
        <f t="shared" ca="1" si="12"/>
        <v>258.52356799999995</v>
      </c>
      <c r="Y9" s="5">
        <f ca="1">Total!E9</f>
        <v>255.18879999999999</v>
      </c>
      <c r="AB9" s="5">
        <f t="shared" ca="1" si="1"/>
        <v>1.5809902315462279E-2</v>
      </c>
      <c r="AC9" s="5">
        <f t="shared" ca="1" si="2"/>
        <v>8.1923266224849679E-3</v>
      </c>
      <c r="AD9" s="5">
        <f t="shared" ca="1" si="3"/>
        <v>1.1207153291994097E-2</v>
      </c>
      <c r="AE9" s="5">
        <f t="shared" ca="1" si="4"/>
        <v>9.2462129999437096E-3</v>
      </c>
      <c r="AF9" s="5">
        <f t="shared" ca="1" si="5"/>
        <v>1.2847429040772896E-2</v>
      </c>
      <c r="AG9" s="5">
        <f t="shared" ca="1" si="6"/>
        <v>1.5266579097515248E-2</v>
      </c>
      <c r="AH9" s="5">
        <f t="shared" ca="1" si="7"/>
        <v>1.3926630008840646E-2</v>
      </c>
      <c r="AI9" s="5">
        <f t="shared" ca="1" si="8"/>
        <v>1.4062215896622378E-2</v>
      </c>
      <c r="AJ9" s="5">
        <f t="shared" ca="1" si="9"/>
        <v>1.1566259961252245E-2</v>
      </c>
      <c r="AK9" s="5">
        <f t="shared" ca="1" si="10"/>
        <v>1.8553753142771294E-2</v>
      </c>
      <c r="AM9" s="5">
        <f t="shared" ca="1" si="13"/>
        <v>0.13067846237765976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0.54664000000000001</v>
      </c>
      <c r="F10" s="5">
        <v>27</v>
      </c>
      <c r="H10" s="5" t="s">
        <v>27</v>
      </c>
      <c r="I10" s="5">
        <v>100</v>
      </c>
      <c r="J10" s="5">
        <v>1</v>
      </c>
      <c r="L10" s="5">
        <f t="shared" ca="1" si="11"/>
        <v>238.89</v>
      </c>
      <c r="M10" s="5">
        <f t="shared" ca="1" si="0"/>
        <v>238.96373</v>
      </c>
      <c r="N10" s="5">
        <f t="shared" ca="1" si="0"/>
        <v>239.52873</v>
      </c>
      <c r="O10" s="5">
        <f t="shared" ca="1" si="0"/>
        <v>239.16</v>
      </c>
      <c r="P10" s="5">
        <f t="shared" ca="1" si="0"/>
        <v>239.83</v>
      </c>
      <c r="Q10" s="5">
        <f t="shared" ca="1" si="0"/>
        <v>239.10373000000001</v>
      </c>
      <c r="R10" s="5">
        <f t="shared" ca="1" si="0"/>
        <v>238.97667000000001</v>
      </c>
      <c r="S10" s="5">
        <f t="shared" ca="1" si="0"/>
        <v>239.29922999999999</v>
      </c>
      <c r="T10" s="5">
        <f t="shared" ca="1" si="0"/>
        <v>239.26373000000001</v>
      </c>
      <c r="U10" s="5">
        <f t="shared" ca="1" si="0"/>
        <v>239.0703</v>
      </c>
      <c r="W10" s="5">
        <f t="shared" ca="1" si="12"/>
        <v>239.20861199999999</v>
      </c>
      <c r="Y10" s="5">
        <f ca="1">Total!E10</f>
        <v>238.77667</v>
      </c>
      <c r="AB10" s="5">
        <f t="shared" ca="1" si="1"/>
        <v>4.746276091378216E-4</v>
      </c>
      <c r="AC10" s="5">
        <f t="shared" ca="1" si="2"/>
        <v>7.8340986998437685E-4</v>
      </c>
      <c r="AD10" s="5">
        <f t="shared" ca="1" si="3"/>
        <v>3.1496376928281987E-3</v>
      </c>
      <c r="AE10" s="5">
        <f t="shared" ca="1" si="4"/>
        <v>1.6053913474880139E-3</v>
      </c>
      <c r="AF10" s="5">
        <f t="shared" ca="1" si="5"/>
        <v>4.4113606241347478E-3</v>
      </c>
      <c r="AG10" s="5">
        <f t="shared" ca="1" si="6"/>
        <v>1.36973180838822E-3</v>
      </c>
      <c r="AH10" s="5">
        <f t="shared" ca="1" si="7"/>
        <v>8.3760276914833032E-4</v>
      </c>
      <c r="AI10" s="5">
        <f t="shared" ca="1" si="8"/>
        <v>2.188488515230565E-3</v>
      </c>
      <c r="AJ10" s="5">
        <f t="shared" ca="1" si="9"/>
        <v>2.039814023706813E-3</v>
      </c>
      <c r="AK10" s="5">
        <f t="shared" ca="1" si="10"/>
        <v>1.2297265055250474E-3</v>
      </c>
      <c r="AM10" s="5">
        <f t="shared" ca="1" si="13"/>
        <v>1.8089790765572135E-2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1.4218200000000001</v>
      </c>
      <c r="F11" s="5">
        <v>84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1.42276</v>
      </c>
      <c r="F12" s="5">
        <v>82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1.4269099999999999</v>
      </c>
      <c r="F13" s="5">
        <v>86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1.4295599999999999</v>
      </c>
      <c r="F14" s="5">
        <v>87</v>
      </c>
      <c r="H14" s="5" t="s">
        <v>2</v>
      </c>
      <c r="I14" s="5">
        <v>47</v>
      </c>
      <c r="J14" s="5">
        <v>0.4</v>
      </c>
      <c r="L14" s="5">
        <f t="shared" ca="1" si="11"/>
        <v>4348.0289499999999</v>
      </c>
      <c r="M14" s="5">
        <f t="shared" ca="1" si="0"/>
        <v>4348.0289499999999</v>
      </c>
      <c r="N14" s="5">
        <f t="shared" ca="1" si="0"/>
        <v>4348.0289499999999</v>
      </c>
      <c r="O14" s="5">
        <f t="shared" ca="1" si="0"/>
        <v>4348.0289499999999</v>
      </c>
      <c r="P14" s="5">
        <f t="shared" ca="1" si="0"/>
        <v>4348.0289499999999</v>
      </c>
      <c r="Q14" s="5">
        <f t="shared" ca="1" si="0"/>
        <v>4348.0289499999999</v>
      </c>
      <c r="R14" s="5">
        <f t="shared" ca="1" si="0"/>
        <v>4348.0289499999999</v>
      </c>
      <c r="S14" s="5">
        <f t="shared" ca="1" si="0"/>
        <v>4348.0289499999999</v>
      </c>
      <c r="T14" s="5">
        <f t="shared" ca="1" si="0"/>
        <v>4348.0289499999999</v>
      </c>
      <c r="U14" s="5">
        <f t="shared" ca="1" si="0"/>
        <v>4348.0289499999999</v>
      </c>
      <c r="W14" s="5">
        <f t="shared" ca="1" si="12"/>
        <v>4348.0289499999999</v>
      </c>
      <c r="Y14" s="5">
        <f ca="1">Total!E14</f>
        <v>4348.0289499999999</v>
      </c>
      <c r="AB14" s="5">
        <f t="shared" ca="1" si="1"/>
        <v>0</v>
      </c>
      <c r="AC14" s="5">
        <f t="shared" ca="1" si="2"/>
        <v>0</v>
      </c>
      <c r="AD14" s="5">
        <f t="shared" ca="1" si="3"/>
        <v>0</v>
      </c>
      <c r="AE14" s="5">
        <f t="shared" ca="1" si="4"/>
        <v>0</v>
      </c>
      <c r="AF14" s="5">
        <f t="shared" ca="1" si="5"/>
        <v>0</v>
      </c>
      <c r="AG14" s="5">
        <f t="shared" ca="1" si="6"/>
        <v>0</v>
      </c>
      <c r="AH14" s="5">
        <f t="shared" ca="1" si="7"/>
        <v>0</v>
      </c>
      <c r="AI14" s="5">
        <f t="shared" ca="1" si="8"/>
        <v>0</v>
      </c>
      <c r="AJ14" s="5">
        <f t="shared" ca="1" si="9"/>
        <v>0</v>
      </c>
      <c r="AK14" s="5">
        <f t="shared" ca="1" si="10"/>
        <v>0</v>
      </c>
      <c r="AM14" s="5">
        <f t="shared" ca="1" si="13"/>
        <v>0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1.42944</v>
      </c>
      <c r="F15" s="5">
        <v>81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1.42761</v>
      </c>
      <c r="F16" s="5">
        <v>85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1.4331100000000001</v>
      </c>
      <c r="F17" s="5">
        <v>84</v>
      </c>
      <c r="H17" s="5" t="s">
        <v>2</v>
      </c>
      <c r="I17" s="5">
        <v>100</v>
      </c>
      <c r="J17" s="5">
        <v>0.4</v>
      </c>
      <c r="L17" s="5">
        <f t="shared" ca="1" si="11"/>
        <v>42986.403050000001</v>
      </c>
      <c r="M17" s="5">
        <f t="shared" ca="1" si="0"/>
        <v>42986.727890000002</v>
      </c>
      <c r="N17" s="5">
        <f t="shared" ca="1" si="0"/>
        <v>42986.802479999998</v>
      </c>
      <c r="O17" s="5">
        <f t="shared" ca="1" si="0"/>
        <v>42986.853589999999</v>
      </c>
      <c r="P17" s="5">
        <f t="shared" ca="1" si="0"/>
        <v>42986.403050000001</v>
      </c>
      <c r="Q17" s="5">
        <f t="shared" ca="1" si="0"/>
        <v>42986.802479999998</v>
      </c>
      <c r="R17" s="5">
        <f t="shared" ca="1" si="0"/>
        <v>42986.403050000001</v>
      </c>
      <c r="S17" s="5">
        <f t="shared" ca="1" si="0"/>
        <v>42986.853589999999</v>
      </c>
      <c r="T17" s="5">
        <f t="shared" ca="1" si="0"/>
        <v>42986.802479999998</v>
      </c>
      <c r="U17" s="5">
        <f t="shared" ca="1" si="0"/>
        <v>42988.963889999999</v>
      </c>
      <c r="W17" s="5">
        <f t="shared" ca="1" si="12"/>
        <v>42986.901555000004</v>
      </c>
      <c r="Y17" s="5">
        <f ca="1">Total!E17</f>
        <v>42986.193919999998</v>
      </c>
      <c r="AB17" s="5">
        <f t="shared" ca="1" si="1"/>
        <v>4.8650504018131747E-6</v>
      </c>
      <c r="AC17" s="5">
        <f t="shared" ca="1" si="2"/>
        <v>1.2421895294982343E-5</v>
      </c>
      <c r="AD17" s="5">
        <f t="shared" ca="1" si="3"/>
        <v>1.4157103583842479E-5</v>
      </c>
      <c r="AE17" s="5">
        <f t="shared" ca="1" si="4"/>
        <v>1.5346089984812385E-5</v>
      </c>
      <c r="AF17" s="5">
        <f t="shared" ca="1" si="5"/>
        <v>4.8650504018131747E-6</v>
      </c>
      <c r="AG17" s="5">
        <f t="shared" ca="1" si="6"/>
        <v>1.4157103583842479E-5</v>
      </c>
      <c r="AH17" s="5">
        <f t="shared" ca="1" si="7"/>
        <v>4.8650504018131747E-6</v>
      </c>
      <c r="AI17" s="5">
        <f t="shared" ca="1" si="8"/>
        <v>1.5346089984812385E-5</v>
      </c>
      <c r="AJ17" s="5">
        <f t="shared" ca="1" si="9"/>
        <v>1.4157103583842479E-5</v>
      </c>
      <c r="AK17" s="5">
        <f t="shared" ca="1" si="10"/>
        <v>6.4438596381812311E-5</v>
      </c>
      <c r="AM17" s="5">
        <f t="shared" ca="1" si="13"/>
        <v>1.646191336033864E-4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1.4304399999999999</v>
      </c>
      <c r="F18" s="5">
        <v>85</v>
      </c>
      <c r="H18" s="5" t="s">
        <v>2</v>
      </c>
      <c r="I18" s="5">
        <v>100</v>
      </c>
      <c r="J18" s="5">
        <v>0.7</v>
      </c>
      <c r="L18" s="5">
        <f t="shared" ca="1" si="11"/>
        <v>35737.012459999998</v>
      </c>
      <c r="M18" s="5">
        <f t="shared" ca="1" si="11"/>
        <v>35797.274109999998</v>
      </c>
      <c r="N18" s="5">
        <f t="shared" ca="1" si="11"/>
        <v>35686.483520000002</v>
      </c>
      <c r="O18" s="5">
        <f t="shared" ca="1" si="11"/>
        <v>35780.933100000002</v>
      </c>
      <c r="P18" s="5">
        <f t="shared" ca="1" si="11"/>
        <v>35697.77461</v>
      </c>
      <c r="Q18" s="5">
        <f t="shared" ca="1" si="11"/>
        <v>35783.464599999999</v>
      </c>
      <c r="R18" s="5">
        <f t="shared" ca="1" si="11"/>
        <v>35751.015509999997</v>
      </c>
      <c r="S18" s="5">
        <f t="shared" ca="1" si="11"/>
        <v>35619.148979999998</v>
      </c>
      <c r="T18" s="5">
        <f t="shared" ca="1" si="11"/>
        <v>35647.623789999998</v>
      </c>
      <c r="U18" s="5">
        <f t="shared" ca="1" si="11"/>
        <v>35642.700770000003</v>
      </c>
      <c r="W18" s="5">
        <f t="shared" ca="1" si="12"/>
        <v>35714.343144999999</v>
      </c>
      <c r="Y18" s="5">
        <f ca="1">Total!E18</f>
        <v>35336.072039999999</v>
      </c>
      <c r="AB18" s="5">
        <f t="shared" ca="1" si="1"/>
        <v>1.1346490904425919E-2</v>
      </c>
      <c r="AC18" s="5">
        <f t="shared" ca="1" si="2"/>
        <v>1.3051877115201834E-2</v>
      </c>
      <c r="AD18" s="5">
        <f t="shared" ca="1" si="3"/>
        <v>9.9165374013088104E-3</v>
      </c>
      <c r="AE18" s="5">
        <f t="shared" ca="1" si="4"/>
        <v>1.2589431544525539E-2</v>
      </c>
      <c r="AF18" s="5">
        <f t="shared" ca="1" si="5"/>
        <v>1.0236071784961227E-2</v>
      </c>
      <c r="AG18" s="5">
        <f t="shared" ca="1" si="6"/>
        <v>1.2661072218031403E-2</v>
      </c>
      <c r="AH18" s="5">
        <f t="shared" ca="1" si="7"/>
        <v>1.1742772924231291E-2</v>
      </c>
      <c r="AI18" s="5">
        <f t="shared" ca="1" si="8"/>
        <v>8.0109905730200975E-3</v>
      </c>
      <c r="AJ18" s="5">
        <f t="shared" ca="1" si="9"/>
        <v>8.8168189618621443E-3</v>
      </c>
      <c r="AK18" s="5">
        <f t="shared" ca="1" si="10"/>
        <v>8.6774990059139585E-3</v>
      </c>
      <c r="AM18" s="5">
        <f t="shared" ca="1" si="13"/>
        <v>0.10704956243348222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1.4306000000000001</v>
      </c>
      <c r="F19" s="5">
        <v>88</v>
      </c>
      <c r="H19" s="5" t="s">
        <v>2</v>
      </c>
      <c r="I19" s="5">
        <v>100</v>
      </c>
      <c r="J19" s="5">
        <v>1</v>
      </c>
      <c r="L19" s="5">
        <f t="shared" ca="1" si="11"/>
        <v>35274.43</v>
      </c>
      <c r="M19" s="5">
        <f t="shared" ca="1" si="11"/>
        <v>35259.451350000003</v>
      </c>
      <c r="N19" s="5">
        <f t="shared" ca="1" si="11"/>
        <v>35236.536670000001</v>
      </c>
      <c r="O19" s="5">
        <f t="shared" ca="1" si="11"/>
        <v>35226.123330000002</v>
      </c>
      <c r="P19" s="5">
        <f t="shared" ca="1" si="11"/>
        <v>35296.937319999997</v>
      </c>
      <c r="Q19" s="5">
        <f t="shared" ca="1" si="11"/>
        <v>35284.956610000001</v>
      </c>
      <c r="R19" s="5">
        <f t="shared" ca="1" si="11"/>
        <v>35283.11174</v>
      </c>
      <c r="S19" s="5">
        <f t="shared" ca="1" si="11"/>
        <v>35240.353329999998</v>
      </c>
      <c r="T19" s="5">
        <f t="shared" ca="1" si="11"/>
        <v>35243.794190000001</v>
      </c>
      <c r="U19" s="5">
        <f t="shared" ca="1" si="11"/>
        <v>35244.60673</v>
      </c>
      <c r="W19" s="5">
        <f t="shared" ca="1" si="12"/>
        <v>35259.030126999998</v>
      </c>
      <c r="Y19" s="5">
        <f ca="1">Total!E19</f>
        <v>35203.853329999998</v>
      </c>
      <c r="AB19" s="5">
        <f t="shared" ca="1" si="1"/>
        <v>2.0047995694794643E-3</v>
      </c>
      <c r="AC19" s="5">
        <f t="shared" ca="1" si="2"/>
        <v>1.5793163174164637E-3</v>
      </c>
      <c r="AD19" s="5">
        <f t="shared" ca="1" si="3"/>
        <v>9.2840234543731487E-4</v>
      </c>
      <c r="AE19" s="5">
        <f t="shared" ca="1" si="4"/>
        <v>6.3260120394337737E-4</v>
      </c>
      <c r="AF19" s="5">
        <f t="shared" ca="1" si="5"/>
        <v>2.6441420809089362E-3</v>
      </c>
      <c r="AG19" s="5">
        <f t="shared" ca="1" si="6"/>
        <v>2.3038182564772947E-3</v>
      </c>
      <c r="AH19" s="5">
        <f t="shared" ca="1" si="7"/>
        <v>2.2514129137238452E-3</v>
      </c>
      <c r="AI19" s="5">
        <f t="shared" ca="1" si="8"/>
        <v>1.0368183180929076E-3</v>
      </c>
      <c r="AJ19" s="5">
        <f t="shared" ca="1" si="9"/>
        <v>1.1345593229695017E-3</v>
      </c>
      <c r="AK19" s="5">
        <f t="shared" ca="1" si="10"/>
        <v>1.1576403190292869E-3</v>
      </c>
      <c r="AM19" s="5">
        <f t="shared" ca="1" si="13"/>
        <v>1.5673510647478395E-2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1.42323</v>
      </c>
      <c r="F20" s="5">
        <v>85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996.31082000000004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995.58332300000006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8.119818967002976E-4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8.119818967002976E-4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1.7749900000000001</v>
      </c>
      <c r="F21" s="5">
        <v>105</v>
      </c>
      <c r="H21" s="5" t="s">
        <v>1</v>
      </c>
      <c r="I21" s="5">
        <v>30</v>
      </c>
      <c r="J21" s="5">
        <v>0.7</v>
      </c>
      <c r="L21" s="5">
        <f t="shared" ca="1" si="11"/>
        <v>675.36989000000005</v>
      </c>
      <c r="M21" s="5">
        <f t="shared" ca="1" si="11"/>
        <v>675.36989000000005</v>
      </c>
      <c r="N21" s="5">
        <f t="shared" ca="1" si="11"/>
        <v>675.36581000000001</v>
      </c>
      <c r="O21" s="5">
        <f t="shared" ca="1" si="11"/>
        <v>675.36989000000005</v>
      </c>
      <c r="P21" s="5">
        <f t="shared" ca="1" si="11"/>
        <v>675.38611000000003</v>
      </c>
      <c r="Q21" s="5">
        <f t="shared" ca="1" si="11"/>
        <v>675.36989000000005</v>
      </c>
      <c r="R21" s="5">
        <f t="shared" ca="1" si="11"/>
        <v>675.36581000000001</v>
      </c>
      <c r="S21" s="5">
        <f t="shared" ca="1" si="11"/>
        <v>675.36989000000005</v>
      </c>
      <c r="T21" s="5">
        <f t="shared" ca="1" si="11"/>
        <v>675.36989000000005</v>
      </c>
      <c r="U21" s="5">
        <f t="shared" ca="1" si="11"/>
        <v>675.36989000000005</v>
      </c>
      <c r="W21" s="5">
        <f t="shared" ca="1" si="12"/>
        <v>675.37069599999995</v>
      </c>
      <c r="Y21" s="5">
        <f ca="1">Total!E21</f>
        <v>675.36581000000001</v>
      </c>
      <c r="AB21" s="5">
        <f t="shared" ca="1" si="1"/>
        <v>6.0411704881010963E-6</v>
      </c>
      <c r="AC21" s="5">
        <f t="shared" ca="1" si="2"/>
        <v>6.0411704881010963E-6</v>
      </c>
      <c r="AD21" s="5">
        <f t="shared" ca="1" si="3"/>
        <v>0</v>
      </c>
      <c r="AE21" s="5">
        <f t="shared" ca="1" si="4"/>
        <v>6.0411704881010963E-6</v>
      </c>
      <c r="AF21" s="5">
        <f t="shared" ca="1" si="5"/>
        <v>3.0057784536087472E-5</v>
      </c>
      <c r="AG21" s="5">
        <f t="shared" ca="1" si="6"/>
        <v>6.0411704881010963E-6</v>
      </c>
      <c r="AH21" s="5">
        <f t="shared" ca="1" si="7"/>
        <v>0</v>
      </c>
      <c r="AI21" s="5">
        <f t="shared" ca="1" si="8"/>
        <v>6.0411704881010963E-6</v>
      </c>
      <c r="AJ21" s="5">
        <f t="shared" ca="1" si="9"/>
        <v>6.0411704881010963E-6</v>
      </c>
      <c r="AK21" s="5">
        <f t="shared" ca="1" si="10"/>
        <v>6.0411704881010963E-6</v>
      </c>
      <c r="AM21" s="5">
        <f t="shared" ca="1" si="13"/>
        <v>7.234597795279516E-5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1.7807900000000001</v>
      </c>
      <c r="F22" s="5">
        <v>107</v>
      </c>
      <c r="H22" s="5" t="s">
        <v>1</v>
      </c>
      <c r="I22" s="5">
        <v>30</v>
      </c>
      <c r="J22" s="5">
        <v>1</v>
      </c>
      <c r="L22" s="5">
        <f t="shared" ca="1" si="11"/>
        <v>655.43295999999998</v>
      </c>
      <c r="M22" s="5">
        <f t="shared" ca="1" si="11"/>
        <v>655.43295999999998</v>
      </c>
      <c r="N22" s="5">
        <f t="shared" ca="1" si="11"/>
        <v>656.19402000000002</v>
      </c>
      <c r="O22" s="5">
        <f t="shared" ca="1" si="11"/>
        <v>657.45713999999998</v>
      </c>
      <c r="P22" s="5">
        <f t="shared" ca="1" si="11"/>
        <v>655.43295999999998</v>
      </c>
      <c r="Q22" s="5">
        <f t="shared" ca="1" si="11"/>
        <v>657.95457999999996</v>
      </c>
      <c r="R22" s="5">
        <f t="shared" ca="1" si="11"/>
        <v>655.43295999999998</v>
      </c>
      <c r="S22" s="5">
        <f t="shared" ca="1" si="11"/>
        <v>655.43907999999999</v>
      </c>
      <c r="T22" s="5">
        <f t="shared" ca="1" si="11"/>
        <v>655.43295999999998</v>
      </c>
      <c r="U22" s="5">
        <f t="shared" ca="1" si="11"/>
        <v>655.43295999999998</v>
      </c>
      <c r="W22" s="5">
        <f t="shared" ca="1" si="12"/>
        <v>655.96425800000009</v>
      </c>
      <c r="Y22" s="5">
        <f ca="1">Total!E22</f>
        <v>655.43295999999998</v>
      </c>
      <c r="AB22" s="5">
        <f t="shared" ca="1" si="1"/>
        <v>0</v>
      </c>
      <c r="AC22" s="5">
        <f t="shared" ca="1" si="2"/>
        <v>0</v>
      </c>
      <c r="AD22" s="5">
        <f t="shared" ca="1" si="3"/>
        <v>1.1611561310557882E-3</v>
      </c>
      <c r="AE22" s="5">
        <f t="shared" ca="1" si="4"/>
        <v>3.088309748719383E-3</v>
      </c>
      <c r="AF22" s="5">
        <f t="shared" ca="1" si="5"/>
        <v>0</v>
      </c>
      <c r="AG22" s="5">
        <f t="shared" ca="1" si="6"/>
        <v>3.847258459507414E-3</v>
      </c>
      <c r="AH22" s="5">
        <f t="shared" ca="1" si="7"/>
        <v>0</v>
      </c>
      <c r="AI22" s="5">
        <f t="shared" ca="1" si="8"/>
        <v>9.337339397777456E-6</v>
      </c>
      <c r="AJ22" s="5">
        <f t="shared" ca="1" si="9"/>
        <v>0</v>
      </c>
      <c r="AK22" s="5">
        <f t="shared" ca="1" si="10"/>
        <v>0</v>
      </c>
      <c r="AM22" s="5">
        <f t="shared" ca="1" si="13"/>
        <v>8.1060616786803614E-3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1.77163</v>
      </c>
      <c r="F23" s="5">
        <v>105</v>
      </c>
      <c r="H23" s="5" t="s">
        <v>1</v>
      </c>
      <c r="I23" s="5">
        <v>50</v>
      </c>
      <c r="J23" s="5">
        <v>0.4</v>
      </c>
      <c r="L23" s="5">
        <f t="shared" ca="1" si="11"/>
        <v>1460.8103000000001</v>
      </c>
      <c r="M23" s="5">
        <f t="shared" ca="1" si="11"/>
        <v>1460.80863</v>
      </c>
      <c r="N23" s="5">
        <f t="shared" ca="1" si="11"/>
        <v>1459.9687899999999</v>
      </c>
      <c r="O23" s="5">
        <f t="shared" ca="1" si="11"/>
        <v>1459.9687899999999</v>
      </c>
      <c r="P23" s="5">
        <f t="shared" ca="1" si="11"/>
        <v>1459.9687899999999</v>
      </c>
      <c r="Q23" s="5">
        <f t="shared" ca="1" si="11"/>
        <v>1460.0209400000001</v>
      </c>
      <c r="R23" s="5">
        <f t="shared" ca="1" si="11"/>
        <v>1459.9687899999999</v>
      </c>
      <c r="S23" s="5">
        <f t="shared" ca="1" si="11"/>
        <v>1460.80863</v>
      </c>
      <c r="T23" s="5">
        <f t="shared" ca="1" si="11"/>
        <v>1459.9687899999999</v>
      </c>
      <c r="U23" s="5">
        <f t="shared" ca="1" si="11"/>
        <v>1459.9687899999999</v>
      </c>
      <c r="W23" s="5">
        <f t="shared" ca="1" si="12"/>
        <v>1460.2261239999996</v>
      </c>
      <c r="Y23" s="5">
        <f ca="1">Total!E23</f>
        <v>1459.9687899999999</v>
      </c>
      <c r="AB23" s="5">
        <f t="shared" ca="1" si="1"/>
        <v>5.7638903363146454E-4</v>
      </c>
      <c r="AC23" s="5">
        <f t="shared" ca="1" si="2"/>
        <v>5.7524517356298749E-4</v>
      </c>
      <c r="AD23" s="5">
        <f t="shared" ca="1" si="3"/>
        <v>0</v>
      </c>
      <c r="AE23" s="5">
        <f t="shared" ca="1" si="4"/>
        <v>0</v>
      </c>
      <c r="AF23" s="5">
        <f t="shared" ca="1" si="5"/>
        <v>0</v>
      </c>
      <c r="AG23" s="5">
        <f t="shared" ca="1" si="6"/>
        <v>3.5719941657253266E-5</v>
      </c>
      <c r="AH23" s="5">
        <f t="shared" ca="1" si="7"/>
        <v>0</v>
      </c>
      <c r="AI23" s="5">
        <f t="shared" ca="1" si="8"/>
        <v>5.7524517356298749E-4</v>
      </c>
      <c r="AJ23" s="5">
        <f t="shared" ca="1" si="9"/>
        <v>0</v>
      </c>
      <c r="AK23" s="5">
        <f t="shared" ca="1" si="10"/>
        <v>0</v>
      </c>
      <c r="AM23" s="5">
        <f t="shared" ca="1" si="13"/>
        <v>1.7625993224146927E-3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1.77725</v>
      </c>
      <c r="F24" s="5">
        <v>106</v>
      </c>
      <c r="H24" s="5" t="s">
        <v>1</v>
      </c>
      <c r="I24" s="5">
        <v>50</v>
      </c>
      <c r="J24" s="5">
        <v>0.7</v>
      </c>
      <c r="L24" s="5">
        <f t="shared" ca="1" si="11"/>
        <v>1019.48338</v>
      </c>
      <c r="M24" s="5">
        <f t="shared" ca="1" si="11"/>
        <v>1016.46246</v>
      </c>
      <c r="N24" s="5">
        <f t="shared" ca="1" si="11"/>
        <v>1006.89645</v>
      </c>
      <c r="O24" s="5">
        <f t="shared" ca="1" si="11"/>
        <v>1022.74244</v>
      </c>
      <c r="P24" s="5">
        <f t="shared" ca="1" si="11"/>
        <v>1018.33901</v>
      </c>
      <c r="Q24" s="5">
        <f t="shared" ca="1" si="11"/>
        <v>1010.21881</v>
      </c>
      <c r="R24" s="5">
        <f t="shared" ca="1" si="11"/>
        <v>1016.20559</v>
      </c>
      <c r="S24" s="5">
        <f t="shared" ca="1" si="11"/>
        <v>1015.8526900000001</v>
      </c>
      <c r="T24" s="5">
        <f t="shared" ca="1" si="11"/>
        <v>1019.48862</v>
      </c>
      <c r="U24" s="5">
        <f t="shared" ca="1" si="11"/>
        <v>1013.49375</v>
      </c>
      <c r="W24" s="5">
        <f t="shared" ca="1" si="12"/>
        <v>1015.91832</v>
      </c>
      <c r="Y24" s="5">
        <f ca="1">Total!E24</f>
        <v>1005.95063</v>
      </c>
      <c r="AB24" s="5">
        <f t="shared" ca="1" si="1"/>
        <v>1.3452697971867629E-2</v>
      </c>
      <c r="AC24" s="5">
        <f t="shared" ca="1" si="2"/>
        <v>1.0449648011055888E-2</v>
      </c>
      <c r="AD24" s="5">
        <f t="shared" ca="1" si="3"/>
        <v>9.4022506850054101E-4</v>
      </c>
      <c r="AE24" s="5">
        <f t="shared" ca="1" si="4"/>
        <v>1.6692479232305806E-2</v>
      </c>
      <c r="AF24" s="5">
        <f t="shared" ca="1" si="5"/>
        <v>1.231509741188788E-2</v>
      </c>
      <c r="AG24" s="5">
        <f t="shared" ca="1" si="6"/>
        <v>4.2429318822534215E-3</v>
      </c>
      <c r="AH24" s="5">
        <f t="shared" ca="1" si="7"/>
        <v>1.0194297507423384E-2</v>
      </c>
      <c r="AI24" s="5">
        <f t="shared" ca="1" si="8"/>
        <v>9.8434850624826448E-3</v>
      </c>
      <c r="AJ24" s="5">
        <f t="shared" ca="1" si="9"/>
        <v>1.3457906975017175E-2</v>
      </c>
      <c r="AK24" s="5">
        <f t="shared" ca="1" si="10"/>
        <v>7.4984992056716842E-3</v>
      </c>
      <c r="AM24" s="5">
        <f t="shared" ca="1" si="13"/>
        <v>9.9087268328466038E-2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1.77946</v>
      </c>
      <c r="F25" s="5">
        <v>100</v>
      </c>
      <c r="H25" s="5" t="s">
        <v>1</v>
      </c>
      <c r="I25" s="5">
        <v>50</v>
      </c>
      <c r="J25" s="5">
        <v>1</v>
      </c>
      <c r="L25" s="5">
        <f t="shared" ca="1" si="11"/>
        <v>993.38977999999997</v>
      </c>
      <c r="M25" s="5">
        <f t="shared" ca="1" si="11"/>
        <v>994.08960999999999</v>
      </c>
      <c r="N25" s="5">
        <f t="shared" ca="1" si="11"/>
        <v>995.81353000000001</v>
      </c>
      <c r="O25" s="5">
        <f t="shared" ca="1" si="11"/>
        <v>1001.25751</v>
      </c>
      <c r="P25" s="5">
        <f t="shared" ca="1" si="11"/>
        <v>994.33150999999998</v>
      </c>
      <c r="Q25" s="5">
        <f t="shared" ca="1" si="11"/>
        <v>993.14332999999999</v>
      </c>
      <c r="R25" s="5">
        <f t="shared" ca="1" si="11"/>
        <v>992.40087000000005</v>
      </c>
      <c r="S25" s="5">
        <f t="shared" ca="1" si="11"/>
        <v>994.75441999999998</v>
      </c>
      <c r="T25" s="5">
        <f t="shared" ca="1" si="11"/>
        <v>994.39495999999997</v>
      </c>
      <c r="U25" s="5">
        <f t="shared" ca="1" si="11"/>
        <v>994.65630999999996</v>
      </c>
      <c r="W25" s="5">
        <f t="shared" ca="1" si="12"/>
        <v>994.82318300000009</v>
      </c>
      <c r="Y25" s="5">
        <f ca="1">Total!E25</f>
        <v>990.69820000000004</v>
      </c>
      <c r="AB25" s="5">
        <f t="shared" ca="1" si="1"/>
        <v>2.7168516103087E-3</v>
      </c>
      <c r="AC25" s="5">
        <f t="shared" ca="1" si="2"/>
        <v>3.4232524092604089E-3</v>
      </c>
      <c r="AD25" s="5">
        <f t="shared" ca="1" si="3"/>
        <v>5.1633585283590621E-3</v>
      </c>
      <c r="AE25" s="5">
        <f t="shared" ca="1" si="4"/>
        <v>1.065845279621986E-2</v>
      </c>
      <c r="AF25" s="5">
        <f t="shared" ca="1" si="5"/>
        <v>3.6674236412258926E-3</v>
      </c>
      <c r="AG25" s="5">
        <f t="shared" ca="1" si="6"/>
        <v>2.4680876577750409E-3</v>
      </c>
      <c r="AH25" s="5">
        <f t="shared" ca="1" si="7"/>
        <v>1.7186565999615341E-3</v>
      </c>
      <c r="AI25" s="5">
        <f t="shared" ca="1" si="8"/>
        <v>4.0943044006741302E-3</v>
      </c>
      <c r="AJ25" s="5">
        <f t="shared" ca="1" si="9"/>
        <v>3.7314693818964509E-3</v>
      </c>
      <c r="AK25" s="5">
        <f t="shared" ca="1" si="10"/>
        <v>3.9952732325544945E-3</v>
      </c>
      <c r="AM25" s="5">
        <f t="shared" ca="1" si="13"/>
        <v>4.163713025823558E-2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1.7778</v>
      </c>
      <c r="F26" s="5">
        <v>106</v>
      </c>
      <c r="H26" s="5" t="s">
        <v>1</v>
      </c>
      <c r="I26" s="5">
        <v>100</v>
      </c>
      <c r="J26" s="5">
        <v>0.4</v>
      </c>
      <c r="L26" s="5">
        <f t="shared" ca="1" si="11"/>
        <v>1820.3050499999999</v>
      </c>
      <c r="M26" s="5">
        <f t="shared" ca="1" si="11"/>
        <v>1840.37409</v>
      </c>
      <c r="N26" s="5">
        <f t="shared" ca="1" si="11"/>
        <v>1854.8817100000001</v>
      </c>
      <c r="O26" s="5">
        <f t="shared" ca="1" si="11"/>
        <v>1835.1562899999999</v>
      </c>
      <c r="P26" s="5">
        <f t="shared" ca="1" si="11"/>
        <v>1849.8572300000001</v>
      </c>
      <c r="Q26" s="5">
        <f t="shared" ca="1" si="11"/>
        <v>1872.0952299999999</v>
      </c>
      <c r="R26" s="5">
        <f t="shared" ca="1" si="11"/>
        <v>1845.4385299999999</v>
      </c>
      <c r="S26" s="5">
        <f t="shared" ca="1" si="11"/>
        <v>1884.8714399999999</v>
      </c>
      <c r="T26" s="5">
        <f t="shared" ca="1" si="11"/>
        <v>1873.9918600000001</v>
      </c>
      <c r="U26" s="5">
        <f t="shared" ca="1" si="11"/>
        <v>1857.46713</v>
      </c>
      <c r="W26" s="5">
        <f t="shared" ca="1" si="12"/>
        <v>1853.4438559999999</v>
      </c>
      <c r="Y26" s="5">
        <f ca="1">Total!E26</f>
        <v>1786.3248599999999</v>
      </c>
      <c r="AB26" s="5">
        <f t="shared" ca="1" si="1"/>
        <v>1.9022402229793744E-2</v>
      </c>
      <c r="AC26" s="5">
        <f t="shared" ca="1" si="2"/>
        <v>3.0257223201831319E-2</v>
      </c>
      <c r="AD26" s="5">
        <f t="shared" ca="1" si="3"/>
        <v>3.8378713488878037E-2</v>
      </c>
      <c r="AE26" s="5">
        <f t="shared" ca="1" si="4"/>
        <v>2.733625394431333E-2</v>
      </c>
      <c r="AF26" s="5">
        <f t="shared" ca="1" si="5"/>
        <v>3.5565966427853514E-2</v>
      </c>
      <c r="AG26" s="5">
        <f t="shared" ca="1" si="6"/>
        <v>4.8014989837850637E-2</v>
      </c>
      <c r="AH26" s="5">
        <f t="shared" ca="1" si="7"/>
        <v>3.3092340214086233E-2</v>
      </c>
      <c r="AI26" s="5">
        <f t="shared" ca="1" si="8"/>
        <v>5.516722193520833E-2</v>
      </c>
      <c r="AJ26" s="5">
        <f t="shared" ca="1" si="9"/>
        <v>4.9076739602672351E-2</v>
      </c>
      <c r="AK26" s="5">
        <f t="shared" ca="1" si="10"/>
        <v>3.9826053811958959E-2</v>
      </c>
      <c r="AM26" s="5">
        <f t="shared" ca="1" si="13"/>
        <v>0.37573790469444646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1.77302</v>
      </c>
      <c r="F27" s="5">
        <v>103</v>
      </c>
      <c r="H27" s="5" t="s">
        <v>1</v>
      </c>
      <c r="I27" s="5">
        <v>100</v>
      </c>
      <c r="J27" s="5">
        <v>0.7</v>
      </c>
      <c r="L27" s="5">
        <f t="shared" ca="1" si="11"/>
        <v>1786.6233299999999</v>
      </c>
      <c r="M27" s="5">
        <f t="shared" ca="1" si="11"/>
        <v>1782.83024</v>
      </c>
      <c r="N27" s="5">
        <f t="shared" ca="1" si="11"/>
        <v>1790.18595</v>
      </c>
      <c r="O27" s="5">
        <f t="shared" ca="1" si="11"/>
        <v>1788.28532</v>
      </c>
      <c r="P27" s="5">
        <f t="shared" ca="1" si="11"/>
        <v>1787.7527500000001</v>
      </c>
      <c r="Q27" s="5">
        <f t="shared" ca="1" si="11"/>
        <v>1784.2402400000001</v>
      </c>
      <c r="R27" s="5">
        <f t="shared" ca="1" si="11"/>
        <v>1779.6460300000001</v>
      </c>
      <c r="S27" s="5">
        <f t="shared" ca="1" si="11"/>
        <v>1792.7485300000001</v>
      </c>
      <c r="T27" s="5">
        <f t="shared" ca="1" si="11"/>
        <v>1790.6603600000001</v>
      </c>
      <c r="U27" s="5">
        <f t="shared" ca="1" si="11"/>
        <v>1785.42065</v>
      </c>
      <c r="W27" s="5">
        <f t="shared" ca="1" si="12"/>
        <v>1786.83934</v>
      </c>
      <c r="Y27" s="5">
        <f ca="1">Total!E27</f>
        <v>1761.02206</v>
      </c>
      <c r="AB27" s="5">
        <f t="shared" ca="1" si="1"/>
        <v>1.4537733843038789E-2</v>
      </c>
      <c r="AC27" s="5">
        <f t="shared" ca="1" si="2"/>
        <v>1.2383819882415324E-2</v>
      </c>
      <c r="AD27" s="5">
        <f t="shared" ca="1" si="3"/>
        <v>1.6560774939980046E-2</v>
      </c>
      <c r="AE27" s="5">
        <f t="shared" ca="1" si="4"/>
        <v>1.5481498284013516E-2</v>
      </c>
      <c r="AF27" s="5">
        <f t="shared" ca="1" si="5"/>
        <v>1.517907731377317E-2</v>
      </c>
      <c r="AG27" s="5">
        <f t="shared" ca="1" si="6"/>
        <v>1.318449128343121E-2</v>
      </c>
      <c r="AH27" s="5">
        <f t="shared" ca="1" si="7"/>
        <v>1.0575659682536912E-2</v>
      </c>
      <c r="AI27" s="5">
        <f t="shared" ca="1" si="8"/>
        <v>1.8015941265380891E-2</v>
      </c>
      <c r="AJ27" s="5">
        <f t="shared" ca="1" si="9"/>
        <v>1.6830169634558734E-2</v>
      </c>
      <c r="AK27" s="5">
        <f t="shared" ca="1" si="10"/>
        <v>1.3854789530575224E-2</v>
      </c>
      <c r="AM27" s="5">
        <f t="shared" ca="1" si="13"/>
        <v>0.14660395565970383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1.78057</v>
      </c>
      <c r="F28" s="5">
        <v>107</v>
      </c>
      <c r="H28" s="5" t="s">
        <v>1</v>
      </c>
      <c r="I28" s="5">
        <v>100</v>
      </c>
      <c r="J28" s="5">
        <v>1</v>
      </c>
      <c r="L28" s="5">
        <f t="shared" ca="1" si="11"/>
        <v>1755.8851999999999</v>
      </c>
      <c r="M28" s="5">
        <f t="shared" ca="1" si="11"/>
        <v>1759.41291</v>
      </c>
      <c r="N28" s="5">
        <f t="shared" ca="1" si="11"/>
        <v>1755.89526</v>
      </c>
      <c r="O28" s="5">
        <f t="shared" ca="1" si="11"/>
        <v>1756.2901999999999</v>
      </c>
      <c r="P28" s="5">
        <f t="shared" ca="1" si="11"/>
        <v>1757.7669100000001</v>
      </c>
      <c r="Q28" s="5">
        <f t="shared" ca="1" si="11"/>
        <v>1759.1861699999999</v>
      </c>
      <c r="R28" s="5">
        <f t="shared" ca="1" si="11"/>
        <v>1758.2148500000001</v>
      </c>
      <c r="S28" s="5">
        <f t="shared" ca="1" si="11"/>
        <v>1757.6211699999999</v>
      </c>
      <c r="T28" s="5">
        <f t="shared" ca="1" si="11"/>
        <v>1756.99667</v>
      </c>
      <c r="U28" s="5">
        <f t="shared" ca="1" si="11"/>
        <v>1758.00333</v>
      </c>
      <c r="W28" s="5">
        <f t="shared" ca="1" si="12"/>
        <v>1757.5272670000002</v>
      </c>
      <c r="Y28" s="5">
        <f ca="1">Total!E28</f>
        <v>1753.1198199999999</v>
      </c>
      <c r="AB28" s="5">
        <f t="shared" ca="1" si="1"/>
        <v>1.5774050173022688E-3</v>
      </c>
      <c r="AC28" s="5">
        <f t="shared" ca="1" si="2"/>
        <v>3.5896519611535284E-3</v>
      </c>
      <c r="AD28" s="5">
        <f t="shared" ca="1" si="3"/>
        <v>1.5831433586781976E-3</v>
      </c>
      <c r="AE28" s="5">
        <f t="shared" ca="1" si="4"/>
        <v>1.8084217426735973E-3</v>
      </c>
      <c r="AF28" s="5">
        <f t="shared" ca="1" si="5"/>
        <v>2.6507543563110037E-3</v>
      </c>
      <c r="AG28" s="5">
        <f t="shared" ca="1" si="6"/>
        <v>3.4603168196455946E-3</v>
      </c>
      <c r="AH28" s="5">
        <f t="shared" ca="1" si="7"/>
        <v>2.9062645586883954E-3</v>
      </c>
      <c r="AI28" s="5">
        <f t="shared" ca="1" si="8"/>
        <v>2.5676225598772833E-3</v>
      </c>
      <c r="AJ28" s="5">
        <f t="shared" ca="1" si="9"/>
        <v>2.211400473471405E-3</v>
      </c>
      <c r="AK28" s="5">
        <f t="shared" ca="1" si="10"/>
        <v>2.785611082761083E-3</v>
      </c>
      <c r="AM28" s="5">
        <f t="shared" ca="1" si="13"/>
        <v>2.5140591930562353E-2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1.7761100000000001</v>
      </c>
      <c r="F29" s="5">
        <v>107</v>
      </c>
      <c r="H29" s="5" t="s">
        <v>0</v>
      </c>
      <c r="I29" s="5">
        <v>25</v>
      </c>
      <c r="J29" s="5">
        <v>0.4</v>
      </c>
      <c r="L29" s="5">
        <f t="shared" ca="1" si="11"/>
        <v>42.424349999999997</v>
      </c>
      <c r="M29" s="5">
        <f t="shared" ca="1" si="11"/>
        <v>41.318849999999998</v>
      </c>
      <c r="N29" s="5">
        <f t="shared" ca="1" si="11"/>
        <v>42.424349999999997</v>
      </c>
      <c r="O29" s="5">
        <f t="shared" ca="1" si="11"/>
        <v>41.318849999999998</v>
      </c>
      <c r="P29" s="5">
        <f t="shared" ca="1" si="11"/>
        <v>41.318849999999998</v>
      </c>
      <c r="Q29" s="5">
        <f t="shared" ca="1" si="11"/>
        <v>41.318849999999998</v>
      </c>
      <c r="R29" s="5">
        <f t="shared" ca="1" si="11"/>
        <v>41.318849999999998</v>
      </c>
      <c r="S29" s="5">
        <f t="shared" ca="1" si="11"/>
        <v>42.424349999999997</v>
      </c>
      <c r="T29" s="5">
        <f t="shared" ca="1" si="11"/>
        <v>41.318849999999998</v>
      </c>
      <c r="U29" s="5">
        <f t="shared" ca="1" si="11"/>
        <v>41.318849999999998</v>
      </c>
      <c r="W29" s="5">
        <f t="shared" ca="1" si="12"/>
        <v>41.650500000000001</v>
      </c>
      <c r="Y29" s="5">
        <f ca="1">Total!E29</f>
        <v>40.897550000000003</v>
      </c>
      <c r="AB29" s="5">
        <f t="shared" ca="1" si="1"/>
        <v>3.7332309637129711E-2</v>
      </c>
      <c r="AC29" s="5">
        <f t="shared" ca="1" si="2"/>
        <v>1.0301350569899543E-2</v>
      </c>
      <c r="AD29" s="5">
        <f t="shared" ca="1" si="3"/>
        <v>3.7332309637129711E-2</v>
      </c>
      <c r="AE29" s="5">
        <f t="shared" ca="1" si="4"/>
        <v>1.0301350569899543E-2</v>
      </c>
      <c r="AF29" s="5">
        <f t="shared" ca="1" si="5"/>
        <v>1.0301350569899543E-2</v>
      </c>
      <c r="AG29" s="5">
        <f t="shared" ca="1" si="6"/>
        <v>1.0301350569899543E-2</v>
      </c>
      <c r="AH29" s="5">
        <f t="shared" ca="1" si="7"/>
        <v>1.0301350569899543E-2</v>
      </c>
      <c r="AI29" s="5">
        <f t="shared" ca="1" si="8"/>
        <v>3.7332309637129711E-2</v>
      </c>
      <c r="AJ29" s="5">
        <f t="shared" ca="1" si="9"/>
        <v>1.0301350569899543E-2</v>
      </c>
      <c r="AK29" s="5">
        <f t="shared" ca="1" si="10"/>
        <v>1.0301350569899543E-2</v>
      </c>
      <c r="AM29" s="5">
        <f t="shared" ca="1" si="13"/>
        <v>0.18410638290068593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1.77199</v>
      </c>
      <c r="F30" s="5">
        <v>104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1"/>
        <v>28.65624</v>
      </c>
      <c r="N30" s="5">
        <f t="shared" ca="1" si="11"/>
        <v>28.65436</v>
      </c>
      <c r="O30" s="5">
        <f t="shared" ca="1" si="11"/>
        <v>28.65436</v>
      </c>
      <c r="P30" s="5">
        <f t="shared" ca="1" si="11"/>
        <v>28.65436</v>
      </c>
      <c r="Q30" s="5">
        <f t="shared" ca="1" si="11"/>
        <v>28.65436</v>
      </c>
      <c r="R30" s="5">
        <f t="shared" ca="1" si="11"/>
        <v>28.65436</v>
      </c>
      <c r="S30" s="5">
        <f t="shared" ca="1" si="11"/>
        <v>28.65436</v>
      </c>
      <c r="T30" s="5">
        <f t="shared" ca="1" si="11"/>
        <v>28.682030000000001</v>
      </c>
      <c r="U30" s="5">
        <f t="shared" ca="1" si="11"/>
        <v>28.65436</v>
      </c>
      <c r="W30" s="5">
        <f t="shared" ca="1" si="12"/>
        <v>28.657315000000001</v>
      </c>
      <c r="Y30" s="5">
        <f ca="1">Total!E30</f>
        <v>28.65436</v>
      </c>
      <c r="AB30" s="5">
        <f t="shared" ca="1" si="1"/>
        <v>0</v>
      </c>
      <c r="AC30" s="5">
        <f t="shared" ca="1" si="2"/>
        <v>6.5609561686245368E-5</v>
      </c>
      <c r="AD30" s="5">
        <f t="shared" ca="1" si="3"/>
        <v>0</v>
      </c>
      <c r="AE30" s="5">
        <f t="shared" ca="1" si="4"/>
        <v>0</v>
      </c>
      <c r="AF30" s="5">
        <f t="shared" ca="1" si="5"/>
        <v>0</v>
      </c>
      <c r="AG30" s="5">
        <f t="shared" ca="1" si="6"/>
        <v>0</v>
      </c>
      <c r="AH30" s="5">
        <f t="shared" ca="1" si="7"/>
        <v>0</v>
      </c>
      <c r="AI30" s="5">
        <f t="shared" ca="1" si="8"/>
        <v>0</v>
      </c>
      <c r="AJ30" s="5">
        <f t="shared" ca="1" si="9"/>
        <v>9.6564711269072235E-4</v>
      </c>
      <c r="AK30" s="5">
        <f t="shared" ca="1" si="10"/>
        <v>0</v>
      </c>
      <c r="AM30" s="5">
        <f t="shared" ca="1" si="13"/>
        <v>1.0312566743769678E-3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1.2005999999999999</v>
      </c>
      <c r="F31" s="5">
        <v>23</v>
      </c>
      <c r="H31" s="5" t="s">
        <v>0</v>
      </c>
      <c r="I31" s="5">
        <v>25</v>
      </c>
      <c r="J31" s="5">
        <v>1</v>
      </c>
      <c r="L31" s="5">
        <f t="shared" ca="1" si="11"/>
        <v>28.602029999999999</v>
      </c>
      <c r="M31" s="5">
        <f t="shared" ca="1" si="11"/>
        <v>28.546240000000001</v>
      </c>
      <c r="N31" s="5">
        <f t="shared" ca="1" si="11"/>
        <v>28.60624</v>
      </c>
      <c r="O31" s="5">
        <f t="shared" ca="1" si="11"/>
        <v>28.592030000000001</v>
      </c>
      <c r="P31" s="5">
        <f t="shared" ca="1" si="11"/>
        <v>28.504100000000001</v>
      </c>
      <c r="Q31" s="5">
        <f t="shared" ca="1" si="11"/>
        <v>28.635680000000001</v>
      </c>
      <c r="R31" s="5">
        <f t="shared" ca="1" si="11"/>
        <v>28.60624</v>
      </c>
      <c r="S31" s="5">
        <f t="shared" ca="1" si="11"/>
        <v>28.592030000000001</v>
      </c>
      <c r="T31" s="5">
        <f t="shared" ca="1" si="11"/>
        <v>28.587009999999999</v>
      </c>
      <c r="U31" s="5">
        <f t="shared" ca="1" si="11"/>
        <v>28.504100000000001</v>
      </c>
      <c r="W31" s="5">
        <f t="shared" ca="1" si="12"/>
        <v>28.577569999999998</v>
      </c>
      <c r="Y31" s="5">
        <f ca="1">Total!E31</f>
        <v>28.504100000000001</v>
      </c>
      <c r="AB31" s="5">
        <f t="shared" ca="1" si="1"/>
        <v>3.4356461000346642E-3</v>
      </c>
      <c r="AC31" s="5">
        <f t="shared" ca="1" si="2"/>
        <v>1.4783838114516804E-3</v>
      </c>
      <c r="AD31" s="5">
        <f t="shared" ca="1" si="3"/>
        <v>3.5833441504905805E-3</v>
      </c>
      <c r="AE31" s="5">
        <f t="shared" ca="1" si="4"/>
        <v>3.0848193768615766E-3</v>
      </c>
      <c r="AF31" s="5">
        <f t="shared" ca="1" si="5"/>
        <v>0</v>
      </c>
      <c r="AG31" s="5">
        <f t="shared" ca="1" si="6"/>
        <v>4.616178023512392E-3</v>
      </c>
      <c r="AH31" s="5">
        <f t="shared" ca="1" si="7"/>
        <v>3.5833441504905805E-3</v>
      </c>
      <c r="AI31" s="5">
        <f t="shared" ca="1" si="8"/>
        <v>3.0848193768615766E-3</v>
      </c>
      <c r="AJ31" s="5">
        <f t="shared" ca="1" si="9"/>
        <v>2.9087043618285882E-3</v>
      </c>
      <c r="AK31" s="5">
        <f t="shared" ca="1" si="10"/>
        <v>0</v>
      </c>
      <c r="AM31" s="5">
        <f t="shared" ca="1" si="13"/>
        <v>2.5775239351531639E-2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1.2019299999999999</v>
      </c>
      <c r="F32" s="5">
        <v>25</v>
      </c>
      <c r="H32" s="5" t="s">
        <v>0</v>
      </c>
      <c r="I32" s="5">
        <v>50</v>
      </c>
      <c r="J32" s="5">
        <v>0.4</v>
      </c>
      <c r="L32" s="5">
        <f t="shared" ca="1" si="11"/>
        <v>57.896169999999998</v>
      </c>
      <c r="M32" s="5">
        <f t="shared" ca="1" si="11"/>
        <v>58.923360000000002</v>
      </c>
      <c r="N32" s="5">
        <f t="shared" ca="1" si="11"/>
        <v>57.176169999999999</v>
      </c>
      <c r="O32" s="5">
        <f t="shared" ca="1" si="11"/>
        <v>59.096179999999997</v>
      </c>
      <c r="P32" s="5">
        <f t="shared" ca="1" si="11"/>
        <v>56.901339999999998</v>
      </c>
      <c r="Q32" s="5">
        <f t="shared" ca="1" si="11"/>
        <v>56.78134</v>
      </c>
      <c r="R32" s="5">
        <f t="shared" ca="1" si="11"/>
        <v>58.93618</v>
      </c>
      <c r="S32" s="5">
        <f t="shared" ca="1" si="11"/>
        <v>56.901339999999998</v>
      </c>
      <c r="T32" s="5">
        <f t="shared" ca="1" si="11"/>
        <v>56.901339999999998</v>
      </c>
      <c r="U32" s="5">
        <f t="shared" ca="1" si="11"/>
        <v>56.912840000000003</v>
      </c>
      <c r="W32" s="5">
        <f t="shared" ca="1" si="12"/>
        <v>57.642625999999993</v>
      </c>
      <c r="Y32" s="5">
        <f ca="1">Total!E32</f>
        <v>56.511339999999997</v>
      </c>
      <c r="AB32" s="5">
        <f t="shared" ca="1" si="1"/>
        <v>2.4505347068393725E-2</v>
      </c>
      <c r="AC32" s="5">
        <f t="shared" ca="1" si="2"/>
        <v>4.2682052841075888E-2</v>
      </c>
      <c r="AD32" s="5">
        <f t="shared" ca="1" si="3"/>
        <v>1.1764541417704872E-2</v>
      </c>
      <c r="AE32" s="5">
        <f t="shared" ca="1" si="4"/>
        <v>4.5740200108509196E-2</v>
      </c>
      <c r="AF32" s="5">
        <f t="shared" ca="1" si="5"/>
        <v>6.901269727456482E-3</v>
      </c>
      <c r="AG32" s="5">
        <f t="shared" ca="1" si="6"/>
        <v>4.7778021190083824E-3</v>
      </c>
      <c r="AH32" s="5">
        <f t="shared" ca="1" si="7"/>
        <v>4.290890996391173E-2</v>
      </c>
      <c r="AI32" s="5">
        <f t="shared" ca="1" si="8"/>
        <v>6.901269727456482E-3</v>
      </c>
      <c r="AJ32" s="5">
        <f t="shared" ca="1" si="9"/>
        <v>6.901269727456482E-3</v>
      </c>
      <c r="AK32" s="5">
        <f t="shared" ca="1" si="10"/>
        <v>7.1047687065995211E-3</v>
      </c>
      <c r="AM32" s="5">
        <f t="shared" ca="1" si="13"/>
        <v>0.20018743140757272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1.2075199999999999</v>
      </c>
      <c r="F33" s="5">
        <v>25</v>
      </c>
      <c r="H33" s="5" t="s">
        <v>0</v>
      </c>
      <c r="I33" s="5">
        <v>50</v>
      </c>
      <c r="J33" s="5">
        <v>0.7</v>
      </c>
      <c r="L33" s="5">
        <f t="shared" ca="1" si="11"/>
        <v>53.342750000000002</v>
      </c>
      <c r="M33" s="5">
        <f t="shared" ca="1" si="11"/>
        <v>53.475520000000003</v>
      </c>
      <c r="N33" s="5">
        <f t="shared" ca="1" si="11"/>
        <v>53.685830000000003</v>
      </c>
      <c r="O33" s="5">
        <f t="shared" ca="1" si="11"/>
        <v>53.645069999999997</v>
      </c>
      <c r="P33" s="5">
        <f t="shared" ca="1" si="11"/>
        <v>53.922750000000001</v>
      </c>
      <c r="Q33" s="5">
        <f t="shared" ca="1" si="11"/>
        <v>53.524979999999999</v>
      </c>
      <c r="R33" s="5">
        <f t="shared" ca="1" si="11"/>
        <v>53.675069999999998</v>
      </c>
      <c r="S33" s="5">
        <f t="shared" ca="1" si="11"/>
        <v>53.425600000000003</v>
      </c>
      <c r="T33" s="5">
        <f t="shared" ca="1" si="11"/>
        <v>53.737169999999999</v>
      </c>
      <c r="U33" s="5">
        <f t="shared" ca="1" si="11"/>
        <v>53.78275</v>
      </c>
      <c r="W33" s="5">
        <f t="shared" ca="1" si="12"/>
        <v>53.621749000000001</v>
      </c>
      <c r="Y33" s="5">
        <f ca="1">Total!E33</f>
        <v>53.115070000000003</v>
      </c>
      <c r="AB33" s="5">
        <f t="shared" ca="1" si="1"/>
        <v>4.2865424068912914E-3</v>
      </c>
      <c r="AC33" s="5">
        <f t="shared" ca="1" si="2"/>
        <v>6.7862096388087252E-3</v>
      </c>
      <c r="AD33" s="5">
        <f t="shared" ca="1" si="3"/>
        <v>1.0745726212918479E-2</v>
      </c>
      <c r="AE33" s="5">
        <f t="shared" ca="1" si="4"/>
        <v>9.9783357152686426E-3</v>
      </c>
      <c r="AF33" s="5">
        <f t="shared" ca="1" si="5"/>
        <v>1.5206230548128764E-2</v>
      </c>
      <c r="AG33" s="5">
        <f t="shared" ca="1" si="6"/>
        <v>7.7173954585769431E-3</v>
      </c>
      <c r="AH33" s="5">
        <f t="shared" ca="1" si="7"/>
        <v>1.0543147170849913E-2</v>
      </c>
      <c r="AI33" s="5">
        <f t="shared" ca="1" si="8"/>
        <v>5.8463633767215206E-3</v>
      </c>
      <c r="AJ33" s="5">
        <f t="shared" ca="1" si="9"/>
        <v>1.171230688390312E-2</v>
      </c>
      <c r="AK33" s="5">
        <f t="shared" ca="1" si="10"/>
        <v>1.2570443755416253E-2</v>
      </c>
      <c r="AM33" s="5">
        <f t="shared" ca="1" si="13"/>
        <v>9.5392701167483662E-2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1.2323</v>
      </c>
      <c r="F34" s="5">
        <v>24</v>
      </c>
      <c r="H34" s="5" t="s">
        <v>0</v>
      </c>
      <c r="I34" s="5">
        <v>50</v>
      </c>
      <c r="J34" s="5">
        <v>1</v>
      </c>
      <c r="L34" s="5">
        <f t="shared" ca="1" si="11"/>
        <v>53.132179999999998</v>
      </c>
      <c r="M34" s="5">
        <f t="shared" ca="1" si="11"/>
        <v>53.38749</v>
      </c>
      <c r="N34" s="5">
        <f t="shared" ca="1" si="11"/>
        <v>53.155520000000003</v>
      </c>
      <c r="O34" s="5">
        <f t="shared" ca="1" si="11"/>
        <v>53.322180000000003</v>
      </c>
      <c r="P34" s="5">
        <f t="shared" ca="1" si="11"/>
        <v>53.327489999999997</v>
      </c>
      <c r="Q34" s="5">
        <f t="shared" ca="1" si="11"/>
        <v>53.178319999999999</v>
      </c>
      <c r="R34" s="5">
        <f t="shared" ca="1" si="11"/>
        <v>53.302410000000002</v>
      </c>
      <c r="S34" s="5">
        <f t="shared" ca="1" si="11"/>
        <v>53.197490000000002</v>
      </c>
      <c r="T34" s="5">
        <f t="shared" ca="1" si="11"/>
        <v>53.31241</v>
      </c>
      <c r="U34" s="5">
        <f t="shared" ca="1" si="11"/>
        <v>53.143120000000003</v>
      </c>
      <c r="W34" s="5">
        <f t="shared" ca="1" si="12"/>
        <v>53.245861000000005</v>
      </c>
      <c r="Y34" s="5">
        <f ca="1">Total!E34</f>
        <v>53.003740000000001</v>
      </c>
      <c r="AB34" s="5">
        <f t="shared" ca="1" si="1"/>
        <v>2.4232252290120973E-3</v>
      </c>
      <c r="AC34" s="5">
        <f t="shared" ca="1" si="2"/>
        <v>7.2400551357319149E-3</v>
      </c>
      <c r="AD34" s="5">
        <f t="shared" ca="1" si="3"/>
        <v>2.8635715140101856E-3</v>
      </c>
      <c r="AE34" s="5">
        <f t="shared" ca="1" si="4"/>
        <v>6.0078779346514509E-3</v>
      </c>
      <c r="AF34" s="5">
        <f t="shared" ca="1" si="5"/>
        <v>6.1080595444773685E-3</v>
      </c>
      <c r="AG34" s="5">
        <f t="shared" ca="1" si="6"/>
        <v>3.2937298386868331E-3</v>
      </c>
      <c r="AH34" s="5">
        <f t="shared" ca="1" si="7"/>
        <v>5.6348853873330693E-3</v>
      </c>
      <c r="AI34" s="5">
        <f t="shared" ca="1" si="8"/>
        <v>3.6554024300926957E-3</v>
      </c>
      <c r="AJ34" s="5">
        <f t="shared" ca="1" si="9"/>
        <v>5.8235513192087824E-3</v>
      </c>
      <c r="AK34" s="5">
        <f t="shared" ca="1" si="10"/>
        <v>2.6296257584842641E-3</v>
      </c>
      <c r="AM34" s="5">
        <f t="shared" ca="1" si="13"/>
        <v>4.5679984091688657E-2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1.23045</v>
      </c>
      <c r="F35" s="5">
        <v>26</v>
      </c>
      <c r="H35" s="5" t="s">
        <v>0</v>
      </c>
      <c r="I35" s="5">
        <v>100</v>
      </c>
      <c r="J35" s="5">
        <v>0.4</v>
      </c>
      <c r="L35" s="5">
        <f t="shared" ca="1" si="11"/>
        <v>148.3108</v>
      </c>
      <c r="M35" s="5">
        <f t="shared" ca="1" si="11"/>
        <v>148.20987</v>
      </c>
      <c r="N35" s="5">
        <f t="shared" ca="1" si="11"/>
        <v>148.35672</v>
      </c>
      <c r="O35" s="5">
        <f t="shared" ca="1" si="11"/>
        <v>148.33338000000001</v>
      </c>
      <c r="P35" s="5">
        <f t="shared" ca="1" si="11"/>
        <v>148.27247</v>
      </c>
      <c r="Q35" s="5">
        <f t="shared" ca="1" si="11"/>
        <v>148.32365999999999</v>
      </c>
      <c r="R35" s="5">
        <f t="shared" ca="1" si="11"/>
        <v>148.23247000000001</v>
      </c>
      <c r="S35" s="5">
        <f t="shared" ca="1" si="11"/>
        <v>148.22865999999999</v>
      </c>
      <c r="T35" s="5">
        <f t="shared" ca="1" si="11"/>
        <v>148.26996</v>
      </c>
      <c r="U35" s="5">
        <f t="shared" ca="1" si="11"/>
        <v>148.22403</v>
      </c>
      <c r="W35" s="5">
        <f t="shared" ca="1" si="12"/>
        <v>148.27620200000001</v>
      </c>
      <c r="Y35" s="5">
        <f ca="1">Total!E35</f>
        <v>147.96312</v>
      </c>
      <c r="AB35" s="5">
        <f t="shared" ca="1" si="1"/>
        <v>2.3497747276483281E-3</v>
      </c>
      <c r="AC35" s="5">
        <f t="shared" ca="1" si="2"/>
        <v>1.6676452889070707E-3</v>
      </c>
      <c r="AD35" s="5">
        <f t="shared" ca="1" si="3"/>
        <v>2.6601223331867573E-3</v>
      </c>
      <c r="AE35" s="5">
        <f t="shared" ca="1" si="4"/>
        <v>2.5023803228804704E-3</v>
      </c>
      <c r="AF35" s="5">
        <f t="shared" ca="1" si="5"/>
        <v>2.09072368844341E-3</v>
      </c>
      <c r="AG35" s="5">
        <f t="shared" ca="1" si="6"/>
        <v>2.4366882774571534E-3</v>
      </c>
      <c r="AH35" s="5">
        <f t="shared" ca="1" si="7"/>
        <v>1.8203860529569995E-3</v>
      </c>
      <c r="AI35" s="5">
        <f t="shared" ca="1" si="8"/>
        <v>1.794636393176808E-3</v>
      </c>
      <c r="AJ35" s="5">
        <f t="shared" ca="1" si="9"/>
        <v>2.0737600018166285E-3</v>
      </c>
      <c r="AK35" s="5">
        <f t="shared" ca="1" si="10"/>
        <v>1.763344811869306E-3</v>
      </c>
      <c r="AM35" s="5">
        <f t="shared" ca="1" si="13"/>
        <v>2.1159461898342932E-2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1.2063299999999999</v>
      </c>
      <c r="F36" s="5">
        <v>25</v>
      </c>
      <c r="H36" s="5" t="s">
        <v>0</v>
      </c>
      <c r="I36" s="5">
        <v>100</v>
      </c>
      <c r="J36" s="5">
        <v>0.7</v>
      </c>
      <c r="L36" s="5">
        <f t="shared" ca="1" si="11"/>
        <v>108.0408</v>
      </c>
      <c r="M36" s="5">
        <f t="shared" ca="1" si="11"/>
        <v>108.06919000000001</v>
      </c>
      <c r="N36" s="5">
        <f t="shared" ca="1" si="11"/>
        <v>108.0626</v>
      </c>
      <c r="O36" s="5">
        <f t="shared" ca="1" si="11"/>
        <v>108.35503</v>
      </c>
      <c r="P36" s="5">
        <f t="shared" ca="1" si="11"/>
        <v>108.52117</v>
      </c>
      <c r="Q36" s="5">
        <f t="shared" ca="1" si="11"/>
        <v>108.19149</v>
      </c>
      <c r="R36" s="5">
        <f t="shared" ca="1" si="11"/>
        <v>108.02495999999999</v>
      </c>
      <c r="S36" s="5">
        <f t="shared" ca="1" si="11"/>
        <v>108.23497</v>
      </c>
      <c r="T36" s="5">
        <f t="shared" ca="1" si="11"/>
        <v>108.81775</v>
      </c>
      <c r="U36" s="5">
        <f t="shared" ca="1" si="11"/>
        <v>108.26302</v>
      </c>
      <c r="W36" s="5">
        <f t="shared" ca="1" si="12"/>
        <v>108.25809800000002</v>
      </c>
      <c r="Y36" s="5">
        <f ca="1">Total!E36</f>
        <v>107.28163000000001</v>
      </c>
      <c r="AB36" s="5">
        <f t="shared" ca="1" si="1"/>
        <v>7.0764211915870165E-3</v>
      </c>
      <c r="AC36" s="5">
        <f t="shared" ca="1" si="2"/>
        <v>7.3410517718643827E-3</v>
      </c>
      <c r="AD36" s="5">
        <f t="shared" ca="1" si="3"/>
        <v>7.279624666403711E-3</v>
      </c>
      <c r="AE36" s="5">
        <f t="shared" ca="1" si="4"/>
        <v>1.0005440819644447E-2</v>
      </c>
      <c r="AF36" s="5">
        <f t="shared" ca="1" si="5"/>
        <v>1.1554075007995226E-2</v>
      </c>
      <c r="AG36" s="5">
        <f t="shared" ca="1" si="6"/>
        <v>8.4810419081066783E-3</v>
      </c>
      <c r="AH36" s="5">
        <f t="shared" ca="1" si="7"/>
        <v>6.9287724282338552E-3</v>
      </c>
      <c r="AI36" s="5">
        <f t="shared" ca="1" si="8"/>
        <v>8.8863303065025868E-3</v>
      </c>
      <c r="AJ36" s="5">
        <f t="shared" ca="1" si="9"/>
        <v>1.431857439153373E-2</v>
      </c>
      <c r="AK36" s="5">
        <f t="shared" ca="1" si="10"/>
        <v>9.1477916582735595E-3</v>
      </c>
      <c r="AM36" s="5">
        <f t="shared" ca="1" si="13"/>
        <v>9.1019124150145209E-2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1.2104900000000001</v>
      </c>
      <c r="F37" s="5">
        <v>24</v>
      </c>
      <c r="H37" s="5" t="s">
        <v>0</v>
      </c>
      <c r="I37" s="5">
        <v>100</v>
      </c>
      <c r="J37" s="5">
        <v>1</v>
      </c>
      <c r="L37" s="5">
        <f t="shared" ca="1" si="11"/>
        <v>103.95335</v>
      </c>
      <c r="M37" s="5">
        <f t="shared" ca="1" si="11"/>
        <v>103.91609</v>
      </c>
      <c r="N37" s="5">
        <f t="shared" ca="1" si="11"/>
        <v>103.99247</v>
      </c>
      <c r="O37" s="5">
        <f t="shared" ca="1" si="11"/>
        <v>103.97877</v>
      </c>
      <c r="P37" s="5">
        <f t="shared" ca="1" si="11"/>
        <v>104.06496</v>
      </c>
      <c r="Q37" s="5">
        <f t="shared" ca="1" si="11"/>
        <v>103.91253</v>
      </c>
      <c r="R37" s="5">
        <f t="shared" ca="1" si="11"/>
        <v>103.96003</v>
      </c>
      <c r="S37" s="5">
        <f t="shared" ca="1" si="11"/>
        <v>103.97580000000001</v>
      </c>
      <c r="T37" s="5">
        <f t="shared" ca="1" si="11"/>
        <v>103.85080000000001</v>
      </c>
      <c r="U37" s="5">
        <f t="shared" ca="1" si="11"/>
        <v>103.64198</v>
      </c>
      <c r="W37" s="5">
        <f t="shared" ca="1" si="12"/>
        <v>103.92467800000001</v>
      </c>
      <c r="Y37" s="5">
        <f ca="1">Total!E37</f>
        <v>103.21266</v>
      </c>
      <c r="AB37" s="5">
        <f t="shared" ca="1" si="1"/>
        <v>7.1763483278117308E-3</v>
      </c>
      <c r="AC37" s="5">
        <f t="shared" ca="1" si="2"/>
        <v>6.8153461019219673E-3</v>
      </c>
      <c r="AD37" s="5">
        <f t="shared" ca="1" si="3"/>
        <v>7.5553715987941566E-3</v>
      </c>
      <c r="AE37" s="5">
        <f t="shared" ca="1" si="4"/>
        <v>7.42263594407893E-3</v>
      </c>
      <c r="AF37" s="5">
        <f t="shared" ca="1" si="5"/>
        <v>8.2577079207143741E-3</v>
      </c>
      <c r="AG37" s="5">
        <f t="shared" ca="1" si="6"/>
        <v>6.7808542091639164E-3</v>
      </c>
      <c r="AH37" s="5">
        <f t="shared" ca="1" si="7"/>
        <v>7.241069070402833E-3</v>
      </c>
      <c r="AI37" s="5">
        <f t="shared" ca="1" si="8"/>
        <v>7.393860404334188E-3</v>
      </c>
      <c r="AJ37" s="5">
        <f t="shared" ca="1" si="9"/>
        <v>6.1827686642317624E-3</v>
      </c>
      <c r="AK37" s="5">
        <f t="shared" ca="1" si="10"/>
        <v>4.1595672468862262E-3</v>
      </c>
      <c r="AM37" s="5">
        <f t="shared" ca="1" si="13"/>
        <v>6.898552948834008E-2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1.2015800000000001</v>
      </c>
      <c r="F38" s="5">
        <v>25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1.2084999999999999</v>
      </c>
      <c r="F39" s="5">
        <v>25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1.23149</v>
      </c>
      <c r="F40" s="5">
        <v>24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2.8999100000000002</v>
      </c>
      <c r="F41" s="5">
        <v>68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2.89927</v>
      </c>
      <c r="F42" s="5">
        <v>71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2.91642</v>
      </c>
      <c r="F43" s="5">
        <v>71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2.91378</v>
      </c>
      <c r="F44" s="5">
        <v>70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2.9224700000000001</v>
      </c>
      <c r="F45" s="5">
        <v>70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2.9038499999999998</v>
      </c>
      <c r="F46" s="5">
        <v>71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2.89276</v>
      </c>
      <c r="F47" s="5">
        <v>68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2.9007900000000002</v>
      </c>
      <c r="F48" s="5">
        <v>68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2.9076200000000001</v>
      </c>
      <c r="F49" s="5">
        <v>71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2.8990100000000001</v>
      </c>
      <c r="F50" s="5">
        <v>69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182.37333000000001</v>
      </c>
      <c r="E51" s="5">
        <v>4.5959700000000003</v>
      </c>
      <c r="F51" s="5">
        <v>109</v>
      </c>
    </row>
    <row r="52" spans="1:6" x14ac:dyDescent="0.25">
      <c r="A52" s="5" t="s">
        <v>27</v>
      </c>
      <c r="B52" s="5">
        <v>50</v>
      </c>
      <c r="C52" s="5">
        <v>1</v>
      </c>
      <c r="D52" s="5">
        <v>179.95332999999999</v>
      </c>
      <c r="E52" s="5">
        <v>4.6047799999999999</v>
      </c>
      <c r="F52" s="5">
        <v>109</v>
      </c>
    </row>
    <row r="53" spans="1:6" x14ac:dyDescent="0.25">
      <c r="A53" s="5" t="s">
        <v>27</v>
      </c>
      <c r="B53" s="5">
        <v>50</v>
      </c>
      <c r="C53" s="5">
        <v>1</v>
      </c>
      <c r="D53" s="5">
        <v>180.37180000000001</v>
      </c>
      <c r="E53" s="5">
        <v>4.5978300000000001</v>
      </c>
      <c r="F53" s="5">
        <v>109</v>
      </c>
    </row>
    <row r="54" spans="1:6" x14ac:dyDescent="0.25">
      <c r="A54" s="5" t="s">
        <v>27</v>
      </c>
      <c r="B54" s="5">
        <v>50</v>
      </c>
      <c r="C54" s="5">
        <v>1</v>
      </c>
      <c r="D54" s="5">
        <v>180.36302000000001</v>
      </c>
      <c r="E54" s="5">
        <v>4.5962100000000001</v>
      </c>
      <c r="F54" s="5">
        <v>111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180.25</v>
      </c>
      <c r="E55" s="5">
        <v>4.62331</v>
      </c>
      <c r="F55" s="5">
        <v>110</v>
      </c>
    </row>
    <row r="56" spans="1:6" x14ac:dyDescent="0.25">
      <c r="A56" s="5" t="s">
        <v>27</v>
      </c>
      <c r="B56" s="5">
        <v>50</v>
      </c>
      <c r="C56" s="5">
        <v>1</v>
      </c>
      <c r="D56" s="5">
        <v>182.34269</v>
      </c>
      <c r="E56" s="5">
        <v>4.6210199999999997</v>
      </c>
      <c r="F56" s="5">
        <v>110</v>
      </c>
    </row>
    <row r="57" spans="1:6" x14ac:dyDescent="0.25">
      <c r="A57" s="5" t="s">
        <v>27</v>
      </c>
      <c r="B57" s="5">
        <v>50</v>
      </c>
      <c r="C57" s="5">
        <v>1</v>
      </c>
      <c r="D57" s="5">
        <v>180.31627</v>
      </c>
      <c r="E57" s="5">
        <v>4.6214599999999999</v>
      </c>
      <c r="F57" s="5">
        <v>111</v>
      </c>
    </row>
    <row r="58" spans="1:6" x14ac:dyDescent="0.25">
      <c r="A58" s="5" t="s">
        <v>27</v>
      </c>
      <c r="B58" s="5">
        <v>50</v>
      </c>
      <c r="C58" s="5">
        <v>1</v>
      </c>
      <c r="D58" s="5">
        <v>181.40834000000001</v>
      </c>
      <c r="E58" s="5">
        <v>4.5920199999999998</v>
      </c>
      <c r="F58" s="5">
        <v>109</v>
      </c>
    </row>
    <row r="59" spans="1:6" x14ac:dyDescent="0.25">
      <c r="A59" s="5" t="s">
        <v>27</v>
      </c>
      <c r="B59" s="5">
        <v>50</v>
      </c>
      <c r="C59" s="5">
        <v>1</v>
      </c>
      <c r="D59" s="5">
        <v>182.34583000000001</v>
      </c>
      <c r="E59" s="5">
        <v>4.6129300000000004</v>
      </c>
      <c r="F59" s="5">
        <v>111</v>
      </c>
    </row>
    <row r="60" spans="1:6" x14ac:dyDescent="0.25">
      <c r="A60" s="5" t="s">
        <v>27</v>
      </c>
      <c r="B60" s="5">
        <v>50</v>
      </c>
      <c r="C60" s="5">
        <v>1</v>
      </c>
      <c r="D60" s="5">
        <v>180.33813000000001</v>
      </c>
      <c r="E60" s="5">
        <v>4.5968499999999999</v>
      </c>
      <c r="F60" s="5">
        <v>108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5.7115600000000004</v>
      </c>
      <c r="F61" s="5">
        <v>36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5.7202400000000004</v>
      </c>
      <c r="F62" s="5">
        <v>36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5.6136200000000001</v>
      </c>
      <c r="F63" s="5">
        <v>35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5.7064300000000001</v>
      </c>
      <c r="F64" s="5">
        <v>36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5.60006</v>
      </c>
      <c r="F65" s="5">
        <v>35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5.7166899999999998</v>
      </c>
      <c r="F66" s="5">
        <v>36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5.6688799999999997</v>
      </c>
      <c r="F67" s="5">
        <v>36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5.5932899999999997</v>
      </c>
      <c r="F68" s="5">
        <v>35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5.6933299999999996</v>
      </c>
      <c r="F69" s="5">
        <v>36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5.5970000000000004</v>
      </c>
      <c r="F70" s="5">
        <v>35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259.22331000000003</v>
      </c>
      <c r="E71" s="5">
        <v>11.66372</v>
      </c>
      <c r="F71" s="5">
        <v>70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257.27938999999998</v>
      </c>
      <c r="E72" s="5">
        <v>11.699780000000001</v>
      </c>
      <c r="F72" s="5">
        <v>71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258.04874000000001</v>
      </c>
      <c r="E73" s="5">
        <v>11.75872</v>
      </c>
      <c r="F73" s="5">
        <v>71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257.54833000000002</v>
      </c>
      <c r="E74" s="5">
        <v>11.73921</v>
      </c>
      <c r="F74" s="5">
        <v>71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258.46731999999997</v>
      </c>
      <c r="E75" s="5">
        <v>11.75872</v>
      </c>
      <c r="F75" s="5">
        <v>71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259.08465999999999</v>
      </c>
      <c r="E76" s="5">
        <v>11.687189999999999</v>
      </c>
      <c r="F76" s="5">
        <v>72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258.74272000000002</v>
      </c>
      <c r="E77" s="5">
        <v>11.75582</v>
      </c>
      <c r="F77" s="5">
        <v>71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258.77731999999997</v>
      </c>
      <c r="E78" s="5">
        <v>11.699009999999999</v>
      </c>
      <c r="F78" s="5">
        <v>71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258.14037999999999</v>
      </c>
      <c r="E79" s="5">
        <v>11.75051</v>
      </c>
      <c r="F79" s="5">
        <v>71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259.92351000000002</v>
      </c>
      <c r="E80" s="5">
        <v>11.749499999999999</v>
      </c>
      <c r="F80" s="5">
        <v>71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238.89</v>
      </c>
      <c r="E81" s="5">
        <v>30.130990000000001</v>
      </c>
      <c r="F81" s="5">
        <v>180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238.96373</v>
      </c>
      <c r="E82" s="5">
        <v>30.132359999999998</v>
      </c>
      <c r="F82" s="5">
        <v>182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239.52873</v>
      </c>
      <c r="E83" s="5">
        <v>30.129709999999999</v>
      </c>
      <c r="F83" s="5">
        <v>182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239.16</v>
      </c>
      <c r="E84" s="5">
        <v>30.136050000000001</v>
      </c>
      <c r="F84" s="5">
        <v>181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239.83</v>
      </c>
      <c r="E85" s="5">
        <v>30.202120000000001</v>
      </c>
      <c r="F85" s="5">
        <v>180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239.10373000000001</v>
      </c>
      <c r="E86" s="5">
        <v>30.202010000000001</v>
      </c>
      <c r="F86" s="5">
        <v>181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238.97667000000001</v>
      </c>
      <c r="E87" s="5">
        <v>30.17539</v>
      </c>
      <c r="F87" s="5">
        <v>182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239.29922999999999</v>
      </c>
      <c r="E88" s="5">
        <v>30.226870000000002</v>
      </c>
      <c r="F88" s="5">
        <v>182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239.26373000000001</v>
      </c>
      <c r="E89" s="5">
        <v>30.198519999999998</v>
      </c>
      <c r="F89" s="5">
        <v>181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239.0703</v>
      </c>
      <c r="E90" s="5">
        <v>30.165330000000001</v>
      </c>
      <c r="F90" s="5">
        <v>181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0.58528999999999998</v>
      </c>
      <c r="F91" s="5">
        <v>53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0.58431</v>
      </c>
      <c r="F92" s="5">
        <v>49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0.58423000000000003</v>
      </c>
      <c r="F93" s="5">
        <v>50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0.58181000000000005</v>
      </c>
      <c r="F94" s="5">
        <v>51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0.58889000000000002</v>
      </c>
      <c r="F95" s="5">
        <v>52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0.58748</v>
      </c>
      <c r="F96" s="5">
        <v>52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0.58899999999999997</v>
      </c>
      <c r="F97" s="5">
        <v>52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0.58843999999999996</v>
      </c>
      <c r="F98" s="5">
        <v>51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0.58420000000000005</v>
      </c>
      <c r="F99" s="5">
        <v>47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0.58472000000000002</v>
      </c>
      <c r="F100" s="5">
        <v>51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0.73917999999999995</v>
      </c>
      <c r="F101" s="5">
        <v>63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0.73762000000000005</v>
      </c>
      <c r="F102" s="5">
        <v>60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0.73477000000000003</v>
      </c>
      <c r="F103" s="5">
        <v>66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0.73816999999999999</v>
      </c>
      <c r="F104" s="5">
        <v>66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0.74314999999999998</v>
      </c>
      <c r="F105" s="5">
        <v>65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0.73556999999999995</v>
      </c>
      <c r="F106" s="5">
        <v>64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0.74184000000000005</v>
      </c>
      <c r="F107" s="5">
        <v>60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0.73502999999999996</v>
      </c>
      <c r="F108" s="5">
        <v>65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0.73890999999999996</v>
      </c>
      <c r="F109" s="5">
        <v>65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0.74239999999999995</v>
      </c>
      <c r="F110" s="5">
        <v>66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1.2749299999999999</v>
      </c>
      <c r="F111" s="5">
        <v>103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1.2774000000000001</v>
      </c>
      <c r="F112" s="5">
        <v>111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1.2772300000000001</v>
      </c>
      <c r="F113" s="5">
        <v>113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1.27529</v>
      </c>
      <c r="F114" s="5">
        <v>107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1.2763100000000001</v>
      </c>
      <c r="F115" s="5">
        <v>111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1.28159</v>
      </c>
      <c r="F116" s="5">
        <v>114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1.2807599999999999</v>
      </c>
      <c r="F117" s="5">
        <v>112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1.2762199999999999</v>
      </c>
      <c r="F118" s="5">
        <v>107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1.28043</v>
      </c>
      <c r="F119" s="5">
        <v>111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1.2803599999999999</v>
      </c>
      <c r="F120" s="5">
        <v>109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4348.0289499999999</v>
      </c>
      <c r="E121" s="5">
        <v>1.9948300000000001</v>
      </c>
      <c r="F121" s="5">
        <v>57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4348.0289499999999</v>
      </c>
      <c r="E122" s="5">
        <v>1.9939199999999999</v>
      </c>
      <c r="F122" s="5">
        <v>56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4348.0289499999999</v>
      </c>
      <c r="E123" s="5">
        <v>2.0079799999999999</v>
      </c>
      <c r="F123" s="5">
        <v>58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4348.0289499999999</v>
      </c>
      <c r="E124" s="5">
        <v>2.0036200000000002</v>
      </c>
      <c r="F124" s="5">
        <v>56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4348.0289499999999</v>
      </c>
      <c r="E125" s="5">
        <v>1.9928900000000001</v>
      </c>
      <c r="F125" s="5">
        <v>54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4348.0289499999999</v>
      </c>
      <c r="E126" s="5">
        <v>2.0036800000000001</v>
      </c>
      <c r="F126" s="5">
        <v>55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2.0103</v>
      </c>
      <c r="F127" s="5">
        <v>59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2.0186099999999998</v>
      </c>
      <c r="F128" s="5">
        <v>57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2.0061499999999999</v>
      </c>
      <c r="F129" s="5">
        <v>58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4348.0289499999999</v>
      </c>
      <c r="E130" s="5">
        <v>2.00787</v>
      </c>
      <c r="F130" s="5">
        <v>57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2.87852</v>
      </c>
      <c r="F131" s="5">
        <v>80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2.8795299999999999</v>
      </c>
      <c r="F132" s="5">
        <v>80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2.8631700000000002</v>
      </c>
      <c r="F133" s="5">
        <v>82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2.8837700000000002</v>
      </c>
      <c r="F134" s="5">
        <v>79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2.8803899999999998</v>
      </c>
      <c r="F135" s="5">
        <v>80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2.8837199999999998</v>
      </c>
      <c r="F136" s="5">
        <v>80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2.88706</v>
      </c>
      <c r="F137" s="5">
        <v>83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2.8729</v>
      </c>
      <c r="F138" s="5">
        <v>80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2.8679399999999999</v>
      </c>
      <c r="F139" s="5">
        <v>79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2.87879</v>
      </c>
      <c r="F140" s="5">
        <v>82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3.53871</v>
      </c>
      <c r="F141" s="5">
        <v>99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3.5169199999999998</v>
      </c>
      <c r="F142" s="5">
        <v>98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3.5379299999999998</v>
      </c>
      <c r="F143" s="5">
        <v>101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3.53389</v>
      </c>
      <c r="F144" s="5">
        <v>102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3.51416</v>
      </c>
      <c r="F145" s="5">
        <v>99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3.5150299999999999</v>
      </c>
      <c r="F146" s="5">
        <v>99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3.5386700000000002</v>
      </c>
      <c r="F147" s="5">
        <v>99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3.5155400000000001</v>
      </c>
      <c r="F148" s="5">
        <v>98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3.52935</v>
      </c>
      <c r="F149" s="5">
        <v>98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3.5192100000000002</v>
      </c>
      <c r="F150" s="5">
        <v>100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42986.403050000001</v>
      </c>
      <c r="E151" s="5">
        <v>4.9911099999999999</v>
      </c>
      <c r="F151" s="5">
        <v>33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42986.727890000002</v>
      </c>
      <c r="E152" s="5">
        <v>4.8949299999999996</v>
      </c>
      <c r="F152" s="5">
        <v>32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42986.802479999998</v>
      </c>
      <c r="E153" s="5">
        <v>4.984</v>
      </c>
      <c r="F153" s="5">
        <v>33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42986.853589999999</v>
      </c>
      <c r="E154" s="5">
        <v>4.9881000000000002</v>
      </c>
      <c r="F154" s="5">
        <v>33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42986.403050000001</v>
      </c>
      <c r="E155" s="5">
        <v>5.00603</v>
      </c>
      <c r="F155" s="5">
        <v>33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42986.802479999998</v>
      </c>
      <c r="E156" s="5">
        <v>5.0060700000000002</v>
      </c>
      <c r="F156" s="5">
        <v>33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42986.403050000001</v>
      </c>
      <c r="E157" s="5">
        <v>4.9844099999999996</v>
      </c>
      <c r="F157" s="5">
        <v>33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42986.853589999999</v>
      </c>
      <c r="E158" s="5">
        <v>4.9948199999999998</v>
      </c>
      <c r="F158" s="5">
        <v>33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42986.802479999998</v>
      </c>
      <c r="E159" s="5">
        <v>4.9893299999999998</v>
      </c>
      <c r="F159" s="5">
        <v>33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42988.963889999999</v>
      </c>
      <c r="E160" s="5">
        <v>4.9956899999999997</v>
      </c>
      <c r="F160" s="5">
        <v>32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35737.012459999998</v>
      </c>
      <c r="E161" s="5">
        <v>12.75909</v>
      </c>
      <c r="F161" s="5">
        <v>80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35797.274109999998</v>
      </c>
      <c r="E162" s="5">
        <v>12.75318</v>
      </c>
      <c r="F162" s="5">
        <v>80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35686.483520000002</v>
      </c>
      <c r="E163" s="5">
        <v>12.75686</v>
      </c>
      <c r="F163" s="5">
        <v>80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35780.933100000002</v>
      </c>
      <c r="E164" s="5">
        <v>12.766500000000001</v>
      </c>
      <c r="F164" s="5">
        <v>80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35697.77461</v>
      </c>
      <c r="E165" s="5">
        <v>12.71105</v>
      </c>
      <c r="F165" s="5">
        <v>79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35783.464599999999</v>
      </c>
      <c r="E166" s="5">
        <v>12.70974</v>
      </c>
      <c r="F166" s="5">
        <v>80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35751.015509999997</v>
      </c>
      <c r="E167" s="5">
        <v>12.745010000000001</v>
      </c>
      <c r="F167" s="5">
        <v>80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35619.148979999998</v>
      </c>
      <c r="E168" s="5">
        <v>12.726139999999999</v>
      </c>
      <c r="F168" s="5">
        <v>79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35647.623789999998</v>
      </c>
      <c r="E169" s="5">
        <v>12.75</v>
      </c>
      <c r="F169" s="5">
        <v>80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35642.700770000003</v>
      </c>
      <c r="E170" s="5">
        <v>12.742979999999999</v>
      </c>
      <c r="F170" s="5">
        <v>80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35274.43</v>
      </c>
      <c r="E171" s="5">
        <v>28.52149</v>
      </c>
      <c r="F171" s="5">
        <v>187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35259.451350000003</v>
      </c>
      <c r="E172" s="5">
        <v>28.519950000000001</v>
      </c>
      <c r="F172" s="5">
        <v>186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35236.536670000001</v>
      </c>
      <c r="E173" s="5">
        <v>28.511790000000001</v>
      </c>
      <c r="F173" s="5">
        <v>185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35226.123330000002</v>
      </c>
      <c r="E174" s="5">
        <v>28.560320000000001</v>
      </c>
      <c r="F174" s="5">
        <v>187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35296.937319999997</v>
      </c>
      <c r="E175" s="5">
        <v>28.570599999999999</v>
      </c>
      <c r="F175" s="5">
        <v>184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35284.956610000001</v>
      </c>
      <c r="E176" s="5">
        <v>28.552340000000001</v>
      </c>
      <c r="F176" s="5">
        <v>186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35283.11174</v>
      </c>
      <c r="E177" s="5">
        <v>28.516739999999999</v>
      </c>
      <c r="F177" s="5">
        <v>171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35240.353329999998</v>
      </c>
      <c r="E178" s="5">
        <v>28.49878</v>
      </c>
      <c r="F178" s="5">
        <v>190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35243.794190000001</v>
      </c>
      <c r="E179" s="5">
        <v>28.51313</v>
      </c>
      <c r="F179" s="5">
        <v>186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35244.60673</v>
      </c>
      <c r="E180" s="5">
        <v>28.60416</v>
      </c>
      <c r="F180" s="5">
        <v>188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0.74185999999999996</v>
      </c>
      <c r="F181" s="5">
        <v>41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0.74112999999999996</v>
      </c>
      <c r="F182" s="5">
        <v>48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0.73167000000000004</v>
      </c>
      <c r="F183" s="5">
        <v>46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0.73846000000000001</v>
      </c>
      <c r="F184" s="5">
        <v>47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0.73545000000000005</v>
      </c>
      <c r="F185" s="5">
        <v>46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0.73846999999999996</v>
      </c>
      <c r="F186" s="5">
        <v>41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996.31082000000004</v>
      </c>
      <c r="E187" s="5">
        <v>0.73792999999999997</v>
      </c>
      <c r="F187" s="5">
        <v>43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0.73394000000000004</v>
      </c>
      <c r="F188" s="5">
        <v>43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0.7369</v>
      </c>
      <c r="F189" s="5">
        <v>44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0.73889000000000005</v>
      </c>
      <c r="F190" s="5">
        <v>48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675.36989000000005</v>
      </c>
      <c r="E191" s="5">
        <v>1.1429499999999999</v>
      </c>
      <c r="F191" s="5">
        <v>65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675.36989000000005</v>
      </c>
      <c r="E192" s="5">
        <v>1.1450100000000001</v>
      </c>
      <c r="F192" s="5">
        <v>73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675.36581000000001</v>
      </c>
      <c r="E193" s="5">
        <v>1.14154</v>
      </c>
      <c r="F193" s="5">
        <v>73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675.36989000000005</v>
      </c>
      <c r="E194" s="5">
        <v>1.14514</v>
      </c>
      <c r="F194" s="5">
        <v>66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675.38611000000003</v>
      </c>
      <c r="E195" s="5">
        <v>1.1468100000000001</v>
      </c>
      <c r="F195" s="5">
        <v>72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675.36989000000005</v>
      </c>
      <c r="E196" s="5">
        <v>1.1416900000000001</v>
      </c>
      <c r="F196" s="5">
        <v>74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675.36581000000001</v>
      </c>
      <c r="E197" s="5">
        <v>1.1367100000000001</v>
      </c>
      <c r="F197" s="5">
        <v>74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675.36989000000005</v>
      </c>
      <c r="E198" s="5">
        <v>1.1382699999999999</v>
      </c>
      <c r="F198" s="5">
        <v>69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675.36989000000005</v>
      </c>
      <c r="E199" s="5">
        <v>1.1430899999999999</v>
      </c>
      <c r="F199" s="5">
        <v>74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675.36989000000005</v>
      </c>
      <c r="E200" s="5">
        <v>1.1401399999999999</v>
      </c>
      <c r="F200" s="5">
        <v>73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655.43295999999998</v>
      </c>
      <c r="E201" s="5">
        <v>2.0764900000000002</v>
      </c>
      <c r="F201" s="5">
        <v>126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655.43295999999998</v>
      </c>
      <c r="E202" s="5">
        <v>2.07315</v>
      </c>
      <c r="F202" s="5">
        <v>126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656.19402000000002</v>
      </c>
      <c r="E203" s="5">
        <v>2.07795</v>
      </c>
      <c r="F203" s="5">
        <v>128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657.45713999999998</v>
      </c>
      <c r="E204" s="5">
        <v>2.0696599999999998</v>
      </c>
      <c r="F204" s="5">
        <v>132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655.43295999999998</v>
      </c>
      <c r="E205" s="5">
        <v>2.0688300000000002</v>
      </c>
      <c r="F205" s="5">
        <v>127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657.95457999999996</v>
      </c>
      <c r="E206" s="5">
        <v>2.0785100000000001</v>
      </c>
      <c r="F206" s="5">
        <v>132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655.43295999999998</v>
      </c>
      <c r="E207" s="5">
        <v>2.0758100000000002</v>
      </c>
      <c r="F207" s="5">
        <v>128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655.43907999999999</v>
      </c>
      <c r="E208" s="5">
        <v>2.07402</v>
      </c>
      <c r="F208" s="5">
        <v>130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655.43295999999998</v>
      </c>
      <c r="E209" s="5">
        <v>2.07063</v>
      </c>
      <c r="F209" s="5">
        <v>122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655.43295999999998</v>
      </c>
      <c r="E210" s="5">
        <v>2.0773100000000002</v>
      </c>
      <c r="F210" s="5">
        <v>129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1460.8103000000001</v>
      </c>
      <c r="E211" s="5">
        <v>1.58771</v>
      </c>
      <c r="F211" s="5">
        <v>43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1460.80863</v>
      </c>
      <c r="E212" s="5">
        <v>1.5966899999999999</v>
      </c>
      <c r="F212" s="5">
        <v>43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1459.9687899999999</v>
      </c>
      <c r="E213" s="5">
        <v>1.6101099999999999</v>
      </c>
      <c r="F213" s="5">
        <v>45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1459.9687899999999</v>
      </c>
      <c r="E214" s="5">
        <v>1.6069199999999999</v>
      </c>
      <c r="F214" s="5">
        <v>45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1459.9687899999999</v>
      </c>
      <c r="E215" s="5">
        <v>1.5975200000000001</v>
      </c>
      <c r="F215" s="5">
        <v>43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1460.0209400000001</v>
      </c>
      <c r="E216" s="5">
        <v>1.6157900000000001</v>
      </c>
      <c r="F216" s="5">
        <v>45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1459.9687899999999</v>
      </c>
      <c r="E217" s="5">
        <v>1.6072900000000001</v>
      </c>
      <c r="F217" s="5">
        <v>43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1460.80863</v>
      </c>
      <c r="E218" s="5">
        <v>1.6065199999999999</v>
      </c>
      <c r="F218" s="5">
        <v>45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1459.9687899999999</v>
      </c>
      <c r="E219" s="5">
        <v>1.6007800000000001</v>
      </c>
      <c r="F219" s="5">
        <v>44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1459.9687899999999</v>
      </c>
      <c r="E220" s="5">
        <v>1.5984</v>
      </c>
      <c r="F220" s="5">
        <v>43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1019.48338</v>
      </c>
      <c r="E221" s="5">
        <v>4.5568799999999996</v>
      </c>
      <c r="F221" s="5">
        <v>118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1016.46246</v>
      </c>
      <c r="E222" s="5">
        <v>4.5587299999999997</v>
      </c>
      <c r="F222" s="5">
        <v>124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1006.89645</v>
      </c>
      <c r="E223" s="5">
        <v>4.5530499999999998</v>
      </c>
      <c r="F223" s="5">
        <v>123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1022.74244</v>
      </c>
      <c r="E224" s="5">
        <v>4.5495599999999996</v>
      </c>
      <c r="F224" s="5">
        <v>123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1018.33901</v>
      </c>
      <c r="E225" s="5">
        <v>4.5623699999999996</v>
      </c>
      <c r="F225" s="5">
        <v>124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1010.21881</v>
      </c>
      <c r="E226" s="5">
        <v>4.5450600000000003</v>
      </c>
      <c r="F226" s="5">
        <v>123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1016.20559</v>
      </c>
      <c r="E227" s="5">
        <v>4.5513700000000004</v>
      </c>
      <c r="F227" s="5">
        <v>122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1015.8526900000001</v>
      </c>
      <c r="E228" s="5">
        <v>4.5584100000000003</v>
      </c>
      <c r="F228" s="5">
        <v>123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1019.48862</v>
      </c>
      <c r="E229" s="5">
        <v>4.5511100000000004</v>
      </c>
      <c r="F229" s="5">
        <v>121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1013.49375</v>
      </c>
      <c r="E230" s="5">
        <v>4.5503799999999996</v>
      </c>
      <c r="F230" s="5">
        <v>124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993.38977999999997</v>
      </c>
      <c r="E231" s="5">
        <v>8.4129799999999992</v>
      </c>
      <c r="F231" s="5">
        <v>226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994.08960999999999</v>
      </c>
      <c r="E232" s="5">
        <v>8.4046400000000006</v>
      </c>
      <c r="F232" s="5">
        <v>224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995.81353000000001</v>
      </c>
      <c r="E233" s="5">
        <v>8.3871699999999993</v>
      </c>
      <c r="F233" s="5">
        <v>223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1001.25751</v>
      </c>
      <c r="E234" s="5">
        <v>8.40578</v>
      </c>
      <c r="F234" s="5">
        <v>223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994.33150999999998</v>
      </c>
      <c r="E235" s="5">
        <v>8.3976500000000005</v>
      </c>
      <c r="F235" s="5">
        <v>225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993.14332999999999</v>
      </c>
      <c r="E236" s="5">
        <v>8.4106699999999996</v>
      </c>
      <c r="F236" s="5">
        <v>226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992.40087000000005</v>
      </c>
      <c r="E237" s="5">
        <v>8.4116900000000001</v>
      </c>
      <c r="F237" s="5">
        <v>223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994.75441999999998</v>
      </c>
      <c r="E238" s="5">
        <v>8.4032400000000003</v>
      </c>
      <c r="F238" s="5">
        <v>225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994.39495999999997</v>
      </c>
      <c r="E239" s="5">
        <v>8.3992199999999997</v>
      </c>
      <c r="F239" s="5">
        <v>225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994.65630999999996</v>
      </c>
      <c r="E240" s="5">
        <v>8.4096799999999998</v>
      </c>
      <c r="F240" s="5">
        <v>224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1820.3050499999999</v>
      </c>
      <c r="E241" s="5">
        <v>5.1459700000000002</v>
      </c>
      <c r="F241" s="5">
        <v>37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1840.37409</v>
      </c>
      <c r="E242" s="5">
        <v>5.0631899999999996</v>
      </c>
      <c r="F242" s="5">
        <v>36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1854.8817100000001</v>
      </c>
      <c r="E243" s="5">
        <v>5.0468299999999999</v>
      </c>
      <c r="F243" s="5">
        <v>36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1835.1562899999999</v>
      </c>
      <c r="E244" s="5">
        <v>5.14269</v>
      </c>
      <c r="F244" s="5">
        <v>37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1849.8572300000001</v>
      </c>
      <c r="E245" s="5">
        <v>5.1360099999999997</v>
      </c>
      <c r="F245" s="5">
        <v>37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1872.0952299999999</v>
      </c>
      <c r="E246" s="5">
        <v>5.1589600000000004</v>
      </c>
      <c r="F246" s="5">
        <v>37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1845.4385299999999</v>
      </c>
      <c r="E247" s="5">
        <v>5.0480400000000003</v>
      </c>
      <c r="F247" s="5">
        <v>36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1884.8714399999999</v>
      </c>
      <c r="E248" s="5">
        <v>5.0472299999999999</v>
      </c>
      <c r="F248" s="5">
        <v>36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1873.9918600000001</v>
      </c>
      <c r="E249" s="5">
        <v>5.0413300000000003</v>
      </c>
      <c r="F249" s="5">
        <v>36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1857.46713</v>
      </c>
      <c r="E250" s="5">
        <v>5.0575900000000003</v>
      </c>
      <c r="F250" s="5">
        <v>36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1786.6233299999999</v>
      </c>
      <c r="E251" s="5">
        <v>9.3951700000000002</v>
      </c>
      <c r="F251" s="5">
        <v>65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1782.83024</v>
      </c>
      <c r="E252" s="5">
        <v>9.3758300000000006</v>
      </c>
      <c r="F252" s="5">
        <v>66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1790.18595</v>
      </c>
      <c r="E253" s="5">
        <v>9.4647699999999997</v>
      </c>
      <c r="F253" s="5">
        <v>66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1788.28532</v>
      </c>
      <c r="E254" s="5">
        <v>9.4279600000000006</v>
      </c>
      <c r="F254" s="5">
        <v>66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1787.7527500000001</v>
      </c>
      <c r="E255" s="5">
        <v>9.4393600000000006</v>
      </c>
      <c r="F255" s="5">
        <v>66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1784.2402400000001</v>
      </c>
      <c r="E256" s="5">
        <v>9.4391599999999993</v>
      </c>
      <c r="F256" s="5">
        <v>66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1779.6460300000001</v>
      </c>
      <c r="E257" s="5">
        <v>9.3698700000000006</v>
      </c>
      <c r="F257" s="5">
        <v>66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1792.7485300000001</v>
      </c>
      <c r="E258" s="5">
        <v>9.3756799999999991</v>
      </c>
      <c r="F258" s="5">
        <v>65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1790.6603600000001</v>
      </c>
      <c r="E259" s="5">
        <v>9.3901599999999998</v>
      </c>
      <c r="F259" s="5">
        <v>66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1785.42065</v>
      </c>
      <c r="E260" s="5">
        <v>9.4535499999999999</v>
      </c>
      <c r="F260" s="5">
        <v>66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1755.8851999999999</v>
      </c>
      <c r="E261" s="5">
        <v>15.382020000000001</v>
      </c>
      <c r="F261" s="5">
        <v>107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1759.41291</v>
      </c>
      <c r="E262" s="5">
        <v>15.43393</v>
      </c>
      <c r="F262" s="5">
        <v>108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1755.89526</v>
      </c>
      <c r="E263" s="5">
        <v>15.442539999999999</v>
      </c>
      <c r="F263" s="5">
        <v>109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1756.2901999999999</v>
      </c>
      <c r="E264" s="5">
        <v>15.343030000000001</v>
      </c>
      <c r="F264" s="5">
        <v>107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1757.7669100000001</v>
      </c>
      <c r="E265" s="5">
        <v>15.34446</v>
      </c>
      <c r="F265" s="5">
        <v>107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1759.1861699999999</v>
      </c>
      <c r="E266" s="5">
        <v>15.366910000000001</v>
      </c>
      <c r="F266" s="5">
        <v>107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1758.2148500000001</v>
      </c>
      <c r="E267" s="5">
        <v>15.382440000000001</v>
      </c>
      <c r="F267" s="5">
        <v>108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1757.6211699999999</v>
      </c>
      <c r="E268" s="5">
        <v>15.346399999999999</v>
      </c>
      <c r="F268" s="5">
        <v>108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1756.99667</v>
      </c>
      <c r="E269" s="5">
        <v>15.40569</v>
      </c>
      <c r="F269" s="5">
        <v>108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1758.00333</v>
      </c>
      <c r="E270" s="5">
        <v>15.34695</v>
      </c>
      <c r="F270" s="5">
        <v>107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42.424349999999997</v>
      </c>
      <c r="E271" s="5">
        <v>0.58740000000000003</v>
      </c>
      <c r="F271" s="5">
        <v>44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41.318849999999998</v>
      </c>
      <c r="E272" s="5">
        <v>0.58799999999999997</v>
      </c>
      <c r="F272" s="5">
        <v>40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42.424349999999997</v>
      </c>
      <c r="E273" s="5">
        <v>0.59182999999999997</v>
      </c>
      <c r="F273" s="5">
        <v>46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41.318849999999998</v>
      </c>
      <c r="E274" s="5">
        <v>0.58945999999999998</v>
      </c>
      <c r="F274" s="5">
        <v>45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41.318849999999998</v>
      </c>
      <c r="E275" s="5">
        <v>0.58653999999999995</v>
      </c>
      <c r="F275" s="5">
        <v>41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41.318849999999998</v>
      </c>
      <c r="E276" s="5">
        <v>0.59306000000000003</v>
      </c>
      <c r="F276" s="5">
        <v>45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41.318849999999998</v>
      </c>
      <c r="E277" s="5">
        <v>0.58714</v>
      </c>
      <c r="F277" s="5">
        <v>45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42.424349999999997</v>
      </c>
      <c r="E278" s="5">
        <v>0.59262999999999999</v>
      </c>
      <c r="F278" s="5">
        <v>46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41.318849999999998</v>
      </c>
      <c r="E279" s="5">
        <v>0.59194999999999998</v>
      </c>
      <c r="F279" s="5">
        <v>45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41.318849999999998</v>
      </c>
      <c r="E280" s="5">
        <v>0.58833999999999997</v>
      </c>
      <c r="F280" s="5">
        <v>46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0.87514000000000003</v>
      </c>
      <c r="F281" s="5">
        <v>65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28.65624</v>
      </c>
      <c r="E282" s="5">
        <v>0.88022999999999996</v>
      </c>
      <c r="F282" s="5">
        <v>61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28.65436</v>
      </c>
      <c r="E283" s="5">
        <v>0.87395999999999996</v>
      </c>
      <c r="F283" s="5">
        <v>65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0.88141999999999998</v>
      </c>
      <c r="F284" s="5">
        <v>68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0.87992000000000004</v>
      </c>
      <c r="F285" s="5">
        <v>69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28.65436</v>
      </c>
      <c r="E286" s="5">
        <v>0.87426999999999999</v>
      </c>
      <c r="F286" s="5">
        <v>64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28.65436</v>
      </c>
      <c r="E287" s="5">
        <v>0.88214000000000004</v>
      </c>
      <c r="F287" s="5">
        <v>69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0.87555000000000005</v>
      </c>
      <c r="F288" s="5">
        <v>69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28.682030000000001</v>
      </c>
      <c r="E289" s="5">
        <v>0.87821000000000005</v>
      </c>
      <c r="F289" s="5">
        <v>70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0.88231000000000004</v>
      </c>
      <c r="F290" s="5">
        <v>70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28.602029999999999</v>
      </c>
      <c r="E291" s="5">
        <v>1.1333299999999999</v>
      </c>
      <c r="F291" s="5">
        <v>84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28.546240000000001</v>
      </c>
      <c r="E292" s="5">
        <v>1.1330499999999999</v>
      </c>
      <c r="F292" s="5">
        <v>82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28.60624</v>
      </c>
      <c r="E293" s="5">
        <v>1.1330899999999999</v>
      </c>
      <c r="F293" s="5">
        <v>86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28.592030000000001</v>
      </c>
      <c r="E294" s="5">
        <v>1.1402000000000001</v>
      </c>
      <c r="F294" s="5">
        <v>87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28.504100000000001</v>
      </c>
      <c r="E295" s="5">
        <v>1.1360600000000001</v>
      </c>
      <c r="F295" s="5">
        <v>89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28.635680000000001</v>
      </c>
      <c r="E296" s="5">
        <v>1.1390800000000001</v>
      </c>
      <c r="F296" s="5">
        <v>83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28.60624</v>
      </c>
      <c r="E297" s="5">
        <v>1.13889</v>
      </c>
      <c r="F297" s="5">
        <v>88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28.592030000000001</v>
      </c>
      <c r="E298" s="5">
        <v>1.1392199999999999</v>
      </c>
      <c r="F298" s="5">
        <v>88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28.587009999999999</v>
      </c>
      <c r="E299" s="5">
        <v>1.13144</v>
      </c>
      <c r="F299" s="5">
        <v>88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28.504100000000001</v>
      </c>
      <c r="E300" s="5">
        <v>1.13429</v>
      </c>
      <c r="F300" s="5">
        <v>83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57.896169999999998</v>
      </c>
      <c r="E301" s="5">
        <v>1.95923</v>
      </c>
      <c r="F301" s="5">
        <v>48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58.923360000000002</v>
      </c>
      <c r="E302" s="5">
        <v>1.9288099999999999</v>
      </c>
      <c r="F302" s="5">
        <v>52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57.176169999999999</v>
      </c>
      <c r="E303" s="5">
        <v>1.94123</v>
      </c>
      <c r="F303" s="5">
        <v>50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59.096179999999997</v>
      </c>
      <c r="E304" s="5">
        <v>1.9506399999999999</v>
      </c>
      <c r="F304" s="5">
        <v>52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56.901339999999998</v>
      </c>
      <c r="E305" s="5">
        <v>1.9449700000000001</v>
      </c>
      <c r="F305" s="5">
        <v>52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56.78134</v>
      </c>
      <c r="E306" s="5">
        <v>1.9281699999999999</v>
      </c>
      <c r="F306" s="5">
        <v>51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58.93618</v>
      </c>
      <c r="E307" s="5">
        <v>1.9208700000000001</v>
      </c>
      <c r="F307" s="5">
        <v>51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56.901339999999998</v>
      </c>
      <c r="E308" s="5">
        <v>1.92103</v>
      </c>
      <c r="F308" s="5">
        <v>50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56.901339999999998</v>
      </c>
      <c r="E309" s="5">
        <v>1.9501299999999999</v>
      </c>
      <c r="F309" s="5">
        <v>52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56.912840000000003</v>
      </c>
      <c r="E310" s="5">
        <v>1.92336</v>
      </c>
      <c r="F310" s="5">
        <v>50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53.342750000000002</v>
      </c>
      <c r="E311" s="5">
        <v>3.7502200000000001</v>
      </c>
      <c r="F311" s="5">
        <v>96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53.475520000000003</v>
      </c>
      <c r="E312" s="5">
        <v>3.7858800000000001</v>
      </c>
      <c r="F312" s="5">
        <v>99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53.685830000000003</v>
      </c>
      <c r="E313" s="5">
        <v>3.7539799999999999</v>
      </c>
      <c r="F313" s="5">
        <v>98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53.645069999999997</v>
      </c>
      <c r="E314" s="5">
        <v>3.7747600000000001</v>
      </c>
      <c r="F314" s="5">
        <v>98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53.922750000000001</v>
      </c>
      <c r="E315" s="5">
        <v>3.7610000000000001</v>
      </c>
      <c r="F315" s="5">
        <v>97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53.524979999999999</v>
      </c>
      <c r="E316" s="5">
        <v>3.7578800000000001</v>
      </c>
      <c r="F316" s="5">
        <v>97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53.675069999999998</v>
      </c>
      <c r="E317" s="5">
        <v>3.7809900000000001</v>
      </c>
      <c r="F317" s="5">
        <v>97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53.425600000000003</v>
      </c>
      <c r="E318" s="5">
        <v>3.76573</v>
      </c>
      <c r="F318" s="5">
        <v>98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53.737169999999999</v>
      </c>
      <c r="E319" s="5">
        <v>3.7756099999999999</v>
      </c>
      <c r="F319" s="5">
        <v>98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53.78275</v>
      </c>
      <c r="E320" s="5">
        <v>3.7603399999999998</v>
      </c>
      <c r="F320" s="5">
        <v>97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53.132179999999998</v>
      </c>
      <c r="E321" s="5">
        <v>6.0889600000000002</v>
      </c>
      <c r="F321" s="5">
        <v>150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53.38749</v>
      </c>
      <c r="E322" s="5">
        <v>6.1034600000000001</v>
      </c>
      <c r="F322" s="5">
        <v>155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53.155520000000003</v>
      </c>
      <c r="E323" s="5">
        <v>6.0780500000000002</v>
      </c>
      <c r="F323" s="5">
        <v>151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53.322180000000003</v>
      </c>
      <c r="E324" s="5">
        <v>6.0845399999999996</v>
      </c>
      <c r="F324" s="5">
        <v>154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53.327489999999997</v>
      </c>
      <c r="E325" s="5">
        <v>6.0972099999999996</v>
      </c>
      <c r="F325" s="5">
        <v>151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53.178319999999999</v>
      </c>
      <c r="E326" s="5">
        <v>6.0799099999999999</v>
      </c>
      <c r="F326" s="5">
        <v>153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53.302410000000002</v>
      </c>
      <c r="E327" s="5">
        <v>6.0984699999999998</v>
      </c>
      <c r="F327" s="5">
        <v>155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53.197490000000002</v>
      </c>
      <c r="E328" s="5">
        <v>6.0824800000000003</v>
      </c>
      <c r="F328" s="5">
        <v>152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53.31241</v>
      </c>
      <c r="E329" s="5">
        <v>6.0749000000000004</v>
      </c>
      <c r="F329" s="5">
        <v>153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53.143120000000003</v>
      </c>
      <c r="E330" s="5">
        <v>6.0770900000000001</v>
      </c>
      <c r="F330" s="5">
        <v>152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148.3108</v>
      </c>
      <c r="E331" s="5">
        <v>7.0773200000000003</v>
      </c>
      <c r="F331" s="5">
        <v>49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148.20987</v>
      </c>
      <c r="E332" s="5">
        <v>7.0731299999999999</v>
      </c>
      <c r="F332" s="5">
        <v>49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148.35672</v>
      </c>
      <c r="E333" s="5">
        <v>7.0414099999999999</v>
      </c>
      <c r="F333" s="5">
        <v>49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148.33338000000001</v>
      </c>
      <c r="E334" s="5">
        <v>7.11172</v>
      </c>
      <c r="F334" s="5">
        <v>49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148.27247</v>
      </c>
      <c r="E335" s="5">
        <v>7.1120799999999997</v>
      </c>
      <c r="F335" s="5">
        <v>49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148.32365999999999</v>
      </c>
      <c r="E336" s="5">
        <v>7.1113799999999996</v>
      </c>
      <c r="F336" s="5">
        <v>50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148.23247000000001</v>
      </c>
      <c r="E337" s="5">
        <v>7.0834599999999996</v>
      </c>
      <c r="F337" s="5">
        <v>49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148.22865999999999</v>
      </c>
      <c r="E338" s="5">
        <v>7.0407599999999997</v>
      </c>
      <c r="F338" s="5">
        <v>49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148.26996</v>
      </c>
      <c r="E339" s="5">
        <v>7.1382500000000002</v>
      </c>
      <c r="F339" s="5">
        <v>49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148.22403</v>
      </c>
      <c r="E340" s="5">
        <v>7.1380499999999998</v>
      </c>
      <c r="F340" s="5">
        <v>49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108.0408</v>
      </c>
      <c r="E341" s="5">
        <v>16.832059999999998</v>
      </c>
      <c r="F341" s="5">
        <v>113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108.06919000000001</v>
      </c>
      <c r="E342" s="5">
        <v>16.854089999999999</v>
      </c>
      <c r="F342" s="5">
        <v>114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108.0626</v>
      </c>
      <c r="E343" s="5">
        <v>16.896740000000001</v>
      </c>
      <c r="F343" s="5">
        <v>115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108.35503</v>
      </c>
      <c r="E344" s="5">
        <v>16.817039999999999</v>
      </c>
      <c r="F344" s="5">
        <v>113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108.52117</v>
      </c>
      <c r="E345" s="5">
        <v>16.854600000000001</v>
      </c>
      <c r="F345" s="5">
        <v>113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108.19149</v>
      </c>
      <c r="E346" s="5">
        <v>16.878699999999998</v>
      </c>
      <c r="F346" s="5">
        <v>113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108.02495999999999</v>
      </c>
      <c r="E347" s="5">
        <v>16.873480000000001</v>
      </c>
      <c r="F347" s="5">
        <v>113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108.23497</v>
      </c>
      <c r="E348" s="5">
        <v>16.819210000000002</v>
      </c>
      <c r="F348" s="5">
        <v>113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108.81775</v>
      </c>
      <c r="E349" s="5">
        <v>16.872440000000001</v>
      </c>
      <c r="F349" s="5">
        <v>113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108.26302</v>
      </c>
      <c r="E350" s="5">
        <v>16.797339999999998</v>
      </c>
      <c r="F350" s="5">
        <v>113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103.95335</v>
      </c>
      <c r="E351" s="5">
        <v>29.408930000000002</v>
      </c>
      <c r="F351" s="5">
        <v>194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103.91609</v>
      </c>
      <c r="E352" s="5">
        <v>29.3718</v>
      </c>
      <c r="F352" s="5">
        <v>194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103.99247</v>
      </c>
      <c r="E353" s="5">
        <v>29.433430000000001</v>
      </c>
      <c r="F353" s="5">
        <v>196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103.97877</v>
      </c>
      <c r="E354" s="5">
        <v>29.35331</v>
      </c>
      <c r="F354" s="5">
        <v>192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104.06496</v>
      </c>
      <c r="E355" s="5">
        <v>29.44229</v>
      </c>
      <c r="F355" s="5">
        <v>193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103.91253</v>
      </c>
      <c r="E356" s="5">
        <v>29.380500000000001</v>
      </c>
      <c r="F356" s="5">
        <v>194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103.96003</v>
      </c>
      <c r="E357" s="5">
        <v>29.366409999999998</v>
      </c>
      <c r="F357" s="5">
        <v>196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103.97580000000001</v>
      </c>
      <c r="E358" s="5">
        <v>29.381029999999999</v>
      </c>
      <c r="F358" s="5">
        <v>190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103.85080000000001</v>
      </c>
      <c r="E359" s="5">
        <v>29.451720000000002</v>
      </c>
      <c r="F359" s="5">
        <v>196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103.64198</v>
      </c>
      <c r="E360" s="5">
        <v>29.356300000000001</v>
      </c>
      <c r="F360" s="5">
        <v>194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0.54654000000000003</v>
      </c>
      <c r="F361" s="5">
        <v>35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0.54869999999999997</v>
      </c>
      <c r="F362" s="5">
        <v>32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0.55164999999999997</v>
      </c>
      <c r="F363" s="5">
        <v>36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0.56013999999999997</v>
      </c>
      <c r="F364" s="5">
        <v>33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0.54405999999999999</v>
      </c>
      <c r="F365" s="5">
        <v>32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0.55150999999999994</v>
      </c>
      <c r="F366" s="5">
        <v>35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0.55203999999999998</v>
      </c>
      <c r="F367" s="5">
        <v>36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0.54164000000000001</v>
      </c>
      <c r="F368" s="5">
        <v>34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0.55247999999999997</v>
      </c>
      <c r="F369" s="5">
        <v>36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0.54703999999999997</v>
      </c>
      <c r="F370" s="5">
        <v>35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0.87128000000000005</v>
      </c>
      <c r="F371" s="5">
        <v>54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0.87800999999999996</v>
      </c>
      <c r="F372" s="5">
        <v>57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0.87536999999999998</v>
      </c>
      <c r="F373" s="5">
        <v>51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0.87827999999999995</v>
      </c>
      <c r="F374" s="5">
        <v>56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0.87209000000000003</v>
      </c>
      <c r="F375" s="5">
        <v>55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0.87402000000000002</v>
      </c>
      <c r="F376" s="5">
        <v>57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0.87553999999999998</v>
      </c>
      <c r="F377" s="5">
        <v>57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0.87868000000000002</v>
      </c>
      <c r="F378" s="5">
        <v>52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0.87553000000000003</v>
      </c>
      <c r="F379" s="5">
        <v>57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0.87546999999999997</v>
      </c>
      <c r="F380" s="5">
        <v>56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1.1494800000000001</v>
      </c>
      <c r="F381" s="5">
        <v>73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1.15591</v>
      </c>
      <c r="F382" s="5">
        <v>76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1.15005</v>
      </c>
      <c r="F383" s="5">
        <v>70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1.1551199999999999</v>
      </c>
      <c r="F384" s="5">
        <v>76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1.15371</v>
      </c>
      <c r="F385" s="5">
        <v>76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1.1594100000000001</v>
      </c>
      <c r="F386" s="5">
        <v>76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1.1499699999999999</v>
      </c>
      <c r="F387" s="5">
        <v>71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1.1582600000000001</v>
      </c>
      <c r="F388" s="5">
        <v>76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1.1485099999999999</v>
      </c>
      <c r="F389" s="5">
        <v>75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1.19506</v>
      </c>
      <c r="F390" s="5">
        <v>71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1.1233900000000001</v>
      </c>
      <c r="F391" s="5">
        <v>22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1.11324</v>
      </c>
      <c r="F392" s="5">
        <v>21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1.10826</v>
      </c>
      <c r="F393" s="5">
        <v>22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1.14171</v>
      </c>
      <c r="F394" s="5">
        <v>23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1.1359600000000001</v>
      </c>
      <c r="F395" s="5">
        <v>23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1.13303</v>
      </c>
      <c r="F396" s="5">
        <v>21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1.14446</v>
      </c>
      <c r="F397" s="5">
        <v>23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1.13785</v>
      </c>
      <c r="F398" s="5">
        <v>23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1.14655</v>
      </c>
      <c r="F399" s="5">
        <v>22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1.1408199999999999</v>
      </c>
      <c r="F400" s="5">
        <v>23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2.51058</v>
      </c>
      <c r="F401" s="5">
        <v>49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2.5242200000000001</v>
      </c>
      <c r="F402" s="5">
        <v>51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2.4918399999999998</v>
      </c>
      <c r="F403" s="5">
        <v>49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2.49932</v>
      </c>
      <c r="F404" s="5">
        <v>49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2.52582</v>
      </c>
      <c r="F405" s="5">
        <v>51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2.4907300000000001</v>
      </c>
      <c r="F406" s="5">
        <v>49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2.5152399999999999</v>
      </c>
      <c r="F407" s="5">
        <v>50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2.51796</v>
      </c>
      <c r="F408" s="5">
        <v>51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2.5175000000000001</v>
      </c>
      <c r="F409" s="5">
        <v>49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2.52122</v>
      </c>
      <c r="F410" s="5">
        <v>51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2.7440000000000002</v>
      </c>
      <c r="F411" s="5">
        <v>53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2.7430699999999999</v>
      </c>
      <c r="F412" s="5">
        <v>54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2.7292900000000002</v>
      </c>
      <c r="F413" s="5">
        <v>54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2.73305</v>
      </c>
      <c r="F414" s="5">
        <v>53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2.75543</v>
      </c>
      <c r="F415" s="5">
        <v>54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2.75576</v>
      </c>
      <c r="F416" s="5">
        <v>54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2.7322600000000001</v>
      </c>
      <c r="F417" s="5">
        <v>53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2.76166</v>
      </c>
      <c r="F418" s="5">
        <v>54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2.7349700000000001</v>
      </c>
      <c r="F419" s="5">
        <v>54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2.7286100000000002</v>
      </c>
      <c r="F420" s="5">
        <v>53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3.0085899999999999</v>
      </c>
      <c r="F421" s="5">
        <v>22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3.1069800000000001</v>
      </c>
      <c r="F422" s="5">
        <v>23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3.0798899999999998</v>
      </c>
      <c r="F423" s="5">
        <v>23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2.99024</v>
      </c>
      <c r="F424" s="5">
        <v>22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3.0094500000000002</v>
      </c>
      <c r="F425" s="5">
        <v>22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3.0250300000000001</v>
      </c>
      <c r="F426" s="5">
        <v>22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2.9686300000000001</v>
      </c>
      <c r="F427" s="5">
        <v>22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3.0809600000000001</v>
      </c>
      <c r="F428" s="5">
        <v>23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2.9748999999999999</v>
      </c>
      <c r="F429" s="5">
        <v>22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3.0116200000000002</v>
      </c>
      <c r="F430" s="5">
        <v>22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3.83541</v>
      </c>
      <c r="F431" s="5">
        <v>26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3.8978999999999999</v>
      </c>
      <c r="F432" s="5">
        <v>25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3.8949699999999998</v>
      </c>
      <c r="F433" s="5">
        <v>23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3.7920099999999999</v>
      </c>
      <c r="F434" s="5">
        <v>21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3.8275000000000001</v>
      </c>
      <c r="F435" s="5">
        <v>20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3.7736200000000002</v>
      </c>
      <c r="F436" s="5">
        <v>21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3.7926500000000001</v>
      </c>
      <c r="F437" s="5">
        <v>23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3.9098199999999999</v>
      </c>
      <c r="F438" s="5">
        <v>24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3.7795399999999999</v>
      </c>
      <c r="F439" s="5">
        <v>25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3.8504299999999998</v>
      </c>
      <c r="F440" s="5">
        <v>25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5.5178399999999996</v>
      </c>
      <c r="F441" s="5">
        <v>36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5.6289499999999997</v>
      </c>
      <c r="F442" s="5">
        <v>35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5.5181500000000003</v>
      </c>
      <c r="F443" s="5">
        <v>35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5.5759999999999996</v>
      </c>
      <c r="F444" s="5">
        <v>35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5.5234699999999997</v>
      </c>
      <c r="F445" s="5">
        <v>36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5.4581999999999997</v>
      </c>
      <c r="F446" s="5">
        <v>35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5.5590999999999999</v>
      </c>
      <c r="F447" s="5">
        <v>36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5.5475599999999998</v>
      </c>
      <c r="F448" s="5">
        <v>34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5.58805</v>
      </c>
      <c r="F449" s="5">
        <v>36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5.4876399999999999</v>
      </c>
      <c r="F450" s="5">
        <v>34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topLeftCell="T1"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0.55381000000000002</v>
      </c>
      <c r="F1" s="5">
        <v>24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0.54995000000000005</v>
      </c>
      <c r="F2" s="5">
        <v>26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0.54417000000000004</v>
      </c>
      <c r="F3" s="5">
        <v>24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170.35004000000001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0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0.55452999999999997</v>
      </c>
      <c r="F4" s="5">
        <v>28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0.55384999999999995</v>
      </c>
      <c r="F5" s="5">
        <v>17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0.57591000000000003</v>
      </c>
      <c r="F6" s="5">
        <v>21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0.55035000000000001</v>
      </c>
      <c r="F7" s="5">
        <v>27</v>
      </c>
      <c r="H7" s="5" t="s">
        <v>27</v>
      </c>
      <c r="I7" s="5">
        <v>50</v>
      </c>
      <c r="J7" s="5">
        <v>1</v>
      </c>
      <c r="L7" s="5">
        <f t="shared" ca="1" si="11"/>
        <v>179.94333</v>
      </c>
      <c r="M7" s="5">
        <f t="shared" ca="1" si="0"/>
        <v>181.15</v>
      </c>
      <c r="N7" s="5">
        <f t="shared" ca="1" si="0"/>
        <v>180.10775000000001</v>
      </c>
      <c r="O7" s="5">
        <f t="shared" ca="1" si="0"/>
        <v>180.05978999999999</v>
      </c>
      <c r="P7" s="5">
        <f t="shared" ca="1" si="0"/>
        <v>180.87124</v>
      </c>
      <c r="Q7" s="5">
        <f t="shared" ca="1" si="0"/>
        <v>179.67332999999999</v>
      </c>
      <c r="R7" s="5">
        <f t="shared" ca="1" si="0"/>
        <v>182.2527</v>
      </c>
      <c r="S7" s="5">
        <f t="shared" ca="1" si="0"/>
        <v>179.93769</v>
      </c>
      <c r="T7" s="5">
        <f t="shared" ca="1" si="0"/>
        <v>180.25</v>
      </c>
      <c r="U7" s="5">
        <f t="shared" ca="1" si="0"/>
        <v>180.05332999999999</v>
      </c>
      <c r="W7" s="5">
        <f t="shared" ca="1" si="12"/>
        <v>180.42991599999999</v>
      </c>
      <c r="Y7" s="5">
        <f ca="1">Total!E7</f>
        <v>179.67332999999999</v>
      </c>
      <c r="AB7" s="5">
        <f t="shared" ca="1" si="1"/>
        <v>1.5027271994124572E-3</v>
      </c>
      <c r="AC7" s="5">
        <f t="shared" ca="1" si="2"/>
        <v>8.2186376798382543E-3</v>
      </c>
      <c r="AD7" s="5">
        <f t="shared" ca="1" si="3"/>
        <v>2.4178324072917064E-3</v>
      </c>
      <c r="AE7" s="5">
        <f t="shared" ca="1" si="4"/>
        <v>2.1509035314256132E-3</v>
      </c>
      <c r="AF7" s="5">
        <f t="shared" ca="1" si="5"/>
        <v>6.667155331289332E-3</v>
      </c>
      <c r="AG7" s="5">
        <f t="shared" ca="1" si="6"/>
        <v>0</v>
      </c>
      <c r="AH7" s="5">
        <f t="shared" ca="1" si="7"/>
        <v>1.4355886875364371E-2</v>
      </c>
      <c r="AI7" s="5">
        <f t="shared" ca="1" si="8"/>
        <v>1.4713368979136225E-3</v>
      </c>
      <c r="AJ7" s="5">
        <f t="shared" ca="1" si="9"/>
        <v>3.209547015130221E-3</v>
      </c>
      <c r="AK7" s="5">
        <f t="shared" ca="1" si="10"/>
        <v>2.1149493917655754E-3</v>
      </c>
      <c r="AM7" s="5">
        <f t="shared" ca="1" si="13"/>
        <v>4.2108976329431155E-2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0.55288999999999999</v>
      </c>
      <c r="F8" s="5">
        <v>22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0.54879</v>
      </c>
      <c r="F9" s="5">
        <v>27</v>
      </c>
      <c r="H9" s="5" t="s">
        <v>27</v>
      </c>
      <c r="I9" s="5">
        <v>100</v>
      </c>
      <c r="J9" s="5">
        <v>0.7</v>
      </c>
      <c r="L9" s="5">
        <f t="shared" ca="1" si="11"/>
        <v>257.26398</v>
      </c>
      <c r="M9" s="5">
        <f t="shared" ca="1" si="0"/>
        <v>257.05128999999999</v>
      </c>
      <c r="N9" s="5">
        <f t="shared" ca="1" si="0"/>
        <v>256.52373</v>
      </c>
      <c r="O9" s="5">
        <f t="shared" ca="1" si="0"/>
        <v>257.36669999999998</v>
      </c>
      <c r="P9" s="5">
        <f t="shared" ca="1" si="0"/>
        <v>255.81496000000001</v>
      </c>
      <c r="Q9" s="5">
        <f t="shared" ca="1" si="0"/>
        <v>258.14164</v>
      </c>
      <c r="R9" s="5">
        <f t="shared" ca="1" si="0"/>
        <v>256.15795000000003</v>
      </c>
      <c r="S9" s="5">
        <f t="shared" ca="1" si="0"/>
        <v>258.35671000000002</v>
      </c>
      <c r="T9" s="5">
        <f t="shared" ca="1" si="0"/>
        <v>257.39809000000002</v>
      </c>
      <c r="U9" s="5">
        <f t="shared" ca="1" si="0"/>
        <v>257.29852</v>
      </c>
      <c r="W9" s="5">
        <f t="shared" ca="1" si="12"/>
        <v>257.13735699999995</v>
      </c>
      <c r="Y9" s="5">
        <f ca="1">Total!E9</f>
        <v>255.18879999999999</v>
      </c>
      <c r="AB9" s="5">
        <f t="shared" ca="1" si="1"/>
        <v>8.1319399597475188E-3</v>
      </c>
      <c r="AC9" s="5">
        <f t="shared" ca="1" si="2"/>
        <v>7.2984786166164356E-3</v>
      </c>
      <c r="AD9" s="5">
        <f t="shared" ca="1" si="3"/>
        <v>5.2311465079972717E-3</v>
      </c>
      <c r="AE9" s="5">
        <f t="shared" ca="1" si="4"/>
        <v>8.5344654624340648E-3</v>
      </c>
      <c r="AF9" s="5">
        <f t="shared" ca="1" si="5"/>
        <v>2.4537127021249648E-3</v>
      </c>
      <c r="AG9" s="5">
        <f t="shared" ca="1" si="6"/>
        <v>1.157119748202119E-2</v>
      </c>
      <c r="AH9" s="5">
        <f t="shared" ca="1" si="7"/>
        <v>3.7977763914405402E-3</v>
      </c>
      <c r="AI9" s="5">
        <f t="shared" ca="1" si="8"/>
        <v>1.2413985253271439E-2</v>
      </c>
      <c r="AJ9" s="5">
        <f t="shared" ca="1" si="9"/>
        <v>8.6574724282571913E-3</v>
      </c>
      <c r="AK9" s="5">
        <f t="shared" ca="1" si="10"/>
        <v>8.2672907274927831E-3</v>
      </c>
      <c r="AM9" s="5">
        <f t="shared" ca="1" si="13"/>
        <v>7.6357465531403407E-2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0.54874000000000001</v>
      </c>
      <c r="F10" s="5">
        <v>26</v>
      </c>
      <c r="H10" s="5" t="s">
        <v>27</v>
      </c>
      <c r="I10" s="5">
        <v>100</v>
      </c>
      <c r="J10" s="5">
        <v>1</v>
      </c>
      <c r="L10" s="5">
        <f t="shared" ca="1" si="11"/>
        <v>239.14332999999999</v>
      </c>
      <c r="M10" s="5">
        <f t="shared" ca="1" si="0"/>
        <v>239.26667</v>
      </c>
      <c r="N10" s="5">
        <f t="shared" ca="1" si="0"/>
        <v>238.99373</v>
      </c>
      <c r="O10" s="5">
        <f t="shared" ca="1" si="0"/>
        <v>238.97333</v>
      </c>
      <c r="P10" s="5">
        <f t="shared" ca="1" si="0"/>
        <v>238.90333000000001</v>
      </c>
      <c r="Q10" s="5">
        <f t="shared" ca="1" si="0"/>
        <v>238.77667</v>
      </c>
      <c r="R10" s="5">
        <f t="shared" ca="1" si="0"/>
        <v>238.99872999999999</v>
      </c>
      <c r="S10" s="5">
        <f t="shared" ca="1" si="0"/>
        <v>238.96895000000001</v>
      </c>
      <c r="T10" s="5">
        <f t="shared" ca="1" si="0"/>
        <v>239.13</v>
      </c>
      <c r="U10" s="5">
        <f t="shared" ca="1" si="0"/>
        <v>239.01</v>
      </c>
      <c r="W10" s="5">
        <f t="shared" ca="1" si="12"/>
        <v>239.01647400000002</v>
      </c>
      <c r="Y10" s="5">
        <f ca="1">Total!E10</f>
        <v>238.77667</v>
      </c>
      <c r="AB10" s="5">
        <f t="shared" ca="1" si="1"/>
        <v>1.5355771566794862E-3</v>
      </c>
      <c r="AC10" s="5">
        <f t="shared" ca="1" si="2"/>
        <v>2.0521267844132727E-3</v>
      </c>
      <c r="AD10" s="5">
        <f t="shared" ca="1" si="3"/>
        <v>9.0905028535662039E-4</v>
      </c>
      <c r="AE10" s="5">
        <f t="shared" ca="1" si="4"/>
        <v>8.2361480290351859E-4</v>
      </c>
      <c r="AF10" s="5">
        <f t="shared" ca="1" si="5"/>
        <v>5.304538337016565E-4</v>
      </c>
      <c r="AG10" s="5">
        <f t="shared" ca="1" si="6"/>
        <v>0</v>
      </c>
      <c r="AH10" s="5">
        <f t="shared" ca="1" si="7"/>
        <v>9.2999035458530784E-4</v>
      </c>
      <c r="AI10" s="5">
        <f t="shared" ca="1" si="8"/>
        <v>8.0527130225918175E-4</v>
      </c>
      <c r="AJ10" s="5">
        <f t="shared" ca="1" si="9"/>
        <v>1.4797509321157704E-3</v>
      </c>
      <c r="AK10" s="5">
        <f t="shared" ca="1" si="10"/>
        <v>9.7718927062679598E-4</v>
      </c>
      <c r="AM10" s="5">
        <f t="shared" ca="1" si="13"/>
        <v>1.0043024722641611E-2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1.42781</v>
      </c>
      <c r="F11" s="5">
        <v>88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1.43119</v>
      </c>
      <c r="F12" s="5">
        <v>91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1.43197</v>
      </c>
      <c r="F13" s="5">
        <v>85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1.4218599999999999</v>
      </c>
      <c r="F14" s="5">
        <v>88</v>
      </c>
      <c r="H14" s="5" t="s">
        <v>2</v>
      </c>
      <c r="I14" s="5">
        <v>47</v>
      </c>
      <c r="J14" s="5">
        <v>0.4</v>
      </c>
      <c r="L14" s="5">
        <f t="shared" ca="1" si="11"/>
        <v>4348.0289499999999</v>
      </c>
      <c r="M14" s="5">
        <f t="shared" ca="1" si="0"/>
        <v>4348.0289499999999</v>
      </c>
      <c r="N14" s="5">
        <f t="shared" ca="1" si="0"/>
        <v>4348.0289499999999</v>
      </c>
      <c r="O14" s="5">
        <f t="shared" ca="1" si="0"/>
        <v>4348.0289499999999</v>
      </c>
      <c r="P14" s="5">
        <f t="shared" ca="1" si="0"/>
        <v>4348.0289499999999</v>
      </c>
      <c r="Q14" s="5">
        <f t="shared" ca="1" si="0"/>
        <v>4348.0289499999999</v>
      </c>
      <c r="R14" s="5">
        <f t="shared" ca="1" si="0"/>
        <v>4348.0289499999999</v>
      </c>
      <c r="S14" s="5">
        <f t="shared" ca="1" si="0"/>
        <v>4348.0289499999999</v>
      </c>
      <c r="T14" s="5">
        <f t="shared" ca="1" si="0"/>
        <v>4348.0289499999999</v>
      </c>
      <c r="U14" s="5">
        <f t="shared" ca="1" si="0"/>
        <v>4348.0289499999999</v>
      </c>
      <c r="W14" s="5">
        <f t="shared" ca="1" si="12"/>
        <v>4348.0289499999999</v>
      </c>
      <c r="Y14" s="5">
        <f ca="1">Total!E14</f>
        <v>4348.0289499999999</v>
      </c>
      <c r="AB14" s="5">
        <f t="shared" ca="1" si="1"/>
        <v>0</v>
      </c>
      <c r="AC14" s="5">
        <f t="shared" ca="1" si="2"/>
        <v>0</v>
      </c>
      <c r="AD14" s="5">
        <f t="shared" ca="1" si="3"/>
        <v>0</v>
      </c>
      <c r="AE14" s="5">
        <f t="shared" ca="1" si="4"/>
        <v>0</v>
      </c>
      <c r="AF14" s="5">
        <f t="shared" ca="1" si="5"/>
        <v>0</v>
      </c>
      <c r="AG14" s="5">
        <f t="shared" ca="1" si="6"/>
        <v>0</v>
      </c>
      <c r="AH14" s="5">
        <f t="shared" ca="1" si="7"/>
        <v>0</v>
      </c>
      <c r="AI14" s="5">
        <f t="shared" ca="1" si="8"/>
        <v>0</v>
      </c>
      <c r="AJ14" s="5">
        <f t="shared" ca="1" si="9"/>
        <v>0</v>
      </c>
      <c r="AK14" s="5">
        <f t="shared" ca="1" si="10"/>
        <v>0</v>
      </c>
      <c r="AM14" s="5">
        <f t="shared" ca="1" si="13"/>
        <v>0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1.4265000000000001</v>
      </c>
      <c r="F15" s="5">
        <v>90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1.4327799999999999</v>
      </c>
      <c r="F16" s="5">
        <v>86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1.42639</v>
      </c>
      <c r="F17" s="5">
        <v>88</v>
      </c>
      <c r="H17" s="5" t="s">
        <v>2</v>
      </c>
      <c r="I17" s="5">
        <v>100</v>
      </c>
      <c r="J17" s="5">
        <v>0.4</v>
      </c>
      <c r="L17" s="5">
        <f t="shared" ca="1" si="11"/>
        <v>42986.802479999998</v>
      </c>
      <c r="M17" s="5">
        <f t="shared" ca="1" si="0"/>
        <v>42986.853589999999</v>
      </c>
      <c r="N17" s="5">
        <f t="shared" ca="1" si="0"/>
        <v>42986.45392</v>
      </c>
      <c r="O17" s="5">
        <f t="shared" ca="1" si="0"/>
        <v>42986.673049999998</v>
      </c>
      <c r="P17" s="5">
        <f t="shared" ca="1" si="0"/>
        <v>42986.802479999998</v>
      </c>
      <c r="Q17" s="5">
        <f t="shared" ca="1" si="0"/>
        <v>42986.802479999998</v>
      </c>
      <c r="R17" s="5">
        <f t="shared" ca="1" si="0"/>
        <v>42987.644590000004</v>
      </c>
      <c r="S17" s="5">
        <f t="shared" ca="1" si="0"/>
        <v>42986.673049999998</v>
      </c>
      <c r="T17" s="5">
        <f t="shared" ca="1" si="0"/>
        <v>42986.853589999999</v>
      </c>
      <c r="U17" s="5">
        <f t="shared" ca="1" si="0"/>
        <v>42986.403050000001</v>
      </c>
      <c r="W17" s="5">
        <f t="shared" ca="1" si="12"/>
        <v>42986.796228000007</v>
      </c>
      <c r="Y17" s="5">
        <f ca="1">Total!E17</f>
        <v>42986.193919999998</v>
      </c>
      <c r="AB17" s="5">
        <f t="shared" ca="1" si="1"/>
        <v>1.4157103583842479E-5</v>
      </c>
      <c r="AC17" s="5">
        <f t="shared" ca="1" si="2"/>
        <v>1.5346089984812385E-5</v>
      </c>
      <c r="AD17" s="5">
        <f t="shared" ca="1" si="3"/>
        <v>6.04845361480278E-6</v>
      </c>
      <c r="AE17" s="5">
        <f t="shared" ca="1" si="4"/>
        <v>1.1146136847830832E-5</v>
      </c>
      <c r="AF17" s="5">
        <f t="shared" ca="1" si="5"/>
        <v>1.4157103583842479E-5</v>
      </c>
      <c r="AG17" s="5">
        <f t="shared" ca="1" si="6"/>
        <v>1.4157103583842479E-5</v>
      </c>
      <c r="AH17" s="5">
        <f t="shared" ca="1" si="7"/>
        <v>3.3747346943658645E-5</v>
      </c>
      <c r="AI17" s="5">
        <f t="shared" ca="1" si="8"/>
        <v>1.1146136847830832E-5</v>
      </c>
      <c r="AJ17" s="5">
        <f t="shared" ca="1" si="9"/>
        <v>1.5346089984812385E-5</v>
      </c>
      <c r="AK17" s="5">
        <f t="shared" ca="1" si="10"/>
        <v>4.8650504018131747E-6</v>
      </c>
      <c r="AM17" s="5">
        <f t="shared" ca="1" si="13"/>
        <v>1.4011661537708848E-4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1.4343600000000001</v>
      </c>
      <c r="F18" s="5">
        <v>89</v>
      </c>
      <c r="H18" s="5" t="s">
        <v>2</v>
      </c>
      <c r="I18" s="5">
        <v>100</v>
      </c>
      <c r="J18" s="5">
        <v>0.7</v>
      </c>
      <c r="L18" s="5">
        <f t="shared" ca="1" si="11"/>
        <v>35690.644110000001</v>
      </c>
      <c r="M18" s="5">
        <f t="shared" ca="1" si="11"/>
        <v>35918.000220000002</v>
      </c>
      <c r="N18" s="5">
        <f t="shared" ca="1" si="11"/>
        <v>35804.185279999998</v>
      </c>
      <c r="O18" s="5">
        <f t="shared" ca="1" si="11"/>
        <v>35687.224730000002</v>
      </c>
      <c r="P18" s="5">
        <f t="shared" ca="1" si="11"/>
        <v>35495.412479999999</v>
      </c>
      <c r="Q18" s="5">
        <f t="shared" ca="1" si="11"/>
        <v>35668.993900000001</v>
      </c>
      <c r="R18" s="5">
        <f t="shared" ca="1" si="11"/>
        <v>35686.432699999998</v>
      </c>
      <c r="S18" s="5">
        <f t="shared" ca="1" si="11"/>
        <v>35804.535880000003</v>
      </c>
      <c r="T18" s="5">
        <f t="shared" ca="1" si="11"/>
        <v>35639.954189999997</v>
      </c>
      <c r="U18" s="5">
        <f t="shared" ca="1" si="11"/>
        <v>35736.306170000003</v>
      </c>
      <c r="W18" s="5">
        <f t="shared" ca="1" si="12"/>
        <v>35713.168966000005</v>
      </c>
      <c r="Y18" s="5">
        <f ca="1">Total!E18</f>
        <v>35336.072039999999</v>
      </c>
      <c r="AB18" s="5">
        <f t="shared" ca="1" si="1"/>
        <v>1.0034280822119412E-2</v>
      </c>
      <c r="AC18" s="5">
        <f t="shared" ca="1" si="2"/>
        <v>1.6468388997545259E-2</v>
      </c>
      <c r="AD18" s="5">
        <f t="shared" ca="1" si="3"/>
        <v>1.3247461106319353E-2</v>
      </c>
      <c r="AE18" s="5">
        <f t="shared" ca="1" si="4"/>
        <v>9.937513416955401E-3</v>
      </c>
      <c r="AF18" s="5">
        <f t="shared" ca="1" si="5"/>
        <v>4.5092855770621169E-3</v>
      </c>
      <c r="AG18" s="5">
        <f t="shared" ca="1" si="6"/>
        <v>9.4215865199487586E-3</v>
      </c>
      <c r="AH18" s="5">
        <f t="shared" ca="1" si="7"/>
        <v>9.9150992108968557E-3</v>
      </c>
      <c r="AI18" s="5">
        <f t="shared" ca="1" si="8"/>
        <v>1.3257382978778985E-2</v>
      </c>
      <c r="AJ18" s="5">
        <f t="shared" ca="1" si="9"/>
        <v>8.5997716343799279E-3</v>
      </c>
      <c r="AK18" s="5">
        <f t="shared" ca="1" si="10"/>
        <v>1.1326503114068373E-2</v>
      </c>
      <c r="AM18" s="5">
        <f t="shared" ca="1" si="13"/>
        <v>0.10671727337807443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1.42679</v>
      </c>
      <c r="F19" s="5">
        <v>83</v>
      </c>
      <c r="H19" s="5" t="s">
        <v>2</v>
      </c>
      <c r="I19" s="5">
        <v>100</v>
      </c>
      <c r="J19" s="5">
        <v>1</v>
      </c>
      <c r="L19" s="5">
        <f t="shared" ca="1" si="11"/>
        <v>35318.749100000001</v>
      </c>
      <c r="M19" s="5">
        <f t="shared" ca="1" si="11"/>
        <v>35276.580329999997</v>
      </c>
      <c r="N19" s="5">
        <f t="shared" ca="1" si="11"/>
        <v>35237.773330000004</v>
      </c>
      <c r="O19" s="5">
        <f t="shared" ca="1" si="11"/>
        <v>35344.786670000001</v>
      </c>
      <c r="P19" s="5">
        <f t="shared" ca="1" si="11"/>
        <v>35222.069259999997</v>
      </c>
      <c r="Q19" s="5">
        <f t="shared" ca="1" si="11"/>
        <v>35272.226669999996</v>
      </c>
      <c r="R19" s="5">
        <f t="shared" ca="1" si="11"/>
        <v>35274.966610000003</v>
      </c>
      <c r="S19" s="5">
        <f t="shared" ca="1" si="11"/>
        <v>35244.156669999997</v>
      </c>
      <c r="T19" s="5">
        <f t="shared" ca="1" si="11"/>
        <v>35358.163330000003</v>
      </c>
      <c r="U19" s="5">
        <f t="shared" ca="1" si="11"/>
        <v>35299.4</v>
      </c>
      <c r="W19" s="5">
        <f t="shared" ca="1" si="12"/>
        <v>35284.887197000004</v>
      </c>
      <c r="Y19" s="5">
        <f ca="1">Total!E19</f>
        <v>35203.853329999998</v>
      </c>
      <c r="AB19" s="5">
        <f t="shared" ca="1" si="1"/>
        <v>3.2637270960929441E-3</v>
      </c>
      <c r="AC19" s="5">
        <f t="shared" ca="1" si="2"/>
        <v>2.0658818032860769E-3</v>
      </c>
      <c r="AD19" s="5">
        <f t="shared" ca="1" si="3"/>
        <v>9.6353088629362073E-4</v>
      </c>
      <c r="AE19" s="5">
        <f t="shared" ca="1" si="4"/>
        <v>4.0033498230690199E-3</v>
      </c>
      <c r="AF19" s="5">
        <f t="shared" ca="1" si="5"/>
        <v>5.1744136726291951E-4</v>
      </c>
      <c r="AG19" s="5">
        <f t="shared" ca="1" si="6"/>
        <v>1.9422118186628147E-3</v>
      </c>
      <c r="AH19" s="5">
        <f t="shared" ca="1" si="7"/>
        <v>2.0200425031143897E-3</v>
      </c>
      <c r="AI19" s="5">
        <f t="shared" ca="1" si="8"/>
        <v>1.1448559230774005E-3</v>
      </c>
      <c r="AJ19" s="5">
        <f t="shared" ca="1" si="9"/>
        <v>4.3833269771211426E-3</v>
      </c>
      <c r="AK19" s="5">
        <f t="shared" ca="1" si="10"/>
        <v>2.7140969229803164E-3</v>
      </c>
      <c r="AM19" s="5">
        <f t="shared" ca="1" si="13"/>
        <v>2.3018465120960646E-2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1.4213199999999999</v>
      </c>
      <c r="F20" s="5">
        <v>89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1.77887</v>
      </c>
      <c r="F21" s="5">
        <v>108</v>
      </c>
      <c r="H21" s="5" t="s">
        <v>1</v>
      </c>
      <c r="I21" s="5">
        <v>30</v>
      </c>
      <c r="J21" s="5">
        <v>0.7</v>
      </c>
      <c r="L21" s="5">
        <f t="shared" ca="1" si="11"/>
        <v>675.36989000000005</v>
      </c>
      <c r="M21" s="5">
        <f t="shared" ca="1" si="11"/>
        <v>675.36989000000005</v>
      </c>
      <c r="N21" s="5">
        <f t="shared" ca="1" si="11"/>
        <v>675.36989000000005</v>
      </c>
      <c r="O21" s="5">
        <f t="shared" ca="1" si="11"/>
        <v>675.36989000000005</v>
      </c>
      <c r="P21" s="5">
        <f t="shared" ca="1" si="11"/>
        <v>675.36989000000005</v>
      </c>
      <c r="Q21" s="5">
        <f t="shared" ca="1" si="11"/>
        <v>675.36989000000005</v>
      </c>
      <c r="R21" s="5">
        <f t="shared" ca="1" si="11"/>
        <v>675.36989000000005</v>
      </c>
      <c r="S21" s="5">
        <f t="shared" ca="1" si="11"/>
        <v>675.36989000000005</v>
      </c>
      <c r="T21" s="5">
        <f t="shared" ca="1" si="11"/>
        <v>675.36989000000005</v>
      </c>
      <c r="U21" s="5">
        <f t="shared" ca="1" si="11"/>
        <v>677.39407000000006</v>
      </c>
      <c r="W21" s="5">
        <f t="shared" ca="1" si="12"/>
        <v>675.57230800000002</v>
      </c>
      <c r="Y21" s="5">
        <f ca="1">Total!E21</f>
        <v>675.36581000000001</v>
      </c>
      <c r="AB21" s="5">
        <f t="shared" ca="1" si="1"/>
        <v>6.0411704881010963E-6</v>
      </c>
      <c r="AC21" s="5">
        <f t="shared" ca="1" si="2"/>
        <v>6.0411704881010963E-6</v>
      </c>
      <c r="AD21" s="5">
        <f t="shared" ca="1" si="3"/>
        <v>6.0411704881010963E-6</v>
      </c>
      <c r="AE21" s="5">
        <f t="shared" ca="1" si="4"/>
        <v>6.0411704881010963E-6</v>
      </c>
      <c r="AF21" s="5">
        <f t="shared" ca="1" si="5"/>
        <v>6.0411704881010963E-6</v>
      </c>
      <c r="AG21" s="5">
        <f t="shared" ca="1" si="6"/>
        <v>6.0411704881010963E-6</v>
      </c>
      <c r="AH21" s="5">
        <f t="shared" ca="1" si="7"/>
        <v>6.0411704881010963E-6</v>
      </c>
      <c r="AI21" s="5">
        <f t="shared" ca="1" si="8"/>
        <v>6.0411704881010963E-6</v>
      </c>
      <c r="AJ21" s="5">
        <f t="shared" ca="1" si="9"/>
        <v>6.0411704881010963E-6</v>
      </c>
      <c r="AK21" s="5">
        <f t="shared" ca="1" si="10"/>
        <v>3.0032020720741634E-3</v>
      </c>
      <c r="AM21" s="5">
        <f t="shared" ca="1" si="13"/>
        <v>3.0575726064670733E-3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1.76969</v>
      </c>
      <c r="F22" s="5">
        <v>104</v>
      </c>
      <c r="H22" s="5" t="s">
        <v>1</v>
      </c>
      <c r="I22" s="5">
        <v>30</v>
      </c>
      <c r="J22" s="5">
        <v>1</v>
      </c>
      <c r="L22" s="5">
        <f t="shared" ca="1" si="11"/>
        <v>655.43295999999998</v>
      </c>
      <c r="M22" s="5">
        <f t="shared" ca="1" si="11"/>
        <v>656.34204</v>
      </c>
      <c r="N22" s="5">
        <f t="shared" ca="1" si="11"/>
        <v>656.34204</v>
      </c>
      <c r="O22" s="5">
        <f t="shared" ca="1" si="11"/>
        <v>656.34204</v>
      </c>
      <c r="P22" s="5">
        <f t="shared" ca="1" si="11"/>
        <v>657.41200000000003</v>
      </c>
      <c r="Q22" s="5">
        <f t="shared" ca="1" si="11"/>
        <v>655.43907999999999</v>
      </c>
      <c r="R22" s="5">
        <f t="shared" ca="1" si="11"/>
        <v>655.46475999999996</v>
      </c>
      <c r="S22" s="5">
        <f t="shared" ca="1" si="11"/>
        <v>656.16833999999994</v>
      </c>
      <c r="T22" s="5">
        <f t="shared" ca="1" si="11"/>
        <v>655.43295999999998</v>
      </c>
      <c r="U22" s="5">
        <f t="shared" ca="1" si="11"/>
        <v>655.43295999999998</v>
      </c>
      <c r="W22" s="5">
        <f t="shared" ca="1" si="12"/>
        <v>655.98091799999997</v>
      </c>
      <c r="Y22" s="5">
        <f ca="1">Total!E22</f>
        <v>655.43295999999998</v>
      </c>
      <c r="AB22" s="5">
        <f t="shared" ca="1" si="1"/>
        <v>0</v>
      </c>
      <c r="AC22" s="5">
        <f t="shared" ca="1" si="2"/>
        <v>1.3869915849212362E-3</v>
      </c>
      <c r="AD22" s="5">
        <f t="shared" ca="1" si="3"/>
        <v>1.3869915849212362E-3</v>
      </c>
      <c r="AE22" s="5">
        <f t="shared" ca="1" si="4"/>
        <v>1.3869915849212362E-3</v>
      </c>
      <c r="AF22" s="5">
        <f t="shared" ca="1" si="5"/>
        <v>3.0194392421157073E-3</v>
      </c>
      <c r="AG22" s="5">
        <f t="shared" ca="1" si="6"/>
        <v>9.337339397777456E-6</v>
      </c>
      <c r="AH22" s="5">
        <f t="shared" ca="1" si="7"/>
        <v>4.8517547851080951E-5</v>
      </c>
      <c r="AI22" s="5">
        <f t="shared" ca="1" si="8"/>
        <v>1.1219759226023113E-3</v>
      </c>
      <c r="AJ22" s="5">
        <f t="shared" ca="1" si="9"/>
        <v>0</v>
      </c>
      <c r="AK22" s="5">
        <f t="shared" ca="1" si="10"/>
        <v>0</v>
      </c>
      <c r="AM22" s="5">
        <f t="shared" ca="1" si="13"/>
        <v>8.3602448067305844E-3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1.7737700000000001</v>
      </c>
      <c r="F23" s="5">
        <v>109</v>
      </c>
      <c r="H23" s="5" t="s">
        <v>1</v>
      </c>
      <c r="I23" s="5">
        <v>50</v>
      </c>
      <c r="J23" s="5">
        <v>0.4</v>
      </c>
      <c r="L23" s="5">
        <f t="shared" ca="1" si="11"/>
        <v>1460.0209400000001</v>
      </c>
      <c r="M23" s="5">
        <f t="shared" ca="1" si="11"/>
        <v>1459.9687899999999</v>
      </c>
      <c r="N23" s="5">
        <f t="shared" ca="1" si="11"/>
        <v>1459.9687899999999</v>
      </c>
      <c r="O23" s="5">
        <f t="shared" ca="1" si="11"/>
        <v>1459.9687899999999</v>
      </c>
      <c r="P23" s="5">
        <f t="shared" ca="1" si="11"/>
        <v>1459.9687899999999</v>
      </c>
      <c r="Q23" s="5">
        <f t="shared" ca="1" si="11"/>
        <v>1459.9687899999999</v>
      </c>
      <c r="R23" s="5">
        <f t="shared" ca="1" si="11"/>
        <v>1459.9687899999999</v>
      </c>
      <c r="S23" s="5">
        <f t="shared" ca="1" si="11"/>
        <v>1459.9687899999999</v>
      </c>
      <c r="T23" s="5">
        <f t="shared" ca="1" si="11"/>
        <v>1459.9687899999999</v>
      </c>
      <c r="U23" s="5">
        <f t="shared" ca="1" si="11"/>
        <v>1459.9687899999999</v>
      </c>
      <c r="W23" s="5">
        <f t="shared" ca="1" si="12"/>
        <v>1459.9740049999996</v>
      </c>
      <c r="Y23" s="5">
        <f ca="1">Total!E23</f>
        <v>1459.9687899999999</v>
      </c>
      <c r="AB23" s="5">
        <f t="shared" ca="1" si="1"/>
        <v>3.5719941657253266E-5</v>
      </c>
      <c r="AC23" s="5">
        <f t="shared" ca="1" si="2"/>
        <v>0</v>
      </c>
      <c r="AD23" s="5">
        <f t="shared" ca="1" si="3"/>
        <v>0</v>
      </c>
      <c r="AE23" s="5">
        <f t="shared" ca="1" si="4"/>
        <v>0</v>
      </c>
      <c r="AF23" s="5">
        <f t="shared" ca="1" si="5"/>
        <v>0</v>
      </c>
      <c r="AG23" s="5">
        <f t="shared" ca="1" si="6"/>
        <v>0</v>
      </c>
      <c r="AH23" s="5">
        <f t="shared" ca="1" si="7"/>
        <v>0</v>
      </c>
      <c r="AI23" s="5">
        <f t="shared" ca="1" si="8"/>
        <v>0</v>
      </c>
      <c r="AJ23" s="5">
        <f t="shared" ca="1" si="9"/>
        <v>0</v>
      </c>
      <c r="AK23" s="5">
        <f t="shared" ca="1" si="10"/>
        <v>0</v>
      </c>
      <c r="AM23" s="5">
        <f t="shared" ca="1" si="13"/>
        <v>3.5719941657253266E-5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1.7792399999999999</v>
      </c>
      <c r="F24" s="5">
        <v>106</v>
      </c>
      <c r="H24" s="5" t="s">
        <v>1</v>
      </c>
      <c r="I24" s="5">
        <v>50</v>
      </c>
      <c r="J24" s="5">
        <v>0.7</v>
      </c>
      <c r="L24" s="5">
        <f t="shared" ca="1" si="11"/>
        <v>1011.31352</v>
      </c>
      <c r="M24" s="5">
        <f t="shared" ca="1" si="11"/>
        <v>1015.0622100000001</v>
      </c>
      <c r="N24" s="5">
        <f t="shared" ca="1" si="11"/>
        <v>1006.18339</v>
      </c>
      <c r="O24" s="5">
        <f t="shared" ca="1" si="11"/>
        <v>1010.38572</v>
      </c>
      <c r="P24" s="5">
        <f t="shared" ca="1" si="11"/>
        <v>1010.24392</v>
      </c>
      <c r="Q24" s="5">
        <f t="shared" ca="1" si="11"/>
        <v>1010.23572</v>
      </c>
      <c r="R24" s="5">
        <f t="shared" ca="1" si="11"/>
        <v>1015.68373</v>
      </c>
      <c r="S24" s="5">
        <f t="shared" ca="1" si="11"/>
        <v>1012.31</v>
      </c>
      <c r="T24" s="5">
        <f t="shared" ca="1" si="11"/>
        <v>1010.60691</v>
      </c>
      <c r="U24" s="5">
        <f t="shared" ca="1" si="11"/>
        <v>1014.60751</v>
      </c>
      <c r="W24" s="5">
        <f t="shared" ca="1" si="12"/>
        <v>1011.663263</v>
      </c>
      <c r="Y24" s="5">
        <f ca="1">Total!E24</f>
        <v>1005.95063</v>
      </c>
      <c r="AB24" s="5">
        <f t="shared" ca="1" si="1"/>
        <v>5.3311662024606446E-3</v>
      </c>
      <c r="AC24" s="5">
        <f t="shared" ca="1" si="2"/>
        <v>9.0576810911684631E-3</v>
      </c>
      <c r="AD24" s="5">
        <f t="shared" ca="1" si="3"/>
        <v>2.3138312463702592E-4</v>
      </c>
      <c r="AE24" s="5">
        <f t="shared" ca="1" si="4"/>
        <v>4.4088545379209572E-3</v>
      </c>
      <c r="AF24" s="5">
        <f t="shared" ca="1" si="5"/>
        <v>4.2678933458195224E-3</v>
      </c>
      <c r="AG24" s="5">
        <f t="shared" ca="1" si="6"/>
        <v>4.2597418523411708E-3</v>
      </c>
      <c r="AH24" s="5">
        <f t="shared" ca="1" si="7"/>
        <v>9.6755245334454645E-3</v>
      </c>
      <c r="AI24" s="5">
        <f t="shared" ca="1" si="8"/>
        <v>6.3217515953043332E-3</v>
      </c>
      <c r="AJ24" s="5">
        <f t="shared" ca="1" si="9"/>
        <v>4.6287361040769212E-3</v>
      </c>
      <c r="AK24" s="5">
        <f t="shared" ca="1" si="10"/>
        <v>8.6056708369475349E-3</v>
      </c>
      <c r="AM24" s="5">
        <f t="shared" ca="1" si="13"/>
        <v>5.6788403224122035E-2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1.7722599999999999</v>
      </c>
      <c r="F25" s="5">
        <v>109</v>
      </c>
      <c r="H25" s="5" t="s">
        <v>1</v>
      </c>
      <c r="I25" s="5">
        <v>50</v>
      </c>
      <c r="J25" s="5">
        <v>1</v>
      </c>
      <c r="L25" s="5">
        <f t="shared" ca="1" si="11"/>
        <v>994.10247000000004</v>
      </c>
      <c r="M25" s="5">
        <f t="shared" ca="1" si="11"/>
        <v>1005.33628</v>
      </c>
      <c r="N25" s="5">
        <f t="shared" ca="1" si="11"/>
        <v>995.74837000000002</v>
      </c>
      <c r="O25" s="5">
        <f t="shared" ca="1" si="11"/>
        <v>1000.26507</v>
      </c>
      <c r="P25" s="5">
        <f t="shared" ca="1" si="11"/>
        <v>996.28309000000002</v>
      </c>
      <c r="Q25" s="5">
        <f t="shared" ca="1" si="11"/>
        <v>995.14795000000004</v>
      </c>
      <c r="R25" s="5">
        <f t="shared" ca="1" si="11"/>
        <v>991.86791000000005</v>
      </c>
      <c r="S25" s="5">
        <f t="shared" ca="1" si="11"/>
        <v>994.23508000000004</v>
      </c>
      <c r="T25" s="5">
        <f t="shared" ca="1" si="11"/>
        <v>995.94803000000002</v>
      </c>
      <c r="U25" s="5">
        <f t="shared" ca="1" si="11"/>
        <v>1001.71937</v>
      </c>
      <c r="W25" s="5">
        <f t="shared" ca="1" si="12"/>
        <v>997.06536200000005</v>
      </c>
      <c r="Y25" s="5">
        <f ca="1">Total!E25</f>
        <v>990.69820000000004</v>
      </c>
      <c r="AB25" s="5">
        <f t="shared" ca="1" si="1"/>
        <v>3.4362331535476662E-3</v>
      </c>
      <c r="AC25" s="5">
        <f t="shared" ca="1" si="2"/>
        <v>1.4775518921907746E-2</v>
      </c>
      <c r="AD25" s="5">
        <f t="shared" ca="1" si="3"/>
        <v>5.0975867322661733E-3</v>
      </c>
      <c r="AE25" s="5">
        <f t="shared" ca="1" si="4"/>
        <v>9.6566946422230234E-3</v>
      </c>
      <c r="AF25" s="5">
        <f t="shared" ca="1" si="5"/>
        <v>5.637327290995353E-3</v>
      </c>
      <c r="AG25" s="5">
        <f t="shared" ca="1" si="6"/>
        <v>4.4915293073107369E-3</v>
      </c>
      <c r="AH25" s="5">
        <f t="shared" ca="1" si="7"/>
        <v>1.1806925661114647E-3</v>
      </c>
      <c r="AI25" s="5">
        <f t="shared" ca="1" si="8"/>
        <v>3.5700882468545883E-3</v>
      </c>
      <c r="AJ25" s="5">
        <f t="shared" ca="1" si="9"/>
        <v>5.2991213671327699E-3</v>
      </c>
      <c r="AK25" s="5">
        <f t="shared" ca="1" si="10"/>
        <v>1.1124649262509998E-2</v>
      </c>
      <c r="AM25" s="5">
        <f t="shared" ca="1" si="13"/>
        <v>6.4269441490859516E-2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1.7792399999999999</v>
      </c>
      <c r="F26" s="5">
        <v>112</v>
      </c>
      <c r="H26" s="5" t="s">
        <v>1</v>
      </c>
      <c r="I26" s="5">
        <v>100</v>
      </c>
      <c r="J26" s="5">
        <v>0.4</v>
      </c>
      <c r="L26" s="5">
        <f t="shared" ca="1" si="11"/>
        <v>1872.70416</v>
      </c>
      <c r="M26" s="5">
        <f t="shared" ca="1" si="11"/>
        <v>1852.7167099999999</v>
      </c>
      <c r="N26" s="5">
        <f t="shared" ca="1" si="11"/>
        <v>1833.26241</v>
      </c>
      <c r="O26" s="5">
        <f t="shared" ca="1" si="11"/>
        <v>1836.71497</v>
      </c>
      <c r="P26" s="5">
        <f t="shared" ca="1" si="11"/>
        <v>1858.6655699999999</v>
      </c>
      <c r="Q26" s="5">
        <f t="shared" ca="1" si="11"/>
        <v>1824.57428</v>
      </c>
      <c r="R26" s="5">
        <f t="shared" ca="1" si="11"/>
        <v>1863.02647</v>
      </c>
      <c r="S26" s="5">
        <f t="shared" ca="1" si="11"/>
        <v>1848.5999899999999</v>
      </c>
      <c r="T26" s="5">
        <f t="shared" ca="1" si="11"/>
        <v>1841.0626600000001</v>
      </c>
      <c r="U26" s="5">
        <f t="shared" ca="1" si="11"/>
        <v>1835.96677</v>
      </c>
      <c r="W26" s="5">
        <f t="shared" ca="1" si="12"/>
        <v>1846.7293990000003</v>
      </c>
      <c r="Y26" s="5">
        <f ca="1">Total!E26</f>
        <v>1786.3248599999999</v>
      </c>
      <c r="AB26" s="5">
        <f t="shared" ca="1" si="1"/>
        <v>4.8355874082164463E-2</v>
      </c>
      <c r="AC26" s="5">
        <f t="shared" ca="1" si="2"/>
        <v>3.7166727892932072E-2</v>
      </c>
      <c r="AD26" s="5">
        <f t="shared" ca="1" si="3"/>
        <v>2.6276043653112514E-2</v>
      </c>
      <c r="AE26" s="5">
        <f t="shared" ca="1" si="4"/>
        <v>2.8208816396363679E-2</v>
      </c>
      <c r="AF26" s="5">
        <f t="shared" ca="1" si="5"/>
        <v>4.0496950817781235E-2</v>
      </c>
      <c r="AG26" s="5">
        <f t="shared" ca="1" si="6"/>
        <v>2.1412353853710629E-2</v>
      </c>
      <c r="AH26" s="5">
        <f t="shared" ca="1" si="7"/>
        <v>4.2938220095083982E-2</v>
      </c>
      <c r="AI26" s="5">
        <f t="shared" ca="1" si="8"/>
        <v>3.4862152676977239E-2</v>
      </c>
      <c r="AJ26" s="5">
        <f t="shared" ca="1" si="9"/>
        <v>3.064269060220105E-2</v>
      </c>
      <c r="AK26" s="5">
        <f t="shared" ca="1" si="10"/>
        <v>2.7789967609810937E-2</v>
      </c>
      <c r="AM26" s="5">
        <f t="shared" ca="1" si="13"/>
        <v>0.33814979768013781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1.7694099999999999</v>
      </c>
      <c r="F27" s="5">
        <v>106</v>
      </c>
      <c r="H27" s="5" t="s">
        <v>1</v>
      </c>
      <c r="I27" s="5">
        <v>100</v>
      </c>
      <c r="J27" s="5">
        <v>0.7</v>
      </c>
      <c r="L27" s="5">
        <f t="shared" ca="1" si="11"/>
        <v>1788.8150000000001</v>
      </c>
      <c r="M27" s="5">
        <f t="shared" ca="1" si="11"/>
        <v>1779.0004300000001</v>
      </c>
      <c r="N27" s="5">
        <f t="shared" ca="1" si="11"/>
        <v>1792.68941</v>
      </c>
      <c r="O27" s="5">
        <f t="shared" ca="1" si="11"/>
        <v>1782.26938</v>
      </c>
      <c r="P27" s="5">
        <f t="shared" ca="1" si="11"/>
        <v>1782.7465199999999</v>
      </c>
      <c r="Q27" s="5">
        <f t="shared" ca="1" si="11"/>
        <v>1790.75</v>
      </c>
      <c r="R27" s="5">
        <f t="shared" ca="1" si="11"/>
        <v>1798.54756</v>
      </c>
      <c r="S27" s="5">
        <f t="shared" ca="1" si="11"/>
        <v>1784.2723900000001</v>
      </c>
      <c r="T27" s="5">
        <f t="shared" ca="1" si="11"/>
        <v>1793.42482</v>
      </c>
      <c r="U27" s="5">
        <f t="shared" ca="1" si="11"/>
        <v>1774.1693499999999</v>
      </c>
      <c r="W27" s="5">
        <f t="shared" ca="1" si="12"/>
        <v>1786.6684859999998</v>
      </c>
      <c r="Y27" s="5">
        <f ca="1">Total!E27</f>
        <v>1761.02206</v>
      </c>
      <c r="AB27" s="5">
        <f t="shared" ca="1" si="1"/>
        <v>1.5782278161807946E-2</v>
      </c>
      <c r="AC27" s="5">
        <f t="shared" ca="1" si="2"/>
        <v>1.0209054394241968E-2</v>
      </c>
      <c r="AD27" s="5">
        <f t="shared" ca="1" si="3"/>
        <v>1.7982369851743903E-2</v>
      </c>
      <c r="AE27" s="5">
        <f t="shared" ca="1" si="4"/>
        <v>1.2065334377469379E-2</v>
      </c>
      <c r="AF27" s="5">
        <f t="shared" ca="1" si="5"/>
        <v>1.233627930816489E-2</v>
      </c>
      <c r="AG27" s="5">
        <f t="shared" ca="1" si="6"/>
        <v>1.6881071892989229E-2</v>
      </c>
      <c r="AH27" s="5">
        <f t="shared" ca="1" si="7"/>
        <v>2.1308932382141748E-2</v>
      </c>
      <c r="AI27" s="5">
        <f t="shared" ca="1" si="8"/>
        <v>1.3202747727078488E-2</v>
      </c>
      <c r="AJ27" s="5">
        <f t="shared" ca="1" si="9"/>
        <v>1.8399973933319123E-2</v>
      </c>
      <c r="AK27" s="5">
        <f t="shared" ca="1" si="10"/>
        <v>7.4657156764974791E-3</v>
      </c>
      <c r="AM27" s="5">
        <f t="shared" ca="1" si="13"/>
        <v>0.14563375770545417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1.7711600000000001</v>
      </c>
      <c r="F28" s="5">
        <v>110</v>
      </c>
      <c r="H28" s="5" t="s">
        <v>1</v>
      </c>
      <c r="I28" s="5">
        <v>100</v>
      </c>
      <c r="J28" s="5">
        <v>1</v>
      </c>
      <c r="L28" s="5">
        <f t="shared" ca="1" si="11"/>
        <v>1755.80333</v>
      </c>
      <c r="M28" s="5">
        <f t="shared" ca="1" si="11"/>
        <v>1755.0952</v>
      </c>
      <c r="N28" s="5">
        <f t="shared" ca="1" si="11"/>
        <v>1757.09</v>
      </c>
      <c r="O28" s="5">
        <f t="shared" ca="1" si="11"/>
        <v>1756.2361699999999</v>
      </c>
      <c r="P28" s="5">
        <f t="shared" ca="1" si="11"/>
        <v>1756.9823899999999</v>
      </c>
      <c r="Q28" s="5">
        <f t="shared" ca="1" si="11"/>
        <v>1753.6437100000001</v>
      </c>
      <c r="R28" s="5">
        <f t="shared" ca="1" si="11"/>
        <v>1756.49333</v>
      </c>
      <c r="S28" s="5">
        <f t="shared" ca="1" si="11"/>
        <v>1758.16</v>
      </c>
      <c r="T28" s="5">
        <f t="shared" ca="1" si="11"/>
        <v>1756.65</v>
      </c>
      <c r="U28" s="5">
        <f t="shared" ca="1" si="11"/>
        <v>1756.9015400000001</v>
      </c>
      <c r="W28" s="5">
        <f t="shared" ca="1" si="12"/>
        <v>1756.3055669999999</v>
      </c>
      <c r="Y28" s="5">
        <f ca="1">Total!E28</f>
        <v>1753.1198199999999</v>
      </c>
      <c r="AB28" s="5">
        <f t="shared" ca="1" si="1"/>
        <v>1.5307054140772133E-3</v>
      </c>
      <c r="AC28" s="5">
        <f t="shared" ca="1" si="2"/>
        <v>1.1267797999112729E-3</v>
      </c>
      <c r="AD28" s="5">
        <f t="shared" ca="1" si="3"/>
        <v>2.2646369944069357E-3</v>
      </c>
      <c r="AE28" s="5">
        <f t="shared" ca="1" si="4"/>
        <v>1.7776024002740505E-3</v>
      </c>
      <c r="AF28" s="5">
        <f t="shared" ca="1" si="5"/>
        <v>2.2032549948582552E-3</v>
      </c>
      <c r="AG28" s="5">
        <f t="shared" ca="1" si="6"/>
        <v>2.9883296853044819E-4</v>
      </c>
      <c r="AH28" s="5">
        <f t="shared" ca="1" si="7"/>
        <v>1.9242894647099045E-3</v>
      </c>
      <c r="AI28" s="5">
        <f t="shared" ca="1" si="8"/>
        <v>2.8749774787214439E-3</v>
      </c>
      <c r="AJ28" s="5">
        <f t="shared" ca="1" si="9"/>
        <v>2.0136558606702651E-3</v>
      </c>
      <c r="AK28" s="5">
        <f t="shared" ca="1" si="10"/>
        <v>2.1571372115342224E-3</v>
      </c>
      <c r="AM28" s="5">
        <f t="shared" ca="1" si="13"/>
        <v>1.817187258769401E-2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1.77881</v>
      </c>
      <c r="F29" s="5">
        <v>105</v>
      </c>
      <c r="H29" s="5" t="s">
        <v>0</v>
      </c>
      <c r="I29" s="5">
        <v>25</v>
      </c>
      <c r="J29" s="5">
        <v>0.4</v>
      </c>
      <c r="L29" s="5">
        <f t="shared" ca="1" si="11"/>
        <v>41.318849999999998</v>
      </c>
      <c r="M29" s="5">
        <f t="shared" ca="1" si="11"/>
        <v>41.318849999999998</v>
      </c>
      <c r="N29" s="5">
        <f t="shared" ca="1" si="11"/>
        <v>41.318849999999998</v>
      </c>
      <c r="O29" s="5">
        <f t="shared" ca="1" si="11"/>
        <v>40.897550000000003</v>
      </c>
      <c r="P29" s="5">
        <f t="shared" ca="1" si="11"/>
        <v>41.318849999999998</v>
      </c>
      <c r="Q29" s="5">
        <f t="shared" ca="1" si="11"/>
        <v>42.424349999999997</v>
      </c>
      <c r="R29" s="5">
        <f t="shared" ca="1" si="11"/>
        <v>41.318849999999998</v>
      </c>
      <c r="S29" s="5">
        <f t="shared" ca="1" si="11"/>
        <v>41.318849999999998</v>
      </c>
      <c r="T29" s="5">
        <f t="shared" ca="1" si="11"/>
        <v>41.318849999999998</v>
      </c>
      <c r="U29" s="5">
        <f t="shared" ca="1" si="11"/>
        <v>41.318849999999998</v>
      </c>
      <c r="W29" s="5">
        <f t="shared" ca="1" si="12"/>
        <v>41.387270000000001</v>
      </c>
      <c r="Y29" s="5">
        <f ca="1">Total!E29</f>
        <v>40.897550000000003</v>
      </c>
      <c r="AB29" s="5">
        <f t="shared" ca="1" si="1"/>
        <v>1.0301350569899543E-2</v>
      </c>
      <c r="AC29" s="5">
        <f t="shared" ca="1" si="2"/>
        <v>1.0301350569899543E-2</v>
      </c>
      <c r="AD29" s="5">
        <f t="shared" ca="1" si="3"/>
        <v>1.0301350569899543E-2</v>
      </c>
      <c r="AE29" s="5">
        <f t="shared" ca="1" si="4"/>
        <v>0</v>
      </c>
      <c r="AF29" s="5">
        <f t="shared" ca="1" si="5"/>
        <v>1.0301350569899543E-2</v>
      </c>
      <c r="AG29" s="5">
        <f t="shared" ca="1" si="6"/>
        <v>3.7332309637129711E-2</v>
      </c>
      <c r="AH29" s="5">
        <f t="shared" ca="1" si="7"/>
        <v>1.0301350569899543E-2</v>
      </c>
      <c r="AI29" s="5">
        <f t="shared" ca="1" si="8"/>
        <v>1.0301350569899543E-2</v>
      </c>
      <c r="AJ29" s="5">
        <f t="shared" ca="1" si="9"/>
        <v>1.0301350569899543E-2</v>
      </c>
      <c r="AK29" s="5">
        <f t="shared" ca="1" si="10"/>
        <v>1.0301350569899543E-2</v>
      </c>
      <c r="AM29" s="5">
        <f t="shared" ca="1" si="13"/>
        <v>0.11974311419632606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1.78041</v>
      </c>
      <c r="F30" s="5">
        <v>109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1"/>
        <v>28.65436</v>
      </c>
      <c r="N30" s="5">
        <f t="shared" ca="1" si="11"/>
        <v>28.65436</v>
      </c>
      <c r="O30" s="5">
        <f t="shared" ca="1" si="11"/>
        <v>28.65436</v>
      </c>
      <c r="P30" s="5">
        <f t="shared" ca="1" si="11"/>
        <v>28.65436</v>
      </c>
      <c r="Q30" s="5">
        <f t="shared" ca="1" si="11"/>
        <v>28.65436</v>
      </c>
      <c r="R30" s="5">
        <f t="shared" ca="1" si="11"/>
        <v>28.65436</v>
      </c>
      <c r="S30" s="5">
        <f t="shared" ca="1" si="11"/>
        <v>28.65436</v>
      </c>
      <c r="T30" s="5">
        <f t="shared" ca="1" si="11"/>
        <v>28.65436</v>
      </c>
      <c r="U30" s="5">
        <f t="shared" ca="1" si="11"/>
        <v>28.65436</v>
      </c>
      <c r="W30" s="5">
        <f t="shared" ca="1" si="12"/>
        <v>28.654360000000004</v>
      </c>
      <c r="Y30" s="5">
        <f ca="1">Total!E30</f>
        <v>28.65436</v>
      </c>
      <c r="AB30" s="5">
        <f t="shared" ca="1" si="1"/>
        <v>0</v>
      </c>
      <c r="AC30" s="5">
        <f t="shared" ca="1" si="2"/>
        <v>0</v>
      </c>
      <c r="AD30" s="5">
        <f t="shared" ca="1" si="3"/>
        <v>0</v>
      </c>
      <c r="AE30" s="5">
        <f t="shared" ca="1" si="4"/>
        <v>0</v>
      </c>
      <c r="AF30" s="5">
        <f t="shared" ca="1" si="5"/>
        <v>0</v>
      </c>
      <c r="AG30" s="5">
        <f t="shared" ca="1" si="6"/>
        <v>0</v>
      </c>
      <c r="AH30" s="5">
        <f t="shared" ca="1" si="7"/>
        <v>0</v>
      </c>
      <c r="AI30" s="5">
        <f t="shared" ca="1" si="8"/>
        <v>0</v>
      </c>
      <c r="AJ30" s="5">
        <f t="shared" ca="1" si="9"/>
        <v>0</v>
      </c>
      <c r="AK30" s="5">
        <f t="shared" ca="1" si="10"/>
        <v>0</v>
      </c>
      <c r="AM30" s="5">
        <f t="shared" ca="1" si="13"/>
        <v>0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1.2309000000000001</v>
      </c>
      <c r="F31" s="5">
        <v>27</v>
      </c>
      <c r="H31" s="5" t="s">
        <v>0</v>
      </c>
      <c r="I31" s="5">
        <v>25</v>
      </c>
      <c r="J31" s="5">
        <v>1</v>
      </c>
      <c r="L31" s="5">
        <f t="shared" ca="1" si="11"/>
        <v>28.592030000000001</v>
      </c>
      <c r="M31" s="5">
        <f t="shared" ca="1" si="11"/>
        <v>28.554099999999998</v>
      </c>
      <c r="N31" s="5">
        <f t="shared" ca="1" si="11"/>
        <v>28.592030000000001</v>
      </c>
      <c r="O31" s="5">
        <f t="shared" ca="1" si="11"/>
        <v>28.592030000000001</v>
      </c>
      <c r="P31" s="5">
        <f t="shared" ca="1" si="11"/>
        <v>28.592030000000001</v>
      </c>
      <c r="Q31" s="5">
        <f t="shared" ca="1" si="11"/>
        <v>28.592030000000001</v>
      </c>
      <c r="R31" s="5">
        <f t="shared" ca="1" si="11"/>
        <v>28.60624</v>
      </c>
      <c r="S31" s="5">
        <f t="shared" ca="1" si="11"/>
        <v>28.546240000000001</v>
      </c>
      <c r="T31" s="5">
        <f t="shared" ca="1" si="11"/>
        <v>28.592030000000001</v>
      </c>
      <c r="U31" s="5">
        <f t="shared" ca="1" si="11"/>
        <v>28.504100000000001</v>
      </c>
      <c r="W31" s="5">
        <f t="shared" ca="1" si="12"/>
        <v>28.576286</v>
      </c>
      <c r="Y31" s="5">
        <f ca="1">Total!E31</f>
        <v>28.504100000000001</v>
      </c>
      <c r="AB31" s="5">
        <f t="shared" ca="1" si="1"/>
        <v>3.0848193768615766E-3</v>
      </c>
      <c r="AC31" s="5">
        <f t="shared" ca="1" si="2"/>
        <v>1.754133615865688E-3</v>
      </c>
      <c r="AD31" s="5">
        <f t="shared" ca="1" si="3"/>
        <v>3.0848193768615766E-3</v>
      </c>
      <c r="AE31" s="5">
        <f t="shared" ca="1" si="4"/>
        <v>3.0848193768615766E-3</v>
      </c>
      <c r="AF31" s="5">
        <f t="shared" ca="1" si="5"/>
        <v>3.0848193768615766E-3</v>
      </c>
      <c r="AG31" s="5">
        <f t="shared" ca="1" si="6"/>
        <v>3.0848193768615766E-3</v>
      </c>
      <c r="AH31" s="5">
        <f t="shared" ca="1" si="7"/>
        <v>3.5833441504905805E-3</v>
      </c>
      <c r="AI31" s="5">
        <f t="shared" ca="1" si="8"/>
        <v>1.4783838114516804E-3</v>
      </c>
      <c r="AJ31" s="5">
        <f t="shared" ca="1" si="9"/>
        <v>3.0848193768615766E-3</v>
      </c>
      <c r="AK31" s="5">
        <f t="shared" ca="1" si="10"/>
        <v>0</v>
      </c>
      <c r="AM31" s="5">
        <f t="shared" ca="1" si="13"/>
        <v>2.5324777838977405E-2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1.2149300000000001</v>
      </c>
      <c r="F32" s="5">
        <v>26</v>
      </c>
      <c r="H32" s="5" t="s">
        <v>0</v>
      </c>
      <c r="I32" s="5">
        <v>50</v>
      </c>
      <c r="J32" s="5">
        <v>0.4</v>
      </c>
      <c r="L32" s="5">
        <f t="shared" ca="1" si="11"/>
        <v>58.772329999999997</v>
      </c>
      <c r="M32" s="5">
        <f t="shared" ca="1" si="11"/>
        <v>56.901339999999998</v>
      </c>
      <c r="N32" s="5">
        <f t="shared" ca="1" si="11"/>
        <v>59.096179999999997</v>
      </c>
      <c r="O32" s="5">
        <f t="shared" ca="1" si="11"/>
        <v>56.521659999999997</v>
      </c>
      <c r="P32" s="5">
        <f t="shared" ca="1" si="11"/>
        <v>58.967329999999997</v>
      </c>
      <c r="Q32" s="5">
        <f t="shared" ca="1" si="11"/>
        <v>58.784439999999996</v>
      </c>
      <c r="R32" s="5">
        <f t="shared" ca="1" si="11"/>
        <v>57.80733</v>
      </c>
      <c r="S32" s="5">
        <f t="shared" ca="1" si="11"/>
        <v>58.942329999999998</v>
      </c>
      <c r="T32" s="5">
        <f t="shared" ca="1" si="11"/>
        <v>59.072330000000001</v>
      </c>
      <c r="U32" s="5">
        <f t="shared" ca="1" si="11"/>
        <v>58.707320000000003</v>
      </c>
      <c r="W32" s="5">
        <f t="shared" ca="1" si="12"/>
        <v>58.357258999999985</v>
      </c>
      <c r="Y32" s="5">
        <f ca="1">Total!E32</f>
        <v>56.511339999999997</v>
      </c>
      <c r="AB32" s="5">
        <f t="shared" ca="1" si="1"/>
        <v>4.0009491900209755E-2</v>
      </c>
      <c r="AC32" s="5">
        <f t="shared" ca="1" si="2"/>
        <v>6.901269727456482E-3</v>
      </c>
      <c r="AD32" s="5">
        <f t="shared" ca="1" si="3"/>
        <v>4.5740200108509196E-2</v>
      </c>
      <c r="AE32" s="5">
        <f t="shared" ca="1" si="4"/>
        <v>1.8261821432654239E-4</v>
      </c>
      <c r="AF32" s="5">
        <f t="shared" ca="1" si="5"/>
        <v>4.3460126763937998E-2</v>
      </c>
      <c r="AG32" s="5">
        <f t="shared" ca="1" si="6"/>
        <v>4.0223785173028978E-2</v>
      </c>
      <c r="AH32" s="5">
        <f t="shared" ca="1" si="7"/>
        <v>2.2933273215605988E-2</v>
      </c>
      <c r="AI32" s="5">
        <f t="shared" ca="1" si="8"/>
        <v>4.3017737678844661E-2</v>
      </c>
      <c r="AJ32" s="5">
        <f t="shared" ca="1" si="9"/>
        <v>4.5318160921330196E-2</v>
      </c>
      <c r="AK32" s="5">
        <f t="shared" ca="1" si="10"/>
        <v>3.8859103323333088E-2</v>
      </c>
      <c r="AM32" s="5">
        <f t="shared" ca="1" si="13"/>
        <v>0.32664576702658288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1.2259599999999999</v>
      </c>
      <c r="F33" s="5">
        <v>26</v>
      </c>
      <c r="H33" s="5" t="s">
        <v>0</v>
      </c>
      <c r="I33" s="5">
        <v>50</v>
      </c>
      <c r="J33" s="5">
        <v>0.7</v>
      </c>
      <c r="L33" s="5">
        <f t="shared" ca="1" si="11"/>
        <v>53.598730000000003</v>
      </c>
      <c r="M33" s="5">
        <f t="shared" ca="1" si="11"/>
        <v>53.638399999999997</v>
      </c>
      <c r="N33" s="5">
        <f t="shared" ca="1" si="11"/>
        <v>53.475070000000002</v>
      </c>
      <c r="O33" s="5">
        <f t="shared" ca="1" si="11"/>
        <v>53.215069999999997</v>
      </c>
      <c r="P33" s="5">
        <f t="shared" ca="1" si="11"/>
        <v>53.642659999999999</v>
      </c>
      <c r="Q33" s="5">
        <f t="shared" ca="1" si="11"/>
        <v>53.492660000000001</v>
      </c>
      <c r="R33" s="5">
        <f t="shared" ca="1" si="11"/>
        <v>53.752749999999999</v>
      </c>
      <c r="S33" s="5">
        <f t="shared" ca="1" si="11"/>
        <v>53.534979999999997</v>
      </c>
      <c r="T33" s="5">
        <f t="shared" ca="1" si="11"/>
        <v>53.492660000000001</v>
      </c>
      <c r="U33" s="5">
        <f t="shared" ca="1" si="11"/>
        <v>53.692749999999997</v>
      </c>
      <c r="W33" s="5">
        <f t="shared" ca="1" si="12"/>
        <v>53.553573000000007</v>
      </c>
      <c r="Y33" s="5">
        <f ca="1">Total!E33</f>
        <v>53.115070000000003</v>
      </c>
      <c r="AB33" s="5">
        <f t="shared" ca="1" si="1"/>
        <v>9.1058902868809254E-3</v>
      </c>
      <c r="AC33" s="5">
        <f t="shared" ca="1" si="2"/>
        <v>9.8527593016444152E-3</v>
      </c>
      <c r="AD33" s="5">
        <f t="shared" ca="1" si="3"/>
        <v>6.7777374669749924E-3</v>
      </c>
      <c r="AE33" s="5">
        <f t="shared" ca="1" si="4"/>
        <v>1.8827048519373939E-3</v>
      </c>
      <c r="AF33" s="5">
        <f t="shared" ca="1" si="5"/>
        <v>9.932962528336994E-3</v>
      </c>
      <c r="AG33" s="5">
        <f t="shared" ca="1" si="6"/>
        <v>7.1089052504307694E-3</v>
      </c>
      <c r="AH33" s="5">
        <f t="shared" ca="1" si="7"/>
        <v>1.200563229983498E-2</v>
      </c>
      <c r="AI33" s="5">
        <f t="shared" ca="1" si="8"/>
        <v>7.9056659437706563E-3</v>
      </c>
      <c r="AJ33" s="5">
        <f t="shared" ca="1" si="9"/>
        <v>7.1089052504307694E-3</v>
      </c>
      <c r="AK33" s="5">
        <f t="shared" ca="1" si="10"/>
        <v>1.0876009388672437E-2</v>
      </c>
      <c r="AM33" s="5">
        <f t="shared" ca="1" si="13"/>
        <v>8.255717256891433E-2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1.2322299999999999</v>
      </c>
      <c r="F34" s="5">
        <v>27</v>
      </c>
      <c r="H34" s="5" t="s">
        <v>0</v>
      </c>
      <c r="I34" s="5">
        <v>50</v>
      </c>
      <c r="J34" s="5">
        <v>1</v>
      </c>
      <c r="L34" s="5">
        <f t="shared" ca="1" si="11"/>
        <v>53.037489999999998</v>
      </c>
      <c r="M34" s="5">
        <f t="shared" ca="1" si="11"/>
        <v>53.097490000000001</v>
      </c>
      <c r="N34" s="5">
        <f t="shared" ca="1" si="11"/>
        <v>53.118769999999998</v>
      </c>
      <c r="O34" s="5">
        <f t="shared" ca="1" si="11"/>
        <v>53.237490000000001</v>
      </c>
      <c r="P34" s="5">
        <f t="shared" ca="1" si="11"/>
        <v>53.307490000000001</v>
      </c>
      <c r="Q34" s="5">
        <f t="shared" ca="1" si="11"/>
        <v>53.222499999999997</v>
      </c>
      <c r="R34" s="5">
        <f t="shared" ca="1" si="11"/>
        <v>53.237569999999998</v>
      </c>
      <c r="S34" s="5">
        <f t="shared" ca="1" si="11"/>
        <v>53.05885</v>
      </c>
      <c r="T34" s="5">
        <f t="shared" ca="1" si="11"/>
        <v>53.456000000000003</v>
      </c>
      <c r="U34" s="5">
        <f t="shared" ca="1" si="11"/>
        <v>53.497489999999999</v>
      </c>
      <c r="W34" s="5">
        <f t="shared" ca="1" si="12"/>
        <v>53.227113999999993</v>
      </c>
      <c r="Y34" s="5">
        <f ca="1">Total!E34</f>
        <v>53.003740000000001</v>
      </c>
      <c r="AB34" s="5">
        <f t="shared" ca="1" si="1"/>
        <v>6.3674752008061552E-4</v>
      </c>
      <c r="AC34" s="5">
        <f t="shared" ca="1" si="2"/>
        <v>1.7687431113351624E-3</v>
      </c>
      <c r="AD34" s="5">
        <f t="shared" ca="1" si="3"/>
        <v>2.170224214366709E-3</v>
      </c>
      <c r="AE34" s="5">
        <f t="shared" ca="1" si="4"/>
        <v>4.410066157595682E-3</v>
      </c>
      <c r="AF34" s="5">
        <f t="shared" ca="1" si="5"/>
        <v>5.7307276807259423E-3</v>
      </c>
      <c r="AG34" s="5">
        <f t="shared" ca="1" si="6"/>
        <v>4.1272559257138474E-3</v>
      </c>
      <c r="AH34" s="5">
        <f t="shared" ca="1" si="7"/>
        <v>4.4115754850506308E-3</v>
      </c>
      <c r="AI34" s="5">
        <f t="shared" ca="1" si="8"/>
        <v>1.0397379505672449E-3</v>
      </c>
      <c r="AJ34" s="5">
        <f t="shared" ca="1" si="9"/>
        <v>8.5326054350127467E-3</v>
      </c>
      <c r="AK34" s="5">
        <f t="shared" ca="1" si="10"/>
        <v>9.3153803863651619E-3</v>
      </c>
      <c r="AM34" s="5">
        <f t="shared" ca="1" si="13"/>
        <v>4.214306386681374E-2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1.22133</v>
      </c>
      <c r="F35" s="5">
        <v>26</v>
      </c>
      <c r="H35" s="5" t="s">
        <v>0</v>
      </c>
      <c r="I35" s="5">
        <v>100</v>
      </c>
      <c r="J35" s="5">
        <v>0.4</v>
      </c>
      <c r="L35" s="5">
        <f t="shared" ca="1" si="11"/>
        <v>148.23964000000001</v>
      </c>
      <c r="M35" s="5">
        <f t="shared" ca="1" si="11"/>
        <v>148.25631000000001</v>
      </c>
      <c r="N35" s="5">
        <f t="shared" ca="1" si="11"/>
        <v>148.27479</v>
      </c>
      <c r="O35" s="5">
        <f t="shared" ca="1" si="11"/>
        <v>148.31895</v>
      </c>
      <c r="P35" s="5">
        <f t="shared" ca="1" si="11"/>
        <v>148.38964000000001</v>
      </c>
      <c r="Q35" s="5">
        <f t="shared" ca="1" si="11"/>
        <v>148.27653000000001</v>
      </c>
      <c r="R35" s="5">
        <f t="shared" ca="1" si="11"/>
        <v>148.27902</v>
      </c>
      <c r="S35" s="5">
        <f t="shared" ca="1" si="11"/>
        <v>148.24069</v>
      </c>
      <c r="T35" s="5">
        <f t="shared" ca="1" si="11"/>
        <v>148.30234999999999</v>
      </c>
      <c r="U35" s="5">
        <f t="shared" ca="1" si="11"/>
        <v>148.28032999999999</v>
      </c>
      <c r="W35" s="5">
        <f t="shared" ca="1" si="12"/>
        <v>148.28582499999999</v>
      </c>
      <c r="Y35" s="5">
        <f ca="1">Total!E35</f>
        <v>147.96312</v>
      </c>
      <c r="AB35" s="5">
        <f t="shared" ca="1" si="1"/>
        <v>1.8688440741179626E-3</v>
      </c>
      <c r="AC35" s="5">
        <f t="shared" ca="1" si="2"/>
        <v>1.9815072837069793E-3</v>
      </c>
      <c r="AD35" s="5">
        <f t="shared" ca="1" si="3"/>
        <v>2.1064032713016077E-3</v>
      </c>
      <c r="AE35" s="5">
        <f t="shared" ca="1" si="4"/>
        <v>2.4048560208786989E-3</v>
      </c>
      <c r="AF35" s="5">
        <f t="shared" ca="1" si="5"/>
        <v>2.8826102071922428E-3</v>
      </c>
      <c r="AG35" s="5">
        <f t="shared" ca="1" si="6"/>
        <v>2.118162958445352E-3</v>
      </c>
      <c r="AH35" s="5">
        <f t="shared" ca="1" si="7"/>
        <v>2.1349914762543477E-3</v>
      </c>
      <c r="AI35" s="5">
        <f t="shared" ca="1" si="8"/>
        <v>1.8759404370494296E-3</v>
      </c>
      <c r="AJ35" s="5">
        <f t="shared" ca="1" si="9"/>
        <v>2.2926659021517415E-3</v>
      </c>
      <c r="AK35" s="5">
        <f t="shared" ca="1" si="10"/>
        <v>2.143845033816458E-3</v>
      </c>
      <c r="AM35" s="5">
        <f t="shared" ca="1" si="13"/>
        <v>2.1809826664914822E-2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1.2306600000000001</v>
      </c>
      <c r="F36" s="5">
        <v>27</v>
      </c>
      <c r="H36" s="5" t="s">
        <v>0</v>
      </c>
      <c r="I36" s="5">
        <v>100</v>
      </c>
      <c r="J36" s="5">
        <v>0.7</v>
      </c>
      <c r="L36" s="5">
        <f t="shared" ca="1" si="11"/>
        <v>107.99433000000001</v>
      </c>
      <c r="M36" s="5">
        <f t="shared" ca="1" si="11"/>
        <v>108.02663</v>
      </c>
      <c r="N36" s="5">
        <f t="shared" ca="1" si="11"/>
        <v>108.4892</v>
      </c>
      <c r="O36" s="5">
        <f t="shared" ca="1" si="11"/>
        <v>108.41766</v>
      </c>
      <c r="P36" s="5">
        <f t="shared" ca="1" si="11"/>
        <v>109.72105999999999</v>
      </c>
      <c r="Q36" s="5">
        <f t="shared" ca="1" si="11"/>
        <v>108.31474</v>
      </c>
      <c r="R36" s="5">
        <f t="shared" ca="1" si="11"/>
        <v>108.63363</v>
      </c>
      <c r="S36" s="5">
        <f t="shared" ca="1" si="11"/>
        <v>108.52163</v>
      </c>
      <c r="T36" s="5">
        <f t="shared" ca="1" si="11"/>
        <v>108.07163</v>
      </c>
      <c r="U36" s="5">
        <f t="shared" ca="1" si="11"/>
        <v>108.42563</v>
      </c>
      <c r="W36" s="5">
        <f t="shared" ca="1" si="12"/>
        <v>108.46161400000001</v>
      </c>
      <c r="Y36" s="5">
        <f ca="1">Total!E36</f>
        <v>107.28163000000001</v>
      </c>
      <c r="AB36" s="5">
        <f t="shared" ca="1" si="1"/>
        <v>6.6432622248561854E-3</v>
      </c>
      <c r="AC36" s="5">
        <f t="shared" ca="1" si="2"/>
        <v>6.9443389329560921E-3</v>
      </c>
      <c r="AD36" s="5">
        <f t="shared" ca="1" si="3"/>
        <v>1.1256074315798425E-2</v>
      </c>
      <c r="AE36" s="5">
        <f t="shared" ca="1" si="4"/>
        <v>1.0589231353028389E-2</v>
      </c>
      <c r="AF36" s="5">
        <f t="shared" ca="1" si="5"/>
        <v>2.273856204459223E-2</v>
      </c>
      <c r="AG36" s="5">
        <f t="shared" ca="1" si="6"/>
        <v>9.6298872416460627E-3</v>
      </c>
      <c r="AH36" s="5">
        <f t="shared" ca="1" si="7"/>
        <v>1.2602343942760653E-2</v>
      </c>
      <c r="AI36" s="5">
        <f t="shared" ca="1" si="8"/>
        <v>1.15583627877391E-2</v>
      </c>
      <c r="AJ36" s="5">
        <f t="shared" ca="1" si="9"/>
        <v>7.363795647027287E-3</v>
      </c>
      <c r="AK36" s="5">
        <f t="shared" ca="1" si="10"/>
        <v>1.0663521797720553E-2</v>
      </c>
      <c r="AM36" s="5">
        <f t="shared" ca="1" si="13"/>
        <v>0.10998938028812497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1.2325600000000001</v>
      </c>
      <c r="F37" s="5">
        <v>27</v>
      </c>
      <c r="H37" s="5" t="s">
        <v>0</v>
      </c>
      <c r="I37" s="5">
        <v>100</v>
      </c>
      <c r="J37" s="5">
        <v>1</v>
      </c>
      <c r="L37" s="5">
        <f t="shared" ca="1" si="11"/>
        <v>103.99502</v>
      </c>
      <c r="M37" s="5">
        <f t="shared" ca="1" si="11"/>
        <v>103.63496000000001</v>
      </c>
      <c r="N37" s="5">
        <f t="shared" ca="1" si="11"/>
        <v>103.92663</v>
      </c>
      <c r="O37" s="5">
        <f t="shared" ca="1" si="11"/>
        <v>104.04170000000001</v>
      </c>
      <c r="P37" s="5">
        <f t="shared" ca="1" si="11"/>
        <v>103.94533</v>
      </c>
      <c r="Q37" s="5">
        <f t="shared" ca="1" si="11"/>
        <v>103.89247</v>
      </c>
      <c r="R37" s="5">
        <f t="shared" ca="1" si="11"/>
        <v>104.12837</v>
      </c>
      <c r="S37" s="5">
        <f t="shared" ca="1" si="11"/>
        <v>104.02003000000001</v>
      </c>
      <c r="T37" s="5">
        <f t="shared" ca="1" si="11"/>
        <v>103.98329</v>
      </c>
      <c r="U37" s="5">
        <f t="shared" ca="1" si="11"/>
        <v>103.93170000000001</v>
      </c>
      <c r="W37" s="5">
        <f t="shared" ca="1" si="12"/>
        <v>103.94995000000002</v>
      </c>
      <c r="Y37" s="5">
        <f ca="1">Total!E37</f>
        <v>103.21266</v>
      </c>
      <c r="AB37" s="5">
        <f t="shared" ca="1" si="1"/>
        <v>7.5800778702922404E-3</v>
      </c>
      <c r="AC37" s="5">
        <f t="shared" ca="1" si="2"/>
        <v>4.0915523347621018E-3</v>
      </c>
      <c r="AD37" s="5">
        <f t="shared" ca="1" si="3"/>
        <v>6.9174653574474616E-3</v>
      </c>
      <c r="AE37" s="5">
        <f t="shared" ca="1" si="4"/>
        <v>8.0323479697161776E-3</v>
      </c>
      <c r="AF37" s="5">
        <f t="shared" ca="1" si="5"/>
        <v>7.0986446817667406E-3</v>
      </c>
      <c r="AG37" s="5">
        <f t="shared" ca="1" si="6"/>
        <v>6.5864982067122711E-3</v>
      </c>
      <c r="AH37" s="5">
        <f t="shared" ca="1" si="7"/>
        <v>8.8720705386335762E-3</v>
      </c>
      <c r="AI37" s="5">
        <f t="shared" ca="1" si="8"/>
        <v>7.8223931056520188E-3</v>
      </c>
      <c r="AJ37" s="5">
        <f t="shared" ca="1" si="9"/>
        <v>7.4664290214010278E-3</v>
      </c>
      <c r="AK37" s="5">
        <f t="shared" ca="1" si="10"/>
        <v>6.9665872384260495E-3</v>
      </c>
      <c r="AM37" s="5">
        <f t="shared" ca="1" si="13"/>
        <v>7.143406632480967E-2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1.23505</v>
      </c>
      <c r="F38" s="5">
        <v>26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1.21821</v>
      </c>
      <c r="F39" s="5">
        <v>27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1.2141200000000001</v>
      </c>
      <c r="F40" s="5">
        <v>27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2.8940000000000001</v>
      </c>
      <c r="F41" s="5">
        <v>73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2.93275</v>
      </c>
      <c r="F42" s="5">
        <v>76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2.8979400000000002</v>
      </c>
      <c r="F43" s="5">
        <v>75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2.9055</v>
      </c>
      <c r="F44" s="5">
        <v>74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2.9024800000000002</v>
      </c>
      <c r="F45" s="5">
        <v>74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2.91073</v>
      </c>
      <c r="F46" s="5">
        <v>76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2.9199000000000002</v>
      </c>
      <c r="F47" s="5">
        <v>75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2.8896899999999999</v>
      </c>
      <c r="F48" s="5">
        <v>73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2.9115700000000002</v>
      </c>
      <c r="F49" s="5">
        <v>76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2.8910300000000002</v>
      </c>
      <c r="F50" s="5">
        <v>74</v>
      </c>
    </row>
    <row r="51" spans="1:6" x14ac:dyDescent="0.25">
      <c r="A51" s="5" t="s">
        <v>27</v>
      </c>
      <c r="B51" s="5">
        <v>50</v>
      </c>
      <c r="C51" s="5">
        <v>1</v>
      </c>
      <c r="D51" s="5">
        <v>179.94333</v>
      </c>
      <c r="E51" s="5">
        <v>4.6123799999999999</v>
      </c>
      <c r="F51" s="5">
        <v>114</v>
      </c>
    </row>
    <row r="52" spans="1:6" x14ac:dyDescent="0.25">
      <c r="A52" s="5" t="s">
        <v>27</v>
      </c>
      <c r="B52" s="5">
        <v>50</v>
      </c>
      <c r="C52" s="5">
        <v>1</v>
      </c>
      <c r="D52" s="5">
        <v>181.15</v>
      </c>
      <c r="E52" s="5">
        <v>4.5911499999999998</v>
      </c>
      <c r="F52" s="5">
        <v>114</v>
      </c>
    </row>
    <row r="53" spans="1:6" x14ac:dyDescent="0.25">
      <c r="A53" s="5" t="s">
        <v>27</v>
      </c>
      <c r="B53" s="5">
        <v>50</v>
      </c>
      <c r="C53" s="5">
        <v>1</v>
      </c>
      <c r="D53" s="5">
        <v>180.10775000000001</v>
      </c>
      <c r="E53" s="5">
        <v>4.61639</v>
      </c>
      <c r="F53" s="5">
        <v>115</v>
      </c>
    </row>
    <row r="54" spans="1:6" x14ac:dyDescent="0.25">
      <c r="A54" s="5" t="s">
        <v>27</v>
      </c>
      <c r="B54" s="5">
        <v>50</v>
      </c>
      <c r="C54" s="5">
        <v>1</v>
      </c>
      <c r="D54" s="5">
        <v>180.05978999999999</v>
      </c>
      <c r="E54" s="5">
        <v>4.6199300000000001</v>
      </c>
      <c r="F54" s="5">
        <v>115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180.87124</v>
      </c>
      <c r="E55" s="5">
        <v>4.6181400000000004</v>
      </c>
      <c r="F55" s="5">
        <v>115</v>
      </c>
    </row>
    <row r="56" spans="1:6" x14ac:dyDescent="0.25">
      <c r="A56" s="5" t="s">
        <v>27</v>
      </c>
      <c r="B56" s="5">
        <v>50</v>
      </c>
      <c r="C56" s="5">
        <v>1</v>
      </c>
      <c r="D56" s="5">
        <v>179.67332999999999</v>
      </c>
      <c r="E56" s="5">
        <v>4.6147499999999999</v>
      </c>
      <c r="F56" s="5">
        <v>115</v>
      </c>
    </row>
    <row r="57" spans="1:6" x14ac:dyDescent="0.25">
      <c r="A57" s="5" t="s">
        <v>27</v>
      </c>
      <c r="B57" s="5">
        <v>50</v>
      </c>
      <c r="C57" s="5">
        <v>1</v>
      </c>
      <c r="D57" s="5">
        <v>182.2527</v>
      </c>
      <c r="E57" s="5">
        <v>4.5977399999999999</v>
      </c>
      <c r="F57" s="5">
        <v>114</v>
      </c>
    </row>
    <row r="58" spans="1:6" x14ac:dyDescent="0.25">
      <c r="A58" s="5" t="s">
        <v>27</v>
      </c>
      <c r="B58" s="5">
        <v>50</v>
      </c>
      <c r="C58" s="5">
        <v>1</v>
      </c>
      <c r="D58" s="5">
        <v>179.93769</v>
      </c>
      <c r="E58" s="5">
        <v>4.6082900000000002</v>
      </c>
      <c r="F58" s="5">
        <v>114</v>
      </c>
    </row>
    <row r="59" spans="1:6" x14ac:dyDescent="0.25">
      <c r="A59" s="5" t="s">
        <v>27</v>
      </c>
      <c r="B59" s="5">
        <v>50</v>
      </c>
      <c r="C59" s="5">
        <v>1</v>
      </c>
      <c r="D59" s="5">
        <v>180.25</v>
      </c>
      <c r="E59" s="5">
        <v>4.5912499999999996</v>
      </c>
      <c r="F59" s="5">
        <v>114</v>
      </c>
    </row>
    <row r="60" spans="1:6" x14ac:dyDescent="0.25">
      <c r="A60" s="5" t="s">
        <v>27</v>
      </c>
      <c r="B60" s="5">
        <v>50</v>
      </c>
      <c r="C60" s="5">
        <v>1</v>
      </c>
      <c r="D60" s="5">
        <v>180.05332999999999</v>
      </c>
      <c r="E60" s="5">
        <v>4.6252300000000002</v>
      </c>
      <c r="F60" s="5">
        <v>114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5.6301100000000002</v>
      </c>
      <c r="F61" s="5">
        <v>38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5.5904699999999998</v>
      </c>
      <c r="F62" s="5">
        <v>38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5.6313800000000001</v>
      </c>
      <c r="F63" s="5">
        <v>38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5.5965600000000002</v>
      </c>
      <c r="F64" s="5">
        <v>38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5.6179600000000001</v>
      </c>
      <c r="F65" s="5">
        <v>38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5.5984699999999998</v>
      </c>
      <c r="F66" s="5">
        <v>38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5.6184599999999998</v>
      </c>
      <c r="F67" s="5">
        <v>38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5.6220400000000001</v>
      </c>
      <c r="F68" s="5">
        <v>38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5.5915400000000002</v>
      </c>
      <c r="F69" s="5">
        <v>38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5.59504</v>
      </c>
      <c r="F70" s="5">
        <v>38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257.26398</v>
      </c>
      <c r="E71" s="5">
        <v>11.674950000000001</v>
      </c>
      <c r="F71" s="5">
        <v>75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257.05128999999999</v>
      </c>
      <c r="E72" s="5">
        <v>11.6896</v>
      </c>
      <c r="F72" s="5">
        <v>75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256.52373</v>
      </c>
      <c r="E73" s="5">
        <v>11.755839999999999</v>
      </c>
      <c r="F73" s="5">
        <v>75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257.36669999999998</v>
      </c>
      <c r="E74" s="5">
        <v>11.76247</v>
      </c>
      <c r="F74" s="5">
        <v>75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255.81496000000001</v>
      </c>
      <c r="E75" s="5">
        <v>11.70148</v>
      </c>
      <c r="F75" s="5">
        <v>75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258.14164</v>
      </c>
      <c r="E76" s="5">
        <v>11.722390000000001</v>
      </c>
      <c r="F76" s="5">
        <v>75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256.15795000000003</v>
      </c>
      <c r="E77" s="5">
        <v>11.72073</v>
      </c>
      <c r="F77" s="5">
        <v>75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258.35671000000002</v>
      </c>
      <c r="E78" s="5">
        <v>11.71827</v>
      </c>
      <c r="F78" s="5">
        <v>76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257.39809000000002</v>
      </c>
      <c r="E79" s="5">
        <v>11.681520000000001</v>
      </c>
      <c r="F79" s="5">
        <v>75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257.29852</v>
      </c>
      <c r="E80" s="5">
        <v>11.75765</v>
      </c>
      <c r="F80" s="5">
        <v>75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239.14332999999999</v>
      </c>
      <c r="E81" s="5">
        <v>30.1767</v>
      </c>
      <c r="F81" s="5">
        <v>192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239.26667</v>
      </c>
      <c r="E82" s="5">
        <v>30.188590000000001</v>
      </c>
      <c r="F82" s="5">
        <v>191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238.99373</v>
      </c>
      <c r="E83" s="5">
        <v>30.163060000000002</v>
      </c>
      <c r="F83" s="5">
        <v>190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238.97333</v>
      </c>
      <c r="E84" s="5">
        <v>30.155000000000001</v>
      </c>
      <c r="F84" s="5">
        <v>189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238.90333000000001</v>
      </c>
      <c r="E85" s="5">
        <v>30.2468</v>
      </c>
      <c r="F85" s="5">
        <v>191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238.77667</v>
      </c>
      <c r="E86" s="5">
        <v>30.225899999999999</v>
      </c>
      <c r="F86" s="5">
        <v>190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238.99872999999999</v>
      </c>
      <c r="E87" s="5">
        <v>30.1859</v>
      </c>
      <c r="F87" s="5">
        <v>190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238.96895000000001</v>
      </c>
      <c r="E88" s="5">
        <v>30.180209999999999</v>
      </c>
      <c r="F88" s="5">
        <v>190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239.13</v>
      </c>
      <c r="E89" s="5">
        <v>30.133510000000001</v>
      </c>
      <c r="F89" s="5">
        <v>191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239.01</v>
      </c>
      <c r="E90" s="5">
        <v>30.236820000000002</v>
      </c>
      <c r="F90" s="5">
        <v>191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0.58662999999999998</v>
      </c>
      <c r="F91" s="5">
        <v>56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0.58316000000000001</v>
      </c>
      <c r="F92" s="5">
        <v>51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0.58709</v>
      </c>
      <c r="F93" s="5">
        <v>56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0.58964000000000005</v>
      </c>
      <c r="F94" s="5">
        <v>57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0.58455999999999997</v>
      </c>
      <c r="F95" s="5">
        <v>56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0.58577999999999997</v>
      </c>
      <c r="F96" s="5">
        <v>48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0.58311000000000002</v>
      </c>
      <c r="F97" s="5">
        <v>55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0.58428999999999998</v>
      </c>
      <c r="F98" s="5">
        <v>56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0.58738000000000001</v>
      </c>
      <c r="F99" s="5">
        <v>56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0.58176000000000005</v>
      </c>
      <c r="F100" s="5">
        <v>56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0.73828000000000005</v>
      </c>
      <c r="F101" s="5">
        <v>65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0.75309999999999999</v>
      </c>
      <c r="F102" s="5">
        <v>68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0.73941000000000001</v>
      </c>
      <c r="F103" s="5">
        <v>72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0.73658000000000001</v>
      </c>
      <c r="F104" s="5">
        <v>72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0.73802999999999996</v>
      </c>
      <c r="F105" s="5">
        <v>73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0.73989000000000005</v>
      </c>
      <c r="F106" s="5">
        <v>72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0.74094000000000004</v>
      </c>
      <c r="F107" s="5">
        <v>74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0.74141999999999997</v>
      </c>
      <c r="F108" s="5">
        <v>66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0.74143999999999999</v>
      </c>
      <c r="F109" s="5">
        <v>74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0.74263000000000001</v>
      </c>
      <c r="F110" s="5">
        <v>73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1.27522</v>
      </c>
      <c r="F111" s="5">
        <v>109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1.2819199999999999</v>
      </c>
      <c r="F112" s="5">
        <v>119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1.28095</v>
      </c>
      <c r="F113" s="5">
        <v>119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1.274</v>
      </c>
      <c r="F114" s="5">
        <v>110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1.2743500000000001</v>
      </c>
      <c r="F115" s="5">
        <v>117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1.27739</v>
      </c>
      <c r="F116" s="5">
        <v>120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1.2801400000000001</v>
      </c>
      <c r="F117" s="5">
        <v>108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1.27488</v>
      </c>
      <c r="F118" s="5">
        <v>103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1.2766200000000001</v>
      </c>
      <c r="F119" s="5">
        <v>117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1.27948</v>
      </c>
      <c r="F120" s="5">
        <v>113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4348.0289499999999</v>
      </c>
      <c r="E121" s="5">
        <v>1.99542</v>
      </c>
      <c r="F121" s="5">
        <v>59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4348.0289499999999</v>
      </c>
      <c r="E122" s="5">
        <v>2.01274</v>
      </c>
      <c r="F122" s="5">
        <v>59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4348.0289499999999</v>
      </c>
      <c r="E123" s="5">
        <v>2.00257</v>
      </c>
      <c r="F123" s="5">
        <v>61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4348.0289499999999</v>
      </c>
      <c r="E124" s="5">
        <v>1.9953399999999999</v>
      </c>
      <c r="F124" s="5">
        <v>58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4348.0289499999999</v>
      </c>
      <c r="E125" s="5">
        <v>1.99749</v>
      </c>
      <c r="F125" s="5">
        <v>61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4348.0289499999999</v>
      </c>
      <c r="E126" s="5">
        <v>1.99261</v>
      </c>
      <c r="F126" s="5">
        <v>58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1.9983599999999999</v>
      </c>
      <c r="F127" s="5">
        <v>61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2.0195599999999998</v>
      </c>
      <c r="F128" s="5">
        <v>59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2.01633</v>
      </c>
      <c r="F129" s="5">
        <v>61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4348.0289499999999</v>
      </c>
      <c r="E130" s="5">
        <v>2.0180199999999999</v>
      </c>
      <c r="F130" s="5">
        <v>60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2.8875799999999998</v>
      </c>
      <c r="F131" s="5">
        <v>83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2.8647999999999998</v>
      </c>
      <c r="F132" s="5">
        <v>83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2.8727900000000002</v>
      </c>
      <c r="F133" s="5">
        <v>85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2.88822</v>
      </c>
      <c r="F134" s="5">
        <v>84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2.8785099999999999</v>
      </c>
      <c r="F135" s="5">
        <v>82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2.8891300000000002</v>
      </c>
      <c r="F136" s="5">
        <v>86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2.87914</v>
      </c>
      <c r="F137" s="5">
        <v>85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2.8753899999999999</v>
      </c>
      <c r="F138" s="5">
        <v>84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2.8924099999999999</v>
      </c>
      <c r="F139" s="5">
        <v>85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2.8772700000000002</v>
      </c>
      <c r="F140" s="5">
        <v>86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3.5386600000000001</v>
      </c>
      <c r="F141" s="5">
        <v>103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3.5377999999999998</v>
      </c>
      <c r="F142" s="5">
        <v>103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3.5234299999999998</v>
      </c>
      <c r="F143" s="5">
        <v>103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3.5268700000000002</v>
      </c>
      <c r="F144" s="5">
        <v>102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3.5151500000000002</v>
      </c>
      <c r="F145" s="5">
        <v>102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3.5340500000000001</v>
      </c>
      <c r="F146" s="5">
        <v>106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3.5173100000000002</v>
      </c>
      <c r="F147" s="5">
        <v>102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3.5177999999999998</v>
      </c>
      <c r="F148" s="5">
        <v>102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3.53098</v>
      </c>
      <c r="F149" s="5">
        <v>103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3.5149499999999998</v>
      </c>
      <c r="F150" s="5">
        <v>103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42986.802479999998</v>
      </c>
      <c r="E151" s="5">
        <v>4.8964499999999997</v>
      </c>
      <c r="F151" s="5">
        <v>34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42986.853589999999</v>
      </c>
      <c r="E152" s="5">
        <v>4.9736000000000002</v>
      </c>
      <c r="F152" s="5">
        <v>35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42986.45392</v>
      </c>
      <c r="E153" s="5">
        <v>4.9724899999999996</v>
      </c>
      <c r="F153" s="5">
        <v>35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42986.673049999998</v>
      </c>
      <c r="E154" s="5">
        <v>4.9954400000000003</v>
      </c>
      <c r="F154" s="5">
        <v>35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42986.802479999998</v>
      </c>
      <c r="E155" s="5">
        <v>4.9915599999999998</v>
      </c>
      <c r="F155" s="5">
        <v>35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42986.802479999998</v>
      </c>
      <c r="E156" s="5">
        <v>4.9923999999999999</v>
      </c>
      <c r="F156" s="5">
        <v>35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42987.644590000004</v>
      </c>
      <c r="E157" s="5">
        <v>4.9819100000000001</v>
      </c>
      <c r="F157" s="5">
        <v>35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42986.673049999998</v>
      </c>
      <c r="E158" s="5">
        <v>4.9635999999999996</v>
      </c>
      <c r="F158" s="5">
        <v>35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42986.853589999999</v>
      </c>
      <c r="E159" s="5">
        <v>5.0096499999999997</v>
      </c>
      <c r="F159" s="5">
        <v>35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42986.403050000001</v>
      </c>
      <c r="E160" s="5">
        <v>4.9722200000000001</v>
      </c>
      <c r="F160" s="5">
        <v>35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35690.644110000001</v>
      </c>
      <c r="E161" s="5">
        <v>12.7614</v>
      </c>
      <c r="F161" s="5">
        <v>84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35918.000220000002</v>
      </c>
      <c r="E162" s="5">
        <v>12.803380000000001</v>
      </c>
      <c r="F162" s="5">
        <v>84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35804.185279999998</v>
      </c>
      <c r="E163" s="5">
        <v>12.724919999999999</v>
      </c>
      <c r="F163" s="5">
        <v>83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35687.224730000002</v>
      </c>
      <c r="E164" s="5">
        <v>12.7118</v>
      </c>
      <c r="F164" s="5">
        <v>83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35495.412479999999</v>
      </c>
      <c r="E165" s="5">
        <v>12.73535</v>
      </c>
      <c r="F165" s="5">
        <v>83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35668.993900000001</v>
      </c>
      <c r="E166" s="5">
        <v>12.700699999999999</v>
      </c>
      <c r="F166" s="5">
        <v>83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35686.432699999998</v>
      </c>
      <c r="E167" s="5">
        <v>12.80799</v>
      </c>
      <c r="F167" s="5">
        <v>84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35804.535880000003</v>
      </c>
      <c r="E168" s="5">
        <v>12.735720000000001</v>
      </c>
      <c r="F168" s="5">
        <v>83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35639.954189999997</v>
      </c>
      <c r="E169" s="5">
        <v>12.733079999999999</v>
      </c>
      <c r="F169" s="5">
        <v>83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35736.306170000003</v>
      </c>
      <c r="E170" s="5">
        <v>12.81747</v>
      </c>
      <c r="F170" s="5">
        <v>84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35318.749100000001</v>
      </c>
      <c r="E171" s="5">
        <v>28.489350000000002</v>
      </c>
      <c r="F171" s="5">
        <v>190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35276.580329999997</v>
      </c>
      <c r="E172" s="5">
        <v>28.598749999999999</v>
      </c>
      <c r="F172" s="5">
        <v>191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35237.773330000004</v>
      </c>
      <c r="E173" s="5">
        <v>28.503720000000001</v>
      </c>
      <c r="F173" s="5">
        <v>194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35344.786670000001</v>
      </c>
      <c r="E174" s="5">
        <v>28.510190000000001</v>
      </c>
      <c r="F174" s="5">
        <v>191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35222.069259999997</v>
      </c>
      <c r="E175" s="5">
        <v>28.56221</v>
      </c>
      <c r="F175" s="5">
        <v>191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35272.226669999996</v>
      </c>
      <c r="E176" s="5">
        <v>28.533829999999998</v>
      </c>
      <c r="F176" s="5">
        <v>190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35274.966610000003</v>
      </c>
      <c r="E177" s="5">
        <v>28.53143</v>
      </c>
      <c r="F177" s="5">
        <v>195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35244.156669999997</v>
      </c>
      <c r="E178" s="5">
        <v>28.483640000000001</v>
      </c>
      <c r="F178" s="5">
        <v>189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35358.163330000003</v>
      </c>
      <c r="E179" s="5">
        <v>28.529240000000001</v>
      </c>
      <c r="F179" s="5">
        <v>190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35299.4</v>
      </c>
      <c r="E180" s="5">
        <v>28.49661</v>
      </c>
      <c r="F180" s="5">
        <v>197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0.73092999999999997</v>
      </c>
      <c r="F181" s="5">
        <v>44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0.74102999999999997</v>
      </c>
      <c r="F182" s="5">
        <v>42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0.73153999999999997</v>
      </c>
      <c r="F183" s="5">
        <v>47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0.73136000000000001</v>
      </c>
      <c r="F184" s="5">
        <v>47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0.74151999999999996</v>
      </c>
      <c r="F185" s="5">
        <v>48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0.73365999999999998</v>
      </c>
      <c r="F186" s="5">
        <v>47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0.74324000000000001</v>
      </c>
      <c r="F187" s="5">
        <v>46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0.73168</v>
      </c>
      <c r="F188" s="5">
        <v>47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0.73273999999999995</v>
      </c>
      <c r="F189" s="5">
        <v>48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0.73323000000000005</v>
      </c>
      <c r="F190" s="5">
        <v>47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675.36989000000005</v>
      </c>
      <c r="E191" s="5">
        <v>1.14096</v>
      </c>
      <c r="F191" s="5">
        <v>70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675.36989000000005</v>
      </c>
      <c r="E192" s="5">
        <v>1.1473</v>
      </c>
      <c r="F192" s="5">
        <v>75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675.36989000000005</v>
      </c>
      <c r="E193" s="5">
        <v>1.1357900000000001</v>
      </c>
      <c r="F193" s="5">
        <v>74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675.36989000000005</v>
      </c>
      <c r="E194" s="5">
        <v>1.13826</v>
      </c>
      <c r="F194" s="5">
        <v>74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675.36989000000005</v>
      </c>
      <c r="E195" s="5">
        <v>1.1390800000000001</v>
      </c>
      <c r="F195" s="5">
        <v>72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675.36989000000005</v>
      </c>
      <c r="E196" s="5">
        <v>1.14194</v>
      </c>
      <c r="F196" s="5">
        <v>74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675.36989000000005</v>
      </c>
      <c r="E197" s="5">
        <v>1.1364099999999999</v>
      </c>
      <c r="F197" s="5">
        <v>73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675.36989000000005</v>
      </c>
      <c r="E198" s="5">
        <v>1.13937</v>
      </c>
      <c r="F198" s="5">
        <v>72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675.36989000000005</v>
      </c>
      <c r="E199" s="5">
        <v>1.14771</v>
      </c>
      <c r="F199" s="5">
        <v>69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677.39407000000006</v>
      </c>
      <c r="E200" s="5">
        <v>1.14503</v>
      </c>
      <c r="F200" s="5">
        <v>74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655.43295999999998</v>
      </c>
      <c r="E201" s="5">
        <v>2.07301</v>
      </c>
      <c r="F201" s="5">
        <v>128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656.34204</v>
      </c>
      <c r="E202" s="5">
        <v>2.0775399999999999</v>
      </c>
      <c r="F202" s="5">
        <v>132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656.34204</v>
      </c>
      <c r="E203" s="5">
        <v>2.07125</v>
      </c>
      <c r="F203" s="5">
        <v>131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656.34204</v>
      </c>
      <c r="E204" s="5">
        <v>2.0766</v>
      </c>
      <c r="F204" s="5">
        <v>135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657.41200000000003</v>
      </c>
      <c r="E205" s="5">
        <v>2.0737899999999998</v>
      </c>
      <c r="F205" s="5">
        <v>129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655.43907999999999</v>
      </c>
      <c r="E206" s="5">
        <v>2.0693199999999998</v>
      </c>
      <c r="F206" s="5">
        <v>131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655.46475999999996</v>
      </c>
      <c r="E207" s="5">
        <v>2.0687700000000002</v>
      </c>
      <c r="F207" s="5">
        <v>125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656.16833999999994</v>
      </c>
      <c r="E208" s="5">
        <v>2.0784799999999999</v>
      </c>
      <c r="F208" s="5">
        <v>132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655.43295999999998</v>
      </c>
      <c r="E209" s="5">
        <v>2.07694</v>
      </c>
      <c r="F209" s="5">
        <v>129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655.43295999999998</v>
      </c>
      <c r="E210" s="5">
        <v>2.07376</v>
      </c>
      <c r="F210" s="5">
        <v>133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1460.0209400000001</v>
      </c>
      <c r="E211" s="5">
        <v>1.58738</v>
      </c>
      <c r="F211" s="5">
        <v>46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1459.9687899999999</v>
      </c>
      <c r="E212" s="5">
        <v>1.59372</v>
      </c>
      <c r="F212" s="5">
        <v>47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1459.9687899999999</v>
      </c>
      <c r="E213" s="5">
        <v>1.5870899999999999</v>
      </c>
      <c r="F213" s="5">
        <v>45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1459.9687899999999</v>
      </c>
      <c r="E214" s="5">
        <v>1.5955299999999999</v>
      </c>
      <c r="F214" s="5">
        <v>47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1459.9687899999999</v>
      </c>
      <c r="E215" s="5">
        <v>1.5867599999999999</v>
      </c>
      <c r="F215" s="5">
        <v>44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1459.9687899999999</v>
      </c>
      <c r="E216" s="5">
        <v>1.59935</v>
      </c>
      <c r="F216" s="5">
        <v>47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1459.9687899999999</v>
      </c>
      <c r="E217" s="5">
        <v>1.59531</v>
      </c>
      <c r="F217" s="5">
        <v>47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1459.9687899999999</v>
      </c>
      <c r="E218" s="5">
        <v>1.58772</v>
      </c>
      <c r="F218" s="5">
        <v>44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1459.9687899999999</v>
      </c>
      <c r="E219" s="5">
        <v>1.61138</v>
      </c>
      <c r="F219" s="5">
        <v>47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1459.9687899999999</v>
      </c>
      <c r="E220" s="5">
        <v>1.5948800000000001</v>
      </c>
      <c r="F220" s="5">
        <v>45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1011.31352</v>
      </c>
      <c r="E221" s="5">
        <v>4.5690299999999997</v>
      </c>
      <c r="F221" s="5">
        <v>129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1015.0622100000001</v>
      </c>
      <c r="E222" s="5">
        <v>4.5463300000000002</v>
      </c>
      <c r="F222" s="5">
        <v>130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1006.18339</v>
      </c>
      <c r="E223" s="5">
        <v>4.5501199999999997</v>
      </c>
      <c r="F223" s="5">
        <v>130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1010.38572</v>
      </c>
      <c r="E224" s="5">
        <v>4.5588899999999999</v>
      </c>
      <c r="F224" s="5">
        <v>130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1010.24392</v>
      </c>
      <c r="E225" s="5">
        <v>4.56412</v>
      </c>
      <c r="F225" s="5">
        <v>133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1010.23572</v>
      </c>
      <c r="E226" s="5">
        <v>4.5462699999999998</v>
      </c>
      <c r="F226" s="5">
        <v>131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1015.68373</v>
      </c>
      <c r="E227" s="5">
        <v>4.5422200000000004</v>
      </c>
      <c r="F227" s="5">
        <v>130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1012.31</v>
      </c>
      <c r="E228" s="5">
        <v>4.5478699999999996</v>
      </c>
      <c r="F228" s="5">
        <v>130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1010.60691</v>
      </c>
      <c r="E229" s="5">
        <v>4.56325</v>
      </c>
      <c r="F229" s="5">
        <v>131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1014.60751</v>
      </c>
      <c r="E230" s="5">
        <v>4.5476299999999998</v>
      </c>
      <c r="F230" s="5">
        <v>130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994.10247000000004</v>
      </c>
      <c r="E231" s="5">
        <v>8.4068000000000005</v>
      </c>
      <c r="F231" s="5">
        <v>237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1005.33628</v>
      </c>
      <c r="E232" s="5">
        <v>8.4133399999999998</v>
      </c>
      <c r="F232" s="5">
        <v>234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995.74837000000002</v>
      </c>
      <c r="E233" s="5">
        <v>8.3973099999999992</v>
      </c>
      <c r="F233" s="5">
        <v>238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1000.26507</v>
      </c>
      <c r="E234" s="5">
        <v>8.3992699999999996</v>
      </c>
      <c r="F234" s="5">
        <v>236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996.28309000000002</v>
      </c>
      <c r="E235" s="5">
        <v>8.3863299999999992</v>
      </c>
      <c r="F235" s="5">
        <v>234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995.14795000000004</v>
      </c>
      <c r="E236" s="5">
        <v>8.4075299999999995</v>
      </c>
      <c r="F236" s="5">
        <v>238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991.86791000000005</v>
      </c>
      <c r="E237" s="5">
        <v>8.4030199999999997</v>
      </c>
      <c r="F237" s="5">
        <v>234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994.23508000000004</v>
      </c>
      <c r="E238" s="5">
        <v>8.4137299999999993</v>
      </c>
      <c r="F238" s="5">
        <v>236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995.94803000000002</v>
      </c>
      <c r="E239" s="5">
        <v>8.4105500000000006</v>
      </c>
      <c r="F239" s="5">
        <v>236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1001.71937</v>
      </c>
      <c r="E240" s="5">
        <v>8.3904800000000002</v>
      </c>
      <c r="F240" s="5">
        <v>236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1872.70416</v>
      </c>
      <c r="E241" s="5">
        <v>5.1230500000000001</v>
      </c>
      <c r="F241" s="5">
        <v>39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1852.7167099999999</v>
      </c>
      <c r="E242" s="5">
        <v>5.0621700000000001</v>
      </c>
      <c r="F242" s="5">
        <v>39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1833.26241</v>
      </c>
      <c r="E243" s="5">
        <v>5.1120700000000001</v>
      </c>
      <c r="F243" s="5">
        <v>39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1836.71497</v>
      </c>
      <c r="E244" s="5">
        <v>5.1360400000000004</v>
      </c>
      <c r="F244" s="5">
        <v>39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1858.6655699999999</v>
      </c>
      <c r="E245" s="5">
        <v>5.1039700000000003</v>
      </c>
      <c r="F245" s="5">
        <v>39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1824.57428</v>
      </c>
      <c r="E246" s="5">
        <v>5.1036000000000001</v>
      </c>
      <c r="F246" s="5">
        <v>39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1863.02647</v>
      </c>
      <c r="E247" s="5">
        <v>5.0819000000000001</v>
      </c>
      <c r="F247" s="5">
        <v>39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1848.5999899999999</v>
      </c>
      <c r="E248" s="5">
        <v>5.1614599999999999</v>
      </c>
      <c r="F248" s="5">
        <v>39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1841.0626600000001</v>
      </c>
      <c r="E249" s="5">
        <v>5.08249</v>
      </c>
      <c r="F249" s="5">
        <v>39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1835.96677</v>
      </c>
      <c r="E250" s="5">
        <v>5.0857999999999999</v>
      </c>
      <c r="F250" s="5">
        <v>39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1788.8150000000001</v>
      </c>
      <c r="E251" s="5">
        <v>9.4511900000000004</v>
      </c>
      <c r="F251" s="5">
        <v>70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1779.0004300000001</v>
      </c>
      <c r="E252" s="5">
        <v>9.4846199999999996</v>
      </c>
      <c r="F252" s="5">
        <v>70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1792.68941</v>
      </c>
      <c r="E253" s="5">
        <v>9.3778100000000002</v>
      </c>
      <c r="F253" s="5">
        <v>70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1782.26938</v>
      </c>
      <c r="E254" s="5">
        <v>9.4222000000000001</v>
      </c>
      <c r="F254" s="5">
        <v>70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1782.7465199999999</v>
      </c>
      <c r="E255" s="5">
        <v>9.4181299999999997</v>
      </c>
      <c r="F255" s="5">
        <v>70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1790.75</v>
      </c>
      <c r="E256" s="5">
        <v>9.3792899999999992</v>
      </c>
      <c r="F256" s="5">
        <v>70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1798.54756</v>
      </c>
      <c r="E257" s="5">
        <v>9.3705499999999997</v>
      </c>
      <c r="F257" s="5">
        <v>69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1784.2723900000001</v>
      </c>
      <c r="E258" s="5">
        <v>9.38049</v>
      </c>
      <c r="F258" s="5">
        <v>70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1793.42482</v>
      </c>
      <c r="E259" s="5">
        <v>9.4395399999999992</v>
      </c>
      <c r="F259" s="5">
        <v>70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1774.1693499999999</v>
      </c>
      <c r="E260" s="5">
        <v>9.4242399999999993</v>
      </c>
      <c r="F260" s="5">
        <v>70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1755.80333</v>
      </c>
      <c r="E261" s="5">
        <v>15.364710000000001</v>
      </c>
      <c r="F261" s="5">
        <v>114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1755.0952</v>
      </c>
      <c r="E262" s="5">
        <v>15.40535</v>
      </c>
      <c r="F262" s="5">
        <v>114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1757.09</v>
      </c>
      <c r="E263" s="5">
        <v>15.33527</v>
      </c>
      <c r="F263" s="5">
        <v>112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1756.2361699999999</v>
      </c>
      <c r="E264" s="5">
        <v>15.41067</v>
      </c>
      <c r="F264" s="5">
        <v>114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1756.9823899999999</v>
      </c>
      <c r="E265" s="5">
        <v>15.383979999999999</v>
      </c>
      <c r="F265" s="5">
        <v>115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1753.6437100000001</v>
      </c>
      <c r="E266" s="5">
        <v>15.37664</v>
      </c>
      <c r="F266" s="5">
        <v>116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1756.49333</v>
      </c>
      <c r="E267" s="5">
        <v>15.38076</v>
      </c>
      <c r="F267" s="5">
        <v>115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1758.16</v>
      </c>
      <c r="E268" s="5">
        <v>15.43765</v>
      </c>
      <c r="F268" s="5">
        <v>115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1756.65</v>
      </c>
      <c r="E269" s="5">
        <v>15.38635</v>
      </c>
      <c r="F269" s="5">
        <v>115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1756.9015400000001</v>
      </c>
      <c r="E270" s="5">
        <v>15.425879999999999</v>
      </c>
      <c r="F270" s="5">
        <v>114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41.318849999999998</v>
      </c>
      <c r="E271" s="5">
        <v>0.60289999999999999</v>
      </c>
      <c r="F271" s="5">
        <v>46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41.318849999999998</v>
      </c>
      <c r="E272" s="5">
        <v>0.59333000000000002</v>
      </c>
      <c r="F272" s="5">
        <v>44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41.318849999999998</v>
      </c>
      <c r="E273" s="5">
        <v>0.59118000000000004</v>
      </c>
      <c r="F273" s="5">
        <v>48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40.897550000000003</v>
      </c>
      <c r="E274" s="5">
        <v>0.59341999999999995</v>
      </c>
      <c r="F274" s="5">
        <v>49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41.318849999999998</v>
      </c>
      <c r="E275" s="5">
        <v>0.58980999999999995</v>
      </c>
      <c r="F275" s="5">
        <v>48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42.424349999999997</v>
      </c>
      <c r="E276" s="5">
        <v>0.58901000000000003</v>
      </c>
      <c r="F276" s="5">
        <v>48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41.318849999999998</v>
      </c>
      <c r="E277" s="5">
        <v>0.59357000000000004</v>
      </c>
      <c r="F277" s="5">
        <v>49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41.318849999999998</v>
      </c>
      <c r="E278" s="5">
        <v>0.59087000000000001</v>
      </c>
      <c r="F278" s="5">
        <v>41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41.318849999999998</v>
      </c>
      <c r="E279" s="5">
        <v>0.59397999999999995</v>
      </c>
      <c r="F279" s="5">
        <v>49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41.318849999999998</v>
      </c>
      <c r="E280" s="5">
        <v>0.59136</v>
      </c>
      <c r="F280" s="5">
        <v>49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0.87865000000000004</v>
      </c>
      <c r="F281" s="5">
        <v>59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0.87483999999999995</v>
      </c>
      <c r="F282" s="5">
        <v>76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28.65436</v>
      </c>
      <c r="E283" s="5">
        <v>0.87600999999999996</v>
      </c>
      <c r="F283" s="5">
        <v>76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0.88182000000000005</v>
      </c>
      <c r="F284" s="5">
        <v>75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0.88051999999999997</v>
      </c>
      <c r="F285" s="5">
        <v>76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28.65436</v>
      </c>
      <c r="E286" s="5">
        <v>0.87988</v>
      </c>
      <c r="F286" s="5">
        <v>71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28.65436</v>
      </c>
      <c r="E287" s="5">
        <v>0.87707999999999997</v>
      </c>
      <c r="F287" s="5">
        <v>76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0.88154999999999994</v>
      </c>
      <c r="F288" s="5">
        <v>76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28.65436</v>
      </c>
      <c r="E289" s="5">
        <v>0.87660000000000005</v>
      </c>
      <c r="F289" s="5">
        <v>78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0.87739999999999996</v>
      </c>
      <c r="F290" s="5">
        <v>72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28.592030000000001</v>
      </c>
      <c r="E291" s="5">
        <v>1.13595</v>
      </c>
      <c r="F291" s="5">
        <v>92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28.554099999999998</v>
      </c>
      <c r="E292" s="5">
        <v>1.1336599999999999</v>
      </c>
      <c r="F292" s="5">
        <v>91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28.592030000000001</v>
      </c>
      <c r="E293" s="5">
        <v>1.1392800000000001</v>
      </c>
      <c r="F293" s="5">
        <v>87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28.592030000000001</v>
      </c>
      <c r="E294" s="5">
        <v>1.1333200000000001</v>
      </c>
      <c r="F294" s="5">
        <v>94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28.592030000000001</v>
      </c>
      <c r="E295" s="5">
        <v>1.1317699999999999</v>
      </c>
      <c r="F295" s="5">
        <v>94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28.592030000000001</v>
      </c>
      <c r="E296" s="5">
        <v>1.1332599999999999</v>
      </c>
      <c r="F296" s="5">
        <v>94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28.60624</v>
      </c>
      <c r="E297" s="5">
        <v>1.13608</v>
      </c>
      <c r="F297" s="5">
        <v>89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28.546240000000001</v>
      </c>
      <c r="E298" s="5">
        <v>1.13446</v>
      </c>
      <c r="F298" s="5">
        <v>95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28.592030000000001</v>
      </c>
      <c r="E299" s="5">
        <v>1.1341600000000001</v>
      </c>
      <c r="F299" s="5">
        <v>94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28.504100000000001</v>
      </c>
      <c r="E300" s="5">
        <v>1.1326099999999999</v>
      </c>
      <c r="F300" s="5">
        <v>87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58.772329999999997</v>
      </c>
      <c r="E301" s="5">
        <v>1.93241</v>
      </c>
      <c r="F301" s="5">
        <v>54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56.901339999999998</v>
      </c>
      <c r="E302" s="5">
        <v>1.9303999999999999</v>
      </c>
      <c r="F302" s="5">
        <v>53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59.096179999999997</v>
      </c>
      <c r="E303" s="5">
        <v>1.94916</v>
      </c>
      <c r="F303" s="5">
        <v>56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56.521659999999997</v>
      </c>
      <c r="E304" s="5">
        <v>1.9458899999999999</v>
      </c>
      <c r="F304" s="5">
        <v>53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58.967329999999997</v>
      </c>
      <c r="E305" s="5">
        <v>1.9327000000000001</v>
      </c>
      <c r="F305" s="5">
        <v>55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58.784439999999996</v>
      </c>
      <c r="E306" s="5">
        <v>1.94801</v>
      </c>
      <c r="F306" s="5">
        <v>53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57.80733</v>
      </c>
      <c r="E307" s="5">
        <v>1.93642</v>
      </c>
      <c r="F307" s="5">
        <v>55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58.942329999999998</v>
      </c>
      <c r="E308" s="5">
        <v>1.9214</v>
      </c>
      <c r="F308" s="5">
        <v>52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59.072330000000001</v>
      </c>
      <c r="E309" s="5">
        <v>1.92428</v>
      </c>
      <c r="F309" s="5">
        <v>55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58.707320000000003</v>
      </c>
      <c r="E310" s="5">
        <v>1.94028</v>
      </c>
      <c r="F310" s="5">
        <v>54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53.598730000000003</v>
      </c>
      <c r="E311" s="5">
        <v>3.76241</v>
      </c>
      <c r="F311" s="5">
        <v>102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53.638399999999997</v>
      </c>
      <c r="E312" s="5">
        <v>3.76946</v>
      </c>
      <c r="F312" s="5">
        <v>104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53.475070000000002</v>
      </c>
      <c r="E313" s="5">
        <v>3.75034</v>
      </c>
      <c r="F313" s="5">
        <v>103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53.215069999999997</v>
      </c>
      <c r="E314" s="5">
        <v>3.7591999999999999</v>
      </c>
      <c r="F314" s="5">
        <v>103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53.642659999999999</v>
      </c>
      <c r="E315" s="5">
        <v>3.7517999999999998</v>
      </c>
      <c r="F315" s="5">
        <v>102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53.492660000000001</v>
      </c>
      <c r="E316" s="5">
        <v>3.7754699999999999</v>
      </c>
      <c r="F316" s="5">
        <v>104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53.752749999999999</v>
      </c>
      <c r="E317" s="5">
        <v>3.75257</v>
      </c>
      <c r="F317" s="5">
        <v>102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53.534979999999997</v>
      </c>
      <c r="E318" s="5">
        <v>3.77732</v>
      </c>
      <c r="F318" s="5">
        <v>104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53.492660000000001</v>
      </c>
      <c r="E319" s="5">
        <v>3.7757900000000002</v>
      </c>
      <c r="F319" s="5">
        <v>105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53.692749999999997</v>
      </c>
      <c r="E320" s="5">
        <v>3.76295</v>
      </c>
      <c r="F320" s="5">
        <v>102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53.037489999999998</v>
      </c>
      <c r="E321" s="5">
        <v>6.0748199999999999</v>
      </c>
      <c r="F321" s="5">
        <v>159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53.097490000000001</v>
      </c>
      <c r="E322" s="5">
        <v>6.0836600000000001</v>
      </c>
      <c r="F322" s="5">
        <v>161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53.118769999999998</v>
      </c>
      <c r="E323" s="5">
        <v>6.0860200000000004</v>
      </c>
      <c r="F323" s="5">
        <v>161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53.237490000000001</v>
      </c>
      <c r="E324" s="5">
        <v>6.0961699999999999</v>
      </c>
      <c r="F324" s="5">
        <v>161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53.307490000000001</v>
      </c>
      <c r="E325" s="5">
        <v>6.0891500000000001</v>
      </c>
      <c r="F325" s="5">
        <v>161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53.222499999999997</v>
      </c>
      <c r="E326" s="5">
        <v>6.10806</v>
      </c>
      <c r="F326" s="5">
        <v>162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53.237569999999998</v>
      </c>
      <c r="E327" s="5">
        <v>6.0803700000000003</v>
      </c>
      <c r="F327" s="5">
        <v>162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53.05885</v>
      </c>
      <c r="E328" s="5">
        <v>6.0790499999999996</v>
      </c>
      <c r="F328" s="5">
        <v>163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53.456000000000003</v>
      </c>
      <c r="E329" s="5">
        <v>6.09504</v>
      </c>
      <c r="F329" s="5">
        <v>158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53.497489999999999</v>
      </c>
      <c r="E330" s="5">
        <v>6.0890700000000004</v>
      </c>
      <c r="F330" s="5">
        <v>163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148.23964000000001</v>
      </c>
      <c r="E331" s="5">
        <v>7.0278799999999997</v>
      </c>
      <c r="F331" s="5">
        <v>52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148.25631000000001</v>
      </c>
      <c r="E332" s="5">
        <v>7.1297499999999996</v>
      </c>
      <c r="F332" s="5">
        <v>53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148.27479</v>
      </c>
      <c r="E333" s="5">
        <v>7.0673899999999996</v>
      </c>
      <c r="F333" s="5">
        <v>53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148.31895</v>
      </c>
      <c r="E334" s="5">
        <v>7.1334999999999997</v>
      </c>
      <c r="F334" s="5">
        <v>53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148.38964000000001</v>
      </c>
      <c r="E335" s="5">
        <v>7.1390099999999999</v>
      </c>
      <c r="F335" s="5">
        <v>53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148.27653000000001</v>
      </c>
      <c r="E336" s="5">
        <v>7.1177999999999999</v>
      </c>
      <c r="F336" s="5">
        <v>53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148.27902</v>
      </c>
      <c r="E337" s="5">
        <v>7.1064699999999998</v>
      </c>
      <c r="F337" s="5">
        <v>53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148.24069</v>
      </c>
      <c r="E338" s="5">
        <v>7.1034899999999999</v>
      </c>
      <c r="F338" s="5">
        <v>53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148.30234999999999</v>
      </c>
      <c r="E339" s="5">
        <v>7.1355399999999998</v>
      </c>
      <c r="F339" s="5">
        <v>53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148.28032999999999</v>
      </c>
      <c r="E340" s="5">
        <v>7.0505699999999996</v>
      </c>
      <c r="F340" s="5">
        <v>53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107.99433000000001</v>
      </c>
      <c r="E341" s="5">
        <v>16.823530000000002</v>
      </c>
      <c r="F341" s="5">
        <v>120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108.02663</v>
      </c>
      <c r="E342" s="5">
        <v>16.834420000000001</v>
      </c>
      <c r="F342" s="5">
        <v>120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108.4892</v>
      </c>
      <c r="E343" s="5">
        <v>16.839870000000001</v>
      </c>
      <c r="F343" s="5">
        <v>120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108.41766</v>
      </c>
      <c r="E344" s="5">
        <v>16.82967</v>
      </c>
      <c r="F344" s="5">
        <v>121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109.72105999999999</v>
      </c>
      <c r="E345" s="5">
        <v>16.86121</v>
      </c>
      <c r="F345" s="5">
        <v>120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108.31474</v>
      </c>
      <c r="E346" s="5">
        <v>16.796489999999999</v>
      </c>
      <c r="F346" s="5">
        <v>120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108.63363</v>
      </c>
      <c r="E347" s="5">
        <v>16.858720000000002</v>
      </c>
      <c r="F347" s="5">
        <v>120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108.52163</v>
      </c>
      <c r="E348" s="5">
        <v>16.81485</v>
      </c>
      <c r="F348" s="5">
        <v>121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108.07163</v>
      </c>
      <c r="E349" s="5">
        <v>16.84104</v>
      </c>
      <c r="F349" s="5">
        <v>121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108.42563</v>
      </c>
      <c r="E350" s="5">
        <v>16.847349999999999</v>
      </c>
      <c r="F350" s="5">
        <v>121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103.99502</v>
      </c>
      <c r="E351" s="5">
        <v>29.39358</v>
      </c>
      <c r="F351" s="5">
        <v>205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103.63496000000001</v>
      </c>
      <c r="E352" s="5">
        <v>29.35285</v>
      </c>
      <c r="F352" s="5">
        <v>205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103.92663</v>
      </c>
      <c r="E353" s="5">
        <v>29.421589999999998</v>
      </c>
      <c r="F353" s="5">
        <v>206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104.04170000000001</v>
      </c>
      <c r="E354" s="5">
        <v>29.37895</v>
      </c>
      <c r="F354" s="5">
        <v>202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103.94533</v>
      </c>
      <c r="E355" s="5">
        <v>29.406040000000001</v>
      </c>
      <c r="F355" s="5">
        <v>206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103.89247</v>
      </c>
      <c r="E356" s="5">
        <v>29.416519999999998</v>
      </c>
      <c r="F356" s="5">
        <v>206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104.12837</v>
      </c>
      <c r="E357" s="5">
        <v>29.370729999999998</v>
      </c>
      <c r="F357" s="5">
        <v>205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104.02003000000001</v>
      </c>
      <c r="E358" s="5">
        <v>29.35867</v>
      </c>
      <c r="F358" s="5">
        <v>205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103.98329</v>
      </c>
      <c r="E359" s="5">
        <v>29.43647</v>
      </c>
      <c r="F359" s="5">
        <v>205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103.93170000000001</v>
      </c>
      <c r="E360" s="5">
        <v>29.39828</v>
      </c>
      <c r="F360" s="5">
        <v>207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0.54162999999999994</v>
      </c>
      <c r="F361" s="5">
        <v>36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0.54935999999999996</v>
      </c>
      <c r="F362" s="5">
        <v>28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0.54327000000000003</v>
      </c>
      <c r="F363" s="5">
        <v>36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0.54596</v>
      </c>
      <c r="F364" s="5">
        <v>36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0.54335999999999995</v>
      </c>
      <c r="F365" s="5">
        <v>36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0.54642999999999997</v>
      </c>
      <c r="F366" s="5">
        <v>36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0.54688999999999999</v>
      </c>
      <c r="F367" s="5">
        <v>35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0.55054000000000003</v>
      </c>
      <c r="F368" s="5">
        <v>36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0.55144000000000004</v>
      </c>
      <c r="F369" s="5">
        <v>34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0.54720000000000002</v>
      </c>
      <c r="F370" s="5">
        <v>36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0.87289000000000005</v>
      </c>
      <c r="F371" s="5">
        <v>53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0.87385000000000002</v>
      </c>
      <c r="F372" s="5">
        <v>59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0.87838000000000005</v>
      </c>
      <c r="F373" s="5">
        <v>58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0.87682000000000004</v>
      </c>
      <c r="F374" s="5">
        <v>60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0.87519999999999998</v>
      </c>
      <c r="F375" s="5">
        <v>60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0.87461</v>
      </c>
      <c r="F376" s="5">
        <v>60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0.87729999999999997</v>
      </c>
      <c r="F377" s="5">
        <v>54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0.87934000000000001</v>
      </c>
      <c r="F378" s="5">
        <v>60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0.88278999999999996</v>
      </c>
      <c r="F379" s="5">
        <v>61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0.87578</v>
      </c>
      <c r="F380" s="5">
        <v>60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1.15019</v>
      </c>
      <c r="F381" s="5">
        <v>75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1.149</v>
      </c>
      <c r="F382" s="5">
        <v>78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1.1591100000000001</v>
      </c>
      <c r="F383" s="5">
        <v>79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1.15177</v>
      </c>
      <c r="F384" s="5">
        <v>74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1.15232</v>
      </c>
      <c r="F385" s="5">
        <v>77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1.1538999999999999</v>
      </c>
      <c r="F386" s="5">
        <v>78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1.1566099999999999</v>
      </c>
      <c r="F387" s="5">
        <v>72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1.1570199999999999</v>
      </c>
      <c r="F388" s="5">
        <v>78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1.1535</v>
      </c>
      <c r="F389" s="5">
        <v>77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1.1487499999999999</v>
      </c>
      <c r="F390" s="5">
        <v>77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1.11717</v>
      </c>
      <c r="F391" s="5">
        <v>24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1.1107400000000001</v>
      </c>
      <c r="F392" s="5">
        <v>24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1.14205</v>
      </c>
      <c r="F393" s="5">
        <v>25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1.12968</v>
      </c>
      <c r="F394" s="5">
        <v>25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1.13456</v>
      </c>
      <c r="F395" s="5">
        <v>25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1.1382399999999999</v>
      </c>
      <c r="F396" s="5">
        <v>24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1.1273500000000001</v>
      </c>
      <c r="F397" s="5">
        <v>25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1.13232</v>
      </c>
      <c r="F398" s="5">
        <v>25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1.11636</v>
      </c>
      <c r="F399" s="5">
        <v>23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1.1268199999999999</v>
      </c>
      <c r="F400" s="5">
        <v>25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2.4876999999999998</v>
      </c>
      <c r="F401" s="5">
        <v>52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2.5040300000000002</v>
      </c>
      <c r="F402" s="5">
        <v>53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2.5234800000000002</v>
      </c>
      <c r="F403" s="5">
        <v>54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2.5031699999999999</v>
      </c>
      <c r="F404" s="5">
        <v>53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2.4946299999999999</v>
      </c>
      <c r="F405" s="5">
        <v>54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2.4963500000000001</v>
      </c>
      <c r="F406" s="5">
        <v>53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2.49247</v>
      </c>
      <c r="F407" s="5">
        <v>52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2.5069400000000002</v>
      </c>
      <c r="F408" s="5">
        <v>54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2.51261</v>
      </c>
      <c r="F409" s="5">
        <v>52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2.4906000000000001</v>
      </c>
      <c r="F410" s="5">
        <v>54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2.7460800000000001</v>
      </c>
      <c r="F411" s="5">
        <v>57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2.74377</v>
      </c>
      <c r="F412" s="5">
        <v>58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2.7584499999999998</v>
      </c>
      <c r="F413" s="5">
        <v>57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2.7723900000000001</v>
      </c>
      <c r="F414" s="5">
        <v>58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2.7256200000000002</v>
      </c>
      <c r="F415" s="5">
        <v>58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2.73123</v>
      </c>
      <c r="F416" s="5">
        <v>57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2.7387299999999999</v>
      </c>
      <c r="F417" s="5">
        <v>58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2.7332100000000001</v>
      </c>
      <c r="F418" s="5">
        <v>57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2.7573699999999999</v>
      </c>
      <c r="F419" s="5">
        <v>57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2.7291400000000001</v>
      </c>
      <c r="F420" s="5">
        <v>58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3.0731999999999999</v>
      </c>
      <c r="F421" s="5">
        <v>24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3.0179299999999998</v>
      </c>
      <c r="F422" s="5">
        <v>24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3.0142799999999998</v>
      </c>
      <c r="F423" s="5">
        <v>24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3.03755</v>
      </c>
      <c r="F424" s="5">
        <v>24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3.0648</v>
      </c>
      <c r="F425" s="5">
        <v>24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3.0099800000000001</v>
      </c>
      <c r="F426" s="5">
        <v>24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3.0399400000000001</v>
      </c>
      <c r="F427" s="5">
        <v>24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3.0369299999999999</v>
      </c>
      <c r="F428" s="5">
        <v>24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3.0889899999999999</v>
      </c>
      <c r="F429" s="5">
        <v>24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3.0055000000000001</v>
      </c>
      <c r="F430" s="5">
        <v>24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3.8315800000000002</v>
      </c>
      <c r="F431" s="5">
        <v>23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3.78165</v>
      </c>
      <c r="F432" s="5">
        <v>27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3.8222</v>
      </c>
      <c r="F433" s="5">
        <v>30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3.8057300000000001</v>
      </c>
      <c r="F434" s="5">
        <v>30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3.8725200000000002</v>
      </c>
      <c r="F435" s="5">
        <v>30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3.86938</v>
      </c>
      <c r="F436" s="5">
        <v>30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3.8597999999999999</v>
      </c>
      <c r="F437" s="5">
        <v>30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3.8228300000000002</v>
      </c>
      <c r="F438" s="5">
        <v>30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3.8258000000000001</v>
      </c>
      <c r="F439" s="5">
        <v>30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3.82938</v>
      </c>
      <c r="F440" s="5">
        <v>30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5.4836499999999999</v>
      </c>
      <c r="F441" s="5">
        <v>36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5.5344899999999999</v>
      </c>
      <c r="F442" s="5">
        <v>38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5.5456500000000002</v>
      </c>
      <c r="F443" s="5">
        <v>38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5.4756799999999997</v>
      </c>
      <c r="F444" s="5">
        <v>37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5.5399399999999996</v>
      </c>
      <c r="F445" s="5">
        <v>38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5.5685000000000002</v>
      </c>
      <c r="F446" s="5">
        <v>38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5.4616199999999999</v>
      </c>
      <c r="F447" s="5">
        <v>36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5.6081099999999999</v>
      </c>
      <c r="F448" s="5">
        <v>37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5.5401999999999996</v>
      </c>
      <c r="F449" s="5">
        <v>38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5.5678000000000001</v>
      </c>
      <c r="F450" s="5">
        <v>37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0"/>
  <sheetViews>
    <sheetView zoomScale="85" zoomScaleNormal="85" workbookViewId="0">
      <selection activeCell="AA2" sqref="AA1:AM1048576"/>
    </sheetView>
  </sheetViews>
  <sheetFormatPr defaultRowHeight="15" x14ac:dyDescent="0.25"/>
  <cols>
    <col min="1" max="1" width="9" style="5"/>
    <col min="2" max="2" width="5.5" style="5" bestFit="1" customWidth="1"/>
    <col min="3" max="3" width="4.5" style="5" bestFit="1" customWidth="1"/>
    <col min="4" max="6" width="9" style="5"/>
    <col min="7" max="7" width="3.875" style="5" customWidth="1"/>
    <col min="8" max="8" width="12.125" style="5" bestFit="1" customWidth="1"/>
    <col min="9" max="9" width="5.5" style="5" bestFit="1" customWidth="1"/>
    <col min="10" max="10" width="4.5" style="5" bestFit="1" customWidth="1"/>
    <col min="11" max="11" width="5" style="5" customWidth="1"/>
    <col min="12" max="21" width="9" style="5"/>
    <col min="22" max="22" width="3.25" style="5" customWidth="1"/>
    <col min="23" max="23" width="9" style="5"/>
    <col min="24" max="24" width="3.5" style="5" customWidth="1"/>
    <col min="25" max="25" width="9" style="5"/>
    <col min="26" max="26" width="3.75" style="5" customWidth="1"/>
    <col min="27" max="27" width="3.5" style="5" customWidth="1"/>
    <col min="28" max="37" width="9" style="5"/>
    <col min="38" max="38" width="5.625" style="5" customWidth="1"/>
    <col min="39" max="16384" width="9" style="5"/>
  </cols>
  <sheetData>
    <row r="1" spans="1:39" x14ac:dyDescent="0.25">
      <c r="A1" s="5" t="s">
        <v>27</v>
      </c>
      <c r="B1" s="5">
        <v>30</v>
      </c>
      <c r="C1" s="5">
        <v>0.4</v>
      </c>
      <c r="D1" s="5">
        <v>237.17606000000001</v>
      </c>
      <c r="E1" s="5">
        <v>0.54917000000000005</v>
      </c>
      <c r="F1" s="5">
        <v>20</v>
      </c>
      <c r="H1" s="8" t="s">
        <v>14</v>
      </c>
      <c r="I1" s="8" t="s">
        <v>15</v>
      </c>
      <c r="J1" s="8" t="s">
        <v>10</v>
      </c>
      <c r="K1" s="2"/>
      <c r="L1" s="2">
        <v>1</v>
      </c>
      <c r="M1" s="2">
        <v>2</v>
      </c>
      <c r="N1" s="2">
        <v>3</v>
      </c>
      <c r="O1" s="2">
        <v>4</v>
      </c>
      <c r="P1" s="2">
        <v>5</v>
      </c>
      <c r="Q1" s="2">
        <v>6</v>
      </c>
      <c r="R1" s="2">
        <v>7</v>
      </c>
      <c r="S1" s="2">
        <v>8</v>
      </c>
      <c r="T1" s="2">
        <v>9</v>
      </c>
      <c r="U1" s="2">
        <v>10</v>
      </c>
      <c r="W1" s="2" t="s">
        <v>11</v>
      </c>
      <c r="X1" s="2"/>
      <c r="Y1" s="2" t="s">
        <v>9</v>
      </c>
      <c r="Z1" s="2"/>
      <c r="AM1" s="8" t="s">
        <v>13</v>
      </c>
    </row>
    <row r="2" spans="1:39" x14ac:dyDescent="0.25">
      <c r="A2" s="5" t="s">
        <v>27</v>
      </c>
      <c r="B2" s="5">
        <v>30</v>
      </c>
      <c r="C2" s="5">
        <v>0.4</v>
      </c>
      <c r="D2" s="5">
        <v>237.17606000000001</v>
      </c>
      <c r="E2" s="5">
        <v>0.54617000000000004</v>
      </c>
      <c r="F2" s="5">
        <v>18</v>
      </c>
      <c r="H2" s="5" t="s">
        <v>27</v>
      </c>
      <c r="I2" s="5">
        <v>30</v>
      </c>
      <c r="J2" s="5">
        <v>0.4</v>
      </c>
      <c r="L2" s="5">
        <f ca="1">INDIRECT("D"&amp;1+(ROW(D1)-1)*10+COLUMN(A1)-1)</f>
        <v>237.17606000000001</v>
      </c>
      <c r="M2" s="5">
        <f t="shared" ref="M2:U17" ca="1" si="0">INDIRECT("D"&amp;1+(ROW(E1)-1)*10+COLUMN(B1)-1)</f>
        <v>237.17606000000001</v>
      </c>
      <c r="N2" s="5">
        <f t="shared" ca="1" si="0"/>
        <v>237.17606000000001</v>
      </c>
      <c r="O2" s="5">
        <f t="shared" ca="1" si="0"/>
        <v>237.17606000000001</v>
      </c>
      <c r="P2" s="5">
        <f t="shared" ca="1" si="0"/>
        <v>237.17606000000001</v>
      </c>
      <c r="Q2" s="5">
        <f t="shared" ca="1" si="0"/>
        <v>237.17606000000001</v>
      </c>
      <c r="R2" s="5">
        <f t="shared" ca="1" si="0"/>
        <v>237.17606000000001</v>
      </c>
      <c r="S2" s="5">
        <f t="shared" ca="1" si="0"/>
        <v>237.17606000000001</v>
      </c>
      <c r="T2" s="5">
        <f t="shared" ca="1" si="0"/>
        <v>237.17606000000001</v>
      </c>
      <c r="U2" s="5">
        <f t="shared" ca="1" si="0"/>
        <v>237.17606000000001</v>
      </c>
      <c r="W2" s="5">
        <f ca="1">AVERAGE(L2:U2)</f>
        <v>237.17605999999995</v>
      </c>
      <c r="Y2" s="5">
        <f ca="1">Total!E2</f>
        <v>237.17606000000001</v>
      </c>
      <c r="AB2" s="5">
        <f t="shared" ref="AB2:AB46" ca="1" si="1">(L2-$Y2)/$Y2</f>
        <v>0</v>
      </c>
      <c r="AC2" s="5">
        <f t="shared" ref="AC2:AC46" ca="1" si="2">(M2-$Y2)/$Y2</f>
        <v>0</v>
      </c>
      <c r="AD2" s="5">
        <f t="shared" ref="AD2:AD46" ca="1" si="3">(N2-$Y2)/$Y2</f>
        <v>0</v>
      </c>
      <c r="AE2" s="5">
        <f t="shared" ref="AE2:AE46" ca="1" si="4">(O2-$Y2)/$Y2</f>
        <v>0</v>
      </c>
      <c r="AF2" s="5">
        <f t="shared" ref="AF2:AF46" ca="1" si="5">(P2-$Y2)/$Y2</f>
        <v>0</v>
      </c>
      <c r="AG2" s="5">
        <f t="shared" ref="AG2:AG46" ca="1" si="6">(Q2-$Y2)/$Y2</f>
        <v>0</v>
      </c>
      <c r="AH2" s="5">
        <f t="shared" ref="AH2:AH46" ca="1" si="7">(R2-$Y2)/$Y2</f>
        <v>0</v>
      </c>
      <c r="AI2" s="5">
        <f t="shared" ref="AI2:AI46" ca="1" si="8">(S2-$Y2)/$Y2</f>
        <v>0</v>
      </c>
      <c r="AJ2" s="5">
        <f t="shared" ref="AJ2:AJ46" ca="1" si="9">(T2-$Y2)/$Y2</f>
        <v>0</v>
      </c>
      <c r="AK2" s="5">
        <f t="shared" ref="AK2:AK46" ca="1" si="10">(U2-$Y2)/$Y2</f>
        <v>0</v>
      </c>
      <c r="AM2" s="5">
        <f ca="1">SUM(AB2:AK2)</f>
        <v>0</v>
      </c>
    </row>
    <row r="3" spans="1:39" x14ac:dyDescent="0.25">
      <c r="A3" s="5" t="s">
        <v>27</v>
      </c>
      <c r="B3" s="5">
        <v>30</v>
      </c>
      <c r="C3" s="5">
        <v>0.4</v>
      </c>
      <c r="D3" s="5">
        <v>237.17606000000001</v>
      </c>
      <c r="E3" s="5">
        <v>0.55037000000000003</v>
      </c>
      <c r="F3" s="5">
        <v>19</v>
      </c>
      <c r="H3" s="5" t="s">
        <v>27</v>
      </c>
      <c r="I3" s="5">
        <v>30</v>
      </c>
      <c r="J3" s="5">
        <v>0.7</v>
      </c>
      <c r="L3" s="5">
        <f t="shared" ref="L3:U41" ca="1" si="11">INDIRECT("D"&amp;1+(ROW(D2)-1)*10+COLUMN(A2)-1)</f>
        <v>170.35004000000001</v>
      </c>
      <c r="M3" s="5">
        <f t="shared" ca="1" si="0"/>
        <v>170.35004000000001</v>
      </c>
      <c r="N3" s="5">
        <f t="shared" ca="1" si="0"/>
        <v>170.35004000000001</v>
      </c>
      <c r="O3" s="5">
        <f t="shared" ca="1" si="0"/>
        <v>170.35004000000001</v>
      </c>
      <c r="P3" s="5">
        <f t="shared" ca="1" si="0"/>
        <v>170.35004000000001</v>
      </c>
      <c r="Q3" s="5">
        <f t="shared" ca="1" si="0"/>
        <v>170.35004000000001</v>
      </c>
      <c r="R3" s="5">
        <f t="shared" ca="1" si="0"/>
        <v>170.35004000000001</v>
      </c>
      <c r="S3" s="5">
        <f t="shared" ca="1" si="0"/>
        <v>170.35004000000001</v>
      </c>
      <c r="T3" s="5">
        <f t="shared" ca="1" si="0"/>
        <v>170.35004000000001</v>
      </c>
      <c r="U3" s="5">
        <f t="shared" ca="1" si="0"/>
        <v>170.35004000000001</v>
      </c>
      <c r="W3" s="5">
        <f t="shared" ref="W3:W46" ca="1" si="12">AVERAGE(L3:U3)</f>
        <v>170.35004000000001</v>
      </c>
      <c r="Y3" s="5">
        <f ca="1">Total!E3</f>
        <v>170.35004000000001</v>
      </c>
      <c r="AB3" s="5">
        <f t="shared" ca="1" si="1"/>
        <v>0</v>
      </c>
      <c r="AC3" s="5">
        <f t="shared" ca="1" si="2"/>
        <v>0</v>
      </c>
      <c r="AD3" s="5">
        <f t="shared" ca="1" si="3"/>
        <v>0</v>
      </c>
      <c r="AE3" s="5">
        <f t="shared" ca="1" si="4"/>
        <v>0</v>
      </c>
      <c r="AF3" s="5">
        <f t="shared" ca="1" si="5"/>
        <v>0</v>
      </c>
      <c r="AG3" s="5">
        <f t="shared" ca="1" si="6"/>
        <v>0</v>
      </c>
      <c r="AH3" s="5">
        <f t="shared" ca="1" si="7"/>
        <v>0</v>
      </c>
      <c r="AI3" s="5">
        <f t="shared" ca="1" si="8"/>
        <v>0</v>
      </c>
      <c r="AJ3" s="5">
        <f t="shared" ca="1" si="9"/>
        <v>0</v>
      </c>
      <c r="AK3" s="5">
        <f t="shared" ca="1" si="10"/>
        <v>0</v>
      </c>
      <c r="AM3" s="5">
        <f t="shared" ref="AM3:AM46" ca="1" si="13">SUM(AB3:AK3)</f>
        <v>0</v>
      </c>
    </row>
    <row r="4" spans="1:39" x14ac:dyDescent="0.25">
      <c r="A4" s="5" t="s">
        <v>27</v>
      </c>
      <c r="B4" s="5">
        <v>30</v>
      </c>
      <c r="C4" s="5">
        <v>0.4</v>
      </c>
      <c r="D4" s="5">
        <v>237.17606000000001</v>
      </c>
      <c r="E4" s="5">
        <v>0.54883000000000004</v>
      </c>
      <c r="F4" s="5">
        <v>20</v>
      </c>
      <c r="H4" s="5" t="s">
        <v>27</v>
      </c>
      <c r="I4" s="5">
        <v>30</v>
      </c>
      <c r="J4" s="5">
        <v>1</v>
      </c>
      <c r="L4" s="5">
        <f t="shared" ca="1" si="11"/>
        <v>156.12666999999999</v>
      </c>
      <c r="M4" s="5">
        <f t="shared" ca="1" si="0"/>
        <v>156.12666999999999</v>
      </c>
      <c r="N4" s="5">
        <f t="shared" ca="1" si="0"/>
        <v>156.12666999999999</v>
      </c>
      <c r="O4" s="5">
        <f t="shared" ca="1" si="0"/>
        <v>156.12666999999999</v>
      </c>
      <c r="P4" s="5">
        <f t="shared" ca="1" si="0"/>
        <v>156.12666999999999</v>
      </c>
      <c r="Q4" s="5">
        <f t="shared" ca="1" si="0"/>
        <v>156.12666999999999</v>
      </c>
      <c r="R4" s="5">
        <f t="shared" ca="1" si="0"/>
        <v>156.12666999999999</v>
      </c>
      <c r="S4" s="5">
        <f t="shared" ca="1" si="0"/>
        <v>156.12666999999999</v>
      </c>
      <c r="T4" s="5">
        <f t="shared" ca="1" si="0"/>
        <v>156.12666999999999</v>
      </c>
      <c r="U4" s="5">
        <f t="shared" ca="1" si="0"/>
        <v>156.12666999999999</v>
      </c>
      <c r="W4" s="5">
        <f t="shared" ca="1" si="12"/>
        <v>156.12667000000002</v>
      </c>
      <c r="Y4" s="5">
        <f ca="1">Total!E4</f>
        <v>156.12666999999999</v>
      </c>
      <c r="AB4" s="5">
        <f t="shared" ca="1" si="1"/>
        <v>0</v>
      </c>
      <c r="AC4" s="5">
        <f t="shared" ca="1" si="2"/>
        <v>0</v>
      </c>
      <c r="AD4" s="5">
        <f t="shared" ca="1" si="3"/>
        <v>0</v>
      </c>
      <c r="AE4" s="5">
        <f t="shared" ca="1" si="4"/>
        <v>0</v>
      </c>
      <c r="AF4" s="5">
        <f t="shared" ca="1" si="5"/>
        <v>0</v>
      </c>
      <c r="AG4" s="5">
        <f t="shared" ca="1" si="6"/>
        <v>0</v>
      </c>
      <c r="AH4" s="5">
        <f t="shared" ca="1" si="7"/>
        <v>0</v>
      </c>
      <c r="AI4" s="5">
        <f t="shared" ca="1" si="8"/>
        <v>0</v>
      </c>
      <c r="AJ4" s="5">
        <f t="shared" ca="1" si="9"/>
        <v>0</v>
      </c>
      <c r="AK4" s="5">
        <f t="shared" ca="1" si="10"/>
        <v>0</v>
      </c>
      <c r="AM4" s="5">
        <f t="shared" ca="1" si="13"/>
        <v>0</v>
      </c>
    </row>
    <row r="5" spans="1:39" x14ac:dyDescent="0.25">
      <c r="A5" s="5" t="s">
        <v>27</v>
      </c>
      <c r="B5" s="5">
        <v>30</v>
      </c>
      <c r="C5" s="5">
        <v>0.4</v>
      </c>
      <c r="D5" s="5">
        <v>237.17606000000001</v>
      </c>
      <c r="E5" s="5">
        <v>0.56123999999999996</v>
      </c>
      <c r="F5" s="5">
        <v>17</v>
      </c>
      <c r="H5" s="5" t="s">
        <v>27</v>
      </c>
      <c r="I5" s="5">
        <v>50</v>
      </c>
      <c r="J5" s="5">
        <v>0.4</v>
      </c>
      <c r="L5" s="5">
        <f t="shared" ca="1" si="11"/>
        <v>491.35005000000001</v>
      </c>
      <c r="M5" s="5">
        <f t="shared" ca="1" si="0"/>
        <v>491.35005000000001</v>
      </c>
      <c r="N5" s="5">
        <f t="shared" ca="1" si="0"/>
        <v>491.35005000000001</v>
      </c>
      <c r="O5" s="5">
        <f t="shared" ca="1" si="0"/>
        <v>491.35005000000001</v>
      </c>
      <c r="P5" s="5">
        <f t="shared" ca="1" si="0"/>
        <v>491.35005000000001</v>
      </c>
      <c r="Q5" s="5">
        <f t="shared" ca="1" si="0"/>
        <v>491.35005000000001</v>
      </c>
      <c r="R5" s="5">
        <f t="shared" ca="1" si="0"/>
        <v>491.35005000000001</v>
      </c>
      <c r="S5" s="5">
        <f t="shared" ca="1" si="0"/>
        <v>491.35005000000001</v>
      </c>
      <c r="T5" s="5">
        <f t="shared" ca="1" si="0"/>
        <v>491.35005000000001</v>
      </c>
      <c r="U5" s="5">
        <f t="shared" ca="1" si="0"/>
        <v>491.35005000000001</v>
      </c>
      <c r="W5" s="5">
        <f t="shared" ca="1" si="12"/>
        <v>491.35005000000001</v>
      </c>
      <c r="Y5" s="5">
        <f ca="1">Total!E5</f>
        <v>491.35005000000001</v>
      </c>
      <c r="AB5" s="5">
        <f t="shared" ca="1" si="1"/>
        <v>0</v>
      </c>
      <c r="AC5" s="5">
        <f t="shared" ca="1" si="2"/>
        <v>0</v>
      </c>
      <c r="AD5" s="5">
        <f t="shared" ca="1" si="3"/>
        <v>0</v>
      </c>
      <c r="AE5" s="5">
        <f t="shared" ca="1" si="4"/>
        <v>0</v>
      </c>
      <c r="AF5" s="5">
        <f t="shared" ca="1" si="5"/>
        <v>0</v>
      </c>
      <c r="AG5" s="5">
        <f t="shared" ca="1" si="6"/>
        <v>0</v>
      </c>
      <c r="AH5" s="5">
        <f t="shared" ca="1" si="7"/>
        <v>0</v>
      </c>
      <c r="AI5" s="5">
        <f t="shared" ca="1" si="8"/>
        <v>0</v>
      </c>
      <c r="AJ5" s="5">
        <f t="shared" ca="1" si="9"/>
        <v>0</v>
      </c>
      <c r="AK5" s="5">
        <f t="shared" ca="1" si="10"/>
        <v>0</v>
      </c>
      <c r="AM5" s="5">
        <f t="shared" ca="1" si="13"/>
        <v>0</v>
      </c>
    </row>
    <row r="6" spans="1:39" x14ac:dyDescent="0.25">
      <c r="A6" s="5" t="s">
        <v>27</v>
      </c>
      <c r="B6" s="5">
        <v>30</v>
      </c>
      <c r="C6" s="5">
        <v>0.4</v>
      </c>
      <c r="D6" s="5">
        <v>237.17606000000001</v>
      </c>
      <c r="E6" s="5">
        <v>0.56694999999999995</v>
      </c>
      <c r="F6" s="5">
        <v>21</v>
      </c>
      <c r="H6" s="5" t="s">
        <v>27</v>
      </c>
      <c r="I6" s="5">
        <v>50</v>
      </c>
      <c r="J6" s="5">
        <v>0.7</v>
      </c>
      <c r="L6" s="5">
        <f t="shared" ca="1" si="11"/>
        <v>203.32952</v>
      </c>
      <c r="M6" s="5">
        <f t="shared" ca="1" si="0"/>
        <v>203.32952</v>
      </c>
      <c r="N6" s="5">
        <f t="shared" ca="1" si="0"/>
        <v>203.32952</v>
      </c>
      <c r="O6" s="5">
        <f t="shared" ca="1" si="0"/>
        <v>203.32952</v>
      </c>
      <c r="P6" s="5">
        <f t="shared" ca="1" si="0"/>
        <v>203.32952</v>
      </c>
      <c r="Q6" s="5">
        <f t="shared" ca="1" si="0"/>
        <v>203.32952</v>
      </c>
      <c r="R6" s="5">
        <f t="shared" ca="1" si="0"/>
        <v>203.32952</v>
      </c>
      <c r="S6" s="5">
        <f t="shared" ca="1" si="0"/>
        <v>203.32952</v>
      </c>
      <c r="T6" s="5">
        <f t="shared" ca="1" si="0"/>
        <v>203.32952</v>
      </c>
      <c r="U6" s="5">
        <f t="shared" ca="1" si="0"/>
        <v>203.32952</v>
      </c>
      <c r="W6" s="5">
        <f t="shared" ca="1" si="12"/>
        <v>203.32952</v>
      </c>
      <c r="Y6" s="5">
        <f ca="1">Total!E6</f>
        <v>203.32952</v>
      </c>
      <c r="AB6" s="5">
        <f t="shared" ca="1" si="1"/>
        <v>0</v>
      </c>
      <c r="AC6" s="5">
        <f t="shared" ca="1" si="2"/>
        <v>0</v>
      </c>
      <c r="AD6" s="5">
        <f t="shared" ca="1" si="3"/>
        <v>0</v>
      </c>
      <c r="AE6" s="5">
        <f t="shared" ca="1" si="4"/>
        <v>0</v>
      </c>
      <c r="AF6" s="5">
        <f t="shared" ca="1" si="5"/>
        <v>0</v>
      </c>
      <c r="AG6" s="5">
        <f t="shared" ca="1" si="6"/>
        <v>0</v>
      </c>
      <c r="AH6" s="5">
        <f t="shared" ca="1" si="7"/>
        <v>0</v>
      </c>
      <c r="AI6" s="5">
        <f t="shared" ca="1" si="8"/>
        <v>0</v>
      </c>
      <c r="AJ6" s="5">
        <f t="shared" ca="1" si="9"/>
        <v>0</v>
      </c>
      <c r="AK6" s="5">
        <f t="shared" ca="1" si="10"/>
        <v>0</v>
      </c>
      <c r="AM6" s="5">
        <f t="shared" ca="1" si="13"/>
        <v>0</v>
      </c>
    </row>
    <row r="7" spans="1:39" x14ac:dyDescent="0.25">
      <c r="A7" s="5" t="s">
        <v>27</v>
      </c>
      <c r="B7" s="5">
        <v>30</v>
      </c>
      <c r="C7" s="5">
        <v>0.4</v>
      </c>
      <c r="D7" s="5">
        <v>237.17606000000001</v>
      </c>
      <c r="E7" s="5">
        <v>0.54901999999999995</v>
      </c>
      <c r="F7" s="5">
        <v>21</v>
      </c>
      <c r="H7" s="5" t="s">
        <v>27</v>
      </c>
      <c r="I7" s="5">
        <v>50</v>
      </c>
      <c r="J7" s="5">
        <v>1</v>
      </c>
      <c r="L7" s="5">
        <f t="shared" ca="1" si="11"/>
        <v>180.68769</v>
      </c>
      <c r="M7" s="5">
        <f t="shared" ca="1" si="0"/>
        <v>182.34583000000001</v>
      </c>
      <c r="N7" s="5">
        <f t="shared" ca="1" si="0"/>
        <v>182.34583000000001</v>
      </c>
      <c r="O7" s="5">
        <f t="shared" ca="1" si="0"/>
        <v>180.39138</v>
      </c>
      <c r="P7" s="5">
        <f t="shared" ca="1" si="0"/>
        <v>180.52</v>
      </c>
      <c r="Q7" s="5">
        <f t="shared" ca="1" si="0"/>
        <v>180.05332999999999</v>
      </c>
      <c r="R7" s="5">
        <f t="shared" ca="1" si="0"/>
        <v>181.92667</v>
      </c>
      <c r="S7" s="5">
        <f t="shared" ca="1" si="0"/>
        <v>182.34583000000001</v>
      </c>
      <c r="T7" s="5">
        <f t="shared" ca="1" si="0"/>
        <v>182.34583000000001</v>
      </c>
      <c r="U7" s="5">
        <f t="shared" ca="1" si="0"/>
        <v>181.5967</v>
      </c>
      <c r="W7" s="5">
        <f t="shared" ca="1" si="12"/>
        <v>181.45590900000002</v>
      </c>
      <c r="Y7" s="5">
        <f ca="1">Total!E7</f>
        <v>179.67332999999999</v>
      </c>
      <c r="AB7" s="5">
        <f t="shared" ca="1" si="1"/>
        <v>5.6455791185036231E-3</v>
      </c>
      <c r="AC7" s="5">
        <f t="shared" ca="1" si="2"/>
        <v>1.4874216446035779E-2</v>
      </c>
      <c r="AD7" s="5">
        <f t="shared" ca="1" si="3"/>
        <v>1.4874216446035779E-2</v>
      </c>
      <c r="AE7" s="5">
        <f t="shared" ca="1" si="4"/>
        <v>3.9964195019928954E-3</v>
      </c>
      <c r="AF7" s="5">
        <f t="shared" ca="1" si="5"/>
        <v>4.7122742145426777E-3</v>
      </c>
      <c r="AG7" s="5">
        <f t="shared" ca="1" si="6"/>
        <v>2.1149493917655754E-3</v>
      </c>
      <c r="AH7" s="5">
        <f t="shared" ca="1" si="7"/>
        <v>1.254131595379241E-2</v>
      </c>
      <c r="AI7" s="5">
        <f t="shared" ca="1" si="8"/>
        <v>1.4874216446035779E-2</v>
      </c>
      <c r="AJ7" s="5">
        <f t="shared" ca="1" si="9"/>
        <v>1.4874216446035779E-2</v>
      </c>
      <c r="AK7" s="5">
        <f t="shared" ca="1" si="10"/>
        <v>1.0704816346421618E-2</v>
      </c>
      <c r="AM7" s="5">
        <f t="shared" ca="1" si="13"/>
        <v>9.9212220311161906E-2</v>
      </c>
    </row>
    <row r="8" spans="1:39" x14ac:dyDescent="0.25">
      <c r="A8" s="5" t="s">
        <v>27</v>
      </c>
      <c r="B8" s="5">
        <v>30</v>
      </c>
      <c r="C8" s="5">
        <v>0.4</v>
      </c>
      <c r="D8" s="5">
        <v>237.17606000000001</v>
      </c>
      <c r="E8" s="5">
        <v>0.56454000000000004</v>
      </c>
      <c r="F8" s="5">
        <v>14</v>
      </c>
      <c r="H8" s="5" t="s">
        <v>27</v>
      </c>
      <c r="I8" s="5">
        <v>100</v>
      </c>
      <c r="J8" s="5">
        <v>0.4</v>
      </c>
      <c r="L8" s="5">
        <f t="shared" ca="1" si="11"/>
        <v>282.75520999999998</v>
      </c>
      <c r="M8" s="5">
        <f t="shared" ca="1" si="0"/>
        <v>282.75520999999998</v>
      </c>
      <c r="N8" s="5">
        <f t="shared" ca="1" si="0"/>
        <v>282.75520999999998</v>
      </c>
      <c r="O8" s="5">
        <f t="shared" ca="1" si="0"/>
        <v>282.75520999999998</v>
      </c>
      <c r="P8" s="5">
        <f t="shared" ca="1" si="0"/>
        <v>282.75520999999998</v>
      </c>
      <c r="Q8" s="5">
        <f t="shared" ca="1" si="0"/>
        <v>282.75520999999998</v>
      </c>
      <c r="R8" s="5">
        <f t="shared" ca="1" si="0"/>
        <v>282.75520999999998</v>
      </c>
      <c r="S8" s="5">
        <f t="shared" ca="1" si="0"/>
        <v>282.75520999999998</v>
      </c>
      <c r="T8" s="5">
        <f t="shared" ca="1" si="0"/>
        <v>282.75520999999998</v>
      </c>
      <c r="U8" s="5">
        <f t="shared" ca="1" si="0"/>
        <v>282.75520999999998</v>
      </c>
      <c r="W8" s="5">
        <f t="shared" ca="1" si="12"/>
        <v>282.75520999999992</v>
      </c>
      <c r="Y8" s="5">
        <f ca="1">Total!E8</f>
        <v>282.75520999999998</v>
      </c>
      <c r="AB8" s="5">
        <f t="shared" ca="1" si="1"/>
        <v>0</v>
      </c>
      <c r="AC8" s="5">
        <f t="shared" ca="1" si="2"/>
        <v>0</v>
      </c>
      <c r="AD8" s="5">
        <f t="shared" ca="1" si="3"/>
        <v>0</v>
      </c>
      <c r="AE8" s="5">
        <f t="shared" ca="1" si="4"/>
        <v>0</v>
      </c>
      <c r="AF8" s="5">
        <f t="shared" ca="1" si="5"/>
        <v>0</v>
      </c>
      <c r="AG8" s="5">
        <f t="shared" ca="1" si="6"/>
        <v>0</v>
      </c>
      <c r="AH8" s="5">
        <f t="shared" ca="1" si="7"/>
        <v>0</v>
      </c>
      <c r="AI8" s="5">
        <f t="shared" ca="1" si="8"/>
        <v>0</v>
      </c>
      <c r="AJ8" s="5">
        <f t="shared" ca="1" si="9"/>
        <v>0</v>
      </c>
      <c r="AK8" s="5">
        <f t="shared" ca="1" si="10"/>
        <v>0</v>
      </c>
      <c r="AM8" s="5">
        <f t="shared" ca="1" si="13"/>
        <v>0</v>
      </c>
    </row>
    <row r="9" spans="1:39" x14ac:dyDescent="0.25">
      <c r="A9" s="5" t="s">
        <v>27</v>
      </c>
      <c r="B9" s="5">
        <v>30</v>
      </c>
      <c r="C9" s="5">
        <v>0.4</v>
      </c>
      <c r="D9" s="5">
        <v>237.17606000000001</v>
      </c>
      <c r="E9" s="5">
        <v>0.57094999999999996</v>
      </c>
      <c r="F9" s="5">
        <v>21</v>
      </c>
      <c r="H9" s="5" t="s">
        <v>27</v>
      </c>
      <c r="I9" s="5">
        <v>100</v>
      </c>
      <c r="J9" s="5">
        <v>0.7</v>
      </c>
      <c r="L9" s="5">
        <f t="shared" ca="1" si="11"/>
        <v>258.87831</v>
      </c>
      <c r="M9" s="5">
        <f t="shared" ca="1" si="0"/>
        <v>259.85129000000001</v>
      </c>
      <c r="N9" s="5">
        <f t="shared" ca="1" si="0"/>
        <v>256.30493999999999</v>
      </c>
      <c r="O9" s="5">
        <f t="shared" ca="1" si="0"/>
        <v>258.33494000000002</v>
      </c>
      <c r="P9" s="5">
        <f t="shared" ca="1" si="0"/>
        <v>257.15320000000003</v>
      </c>
      <c r="Q9" s="5">
        <f t="shared" ca="1" si="0"/>
        <v>257.98295000000002</v>
      </c>
      <c r="R9" s="5">
        <f t="shared" ca="1" si="0"/>
        <v>258.12637000000001</v>
      </c>
      <c r="S9" s="5">
        <f t="shared" ca="1" si="0"/>
        <v>258.04052999999999</v>
      </c>
      <c r="T9" s="5">
        <f t="shared" ca="1" si="0"/>
        <v>258.76731999999998</v>
      </c>
      <c r="U9" s="5">
        <f t="shared" ca="1" si="0"/>
        <v>256.76004</v>
      </c>
      <c r="W9" s="5">
        <f t="shared" ca="1" si="12"/>
        <v>258.01998900000001</v>
      </c>
      <c r="Y9" s="5">
        <f ca="1">Total!E9</f>
        <v>255.18879999999999</v>
      </c>
      <c r="AB9" s="5">
        <f t="shared" ca="1" si="1"/>
        <v>1.4457962104920015E-2</v>
      </c>
      <c r="AC9" s="5">
        <f t="shared" ca="1" si="2"/>
        <v>1.8270746992031076E-2</v>
      </c>
      <c r="AD9" s="5">
        <f t="shared" ca="1" si="3"/>
        <v>4.3737812944768797E-3</v>
      </c>
      <c r="AE9" s="5">
        <f t="shared" ca="1" si="4"/>
        <v>1.2328675866652577E-2</v>
      </c>
      <c r="AF9" s="5">
        <f t="shared" ca="1" si="5"/>
        <v>7.6978299988088835E-3</v>
      </c>
      <c r="AG9" s="5">
        <f t="shared" ca="1" si="6"/>
        <v>1.0949344171844651E-2</v>
      </c>
      <c r="AH9" s="5">
        <f t="shared" ca="1" si="7"/>
        <v>1.1511359432702463E-2</v>
      </c>
      <c r="AI9" s="5">
        <f t="shared" ca="1" si="8"/>
        <v>1.1174981033650394E-2</v>
      </c>
      <c r="AJ9" s="5">
        <f t="shared" ca="1" si="9"/>
        <v>1.4023029223853076E-2</v>
      </c>
      <c r="AK9" s="5">
        <f t="shared" ca="1" si="10"/>
        <v>6.1571667722095068E-3</v>
      </c>
      <c r="AM9" s="5">
        <f t="shared" ca="1" si="13"/>
        <v>0.11094487689114953</v>
      </c>
    </row>
    <row r="10" spans="1:39" x14ac:dyDescent="0.25">
      <c r="A10" s="5" t="s">
        <v>27</v>
      </c>
      <c r="B10" s="5">
        <v>30</v>
      </c>
      <c r="C10" s="5">
        <v>0.4</v>
      </c>
      <c r="D10" s="5">
        <v>237.17606000000001</v>
      </c>
      <c r="E10" s="5">
        <v>0.55749000000000004</v>
      </c>
      <c r="F10" s="5">
        <v>20</v>
      </c>
      <c r="H10" s="5" t="s">
        <v>27</v>
      </c>
      <c r="I10" s="5">
        <v>100</v>
      </c>
      <c r="J10" s="5">
        <v>1</v>
      </c>
      <c r="L10" s="5">
        <f t="shared" ca="1" si="11"/>
        <v>239.09255999999999</v>
      </c>
      <c r="M10" s="5">
        <f t="shared" ca="1" si="0"/>
        <v>240.07485</v>
      </c>
      <c r="N10" s="5">
        <f t="shared" ca="1" si="0"/>
        <v>239.3689</v>
      </c>
      <c r="O10" s="5">
        <f t="shared" ca="1" si="0"/>
        <v>241.52393000000001</v>
      </c>
      <c r="P10" s="5">
        <f t="shared" ca="1" si="0"/>
        <v>239.29337000000001</v>
      </c>
      <c r="Q10" s="5">
        <f t="shared" ca="1" si="0"/>
        <v>239.57437999999999</v>
      </c>
      <c r="R10" s="5">
        <f t="shared" ca="1" si="0"/>
        <v>239.34020000000001</v>
      </c>
      <c r="S10" s="5">
        <f t="shared" ca="1" si="0"/>
        <v>239.4</v>
      </c>
      <c r="T10" s="5">
        <f t="shared" ca="1" si="0"/>
        <v>240.74379999999999</v>
      </c>
      <c r="U10" s="5">
        <f t="shared" ca="1" si="0"/>
        <v>240.30340000000001</v>
      </c>
      <c r="W10" s="5">
        <f t="shared" ca="1" si="12"/>
        <v>239.87153900000004</v>
      </c>
      <c r="Y10" s="5">
        <f ca="1">Total!E10</f>
        <v>238.77667</v>
      </c>
      <c r="AB10" s="5">
        <f t="shared" ca="1" si="1"/>
        <v>1.3229516937312009E-3</v>
      </c>
      <c r="AC10" s="5">
        <f t="shared" ca="1" si="2"/>
        <v>5.4367958142644427E-3</v>
      </c>
      <c r="AD10" s="5">
        <f t="shared" ca="1" si="3"/>
        <v>2.4802674398633697E-3</v>
      </c>
      <c r="AE10" s="5">
        <f t="shared" ca="1" si="4"/>
        <v>1.1505562917851276E-2</v>
      </c>
      <c r="AF10" s="5">
        <f t="shared" ca="1" si="5"/>
        <v>2.163946754094587E-3</v>
      </c>
      <c r="AG10" s="5">
        <f t="shared" ca="1" si="6"/>
        <v>3.3408205248862673E-3</v>
      </c>
      <c r="AH10" s="5">
        <f t="shared" ca="1" si="7"/>
        <v>2.3600714424906518E-3</v>
      </c>
      <c r="AI10" s="5">
        <f t="shared" ca="1" si="8"/>
        <v>2.6105146704659627E-3</v>
      </c>
      <c r="AJ10" s="5">
        <f t="shared" ca="1" si="9"/>
        <v>8.2383676763730616E-3</v>
      </c>
      <c r="AK10" s="5">
        <f t="shared" ca="1" si="10"/>
        <v>6.3939663787086687E-3</v>
      </c>
      <c r="AM10" s="5">
        <f t="shared" ca="1" si="13"/>
        <v>4.5853265312729492E-2</v>
      </c>
    </row>
    <row r="11" spans="1:39" x14ac:dyDescent="0.25">
      <c r="A11" s="5" t="s">
        <v>27</v>
      </c>
      <c r="B11" s="5">
        <v>30</v>
      </c>
      <c r="C11" s="5">
        <v>0.7</v>
      </c>
      <c r="D11" s="5">
        <v>170.35004000000001</v>
      </c>
      <c r="E11" s="5">
        <v>1.43279</v>
      </c>
      <c r="F11" s="5">
        <v>72</v>
      </c>
      <c r="H11" s="5" t="s">
        <v>2</v>
      </c>
      <c r="I11" s="5">
        <v>24</v>
      </c>
      <c r="J11" s="5">
        <v>0.4</v>
      </c>
      <c r="L11" s="5">
        <f t="shared" ca="1" si="11"/>
        <v>3177.6379999999999</v>
      </c>
      <c r="M11" s="5">
        <f t="shared" ca="1" si="0"/>
        <v>3177.6379999999999</v>
      </c>
      <c r="N11" s="5">
        <f t="shared" ca="1" si="0"/>
        <v>3177.6379999999999</v>
      </c>
      <c r="O11" s="5">
        <f t="shared" ca="1" si="0"/>
        <v>3177.6379999999999</v>
      </c>
      <c r="P11" s="5">
        <f t="shared" ca="1" si="0"/>
        <v>3177.6379999999999</v>
      </c>
      <c r="Q11" s="5">
        <f t="shared" ca="1" si="0"/>
        <v>3177.6379999999999</v>
      </c>
      <c r="R11" s="5">
        <f t="shared" ca="1" si="0"/>
        <v>3177.6379999999999</v>
      </c>
      <c r="S11" s="5">
        <f t="shared" ca="1" si="0"/>
        <v>3177.6379999999999</v>
      </c>
      <c r="T11" s="5">
        <f t="shared" ca="1" si="0"/>
        <v>3177.6379999999999</v>
      </c>
      <c r="U11" s="5">
        <f t="shared" ca="1" si="0"/>
        <v>3177.6379999999999</v>
      </c>
      <c r="W11" s="5">
        <f t="shared" ca="1" si="12"/>
        <v>3177.6379999999995</v>
      </c>
      <c r="Y11" s="5">
        <f ca="1">Total!E11</f>
        <v>3177.6379999999999</v>
      </c>
      <c r="AB11" s="5">
        <f t="shared" ca="1" si="1"/>
        <v>0</v>
      </c>
      <c r="AC11" s="5">
        <f t="shared" ca="1" si="2"/>
        <v>0</v>
      </c>
      <c r="AD11" s="5">
        <f t="shared" ca="1" si="3"/>
        <v>0</v>
      </c>
      <c r="AE11" s="5">
        <f t="shared" ca="1" si="4"/>
        <v>0</v>
      </c>
      <c r="AF11" s="5">
        <f t="shared" ca="1" si="5"/>
        <v>0</v>
      </c>
      <c r="AG11" s="5">
        <f t="shared" ca="1" si="6"/>
        <v>0</v>
      </c>
      <c r="AH11" s="5">
        <f t="shared" ca="1" si="7"/>
        <v>0</v>
      </c>
      <c r="AI11" s="5">
        <f t="shared" ca="1" si="8"/>
        <v>0</v>
      </c>
      <c r="AJ11" s="5">
        <f t="shared" ca="1" si="9"/>
        <v>0</v>
      </c>
      <c r="AK11" s="5">
        <f t="shared" ca="1" si="10"/>
        <v>0</v>
      </c>
      <c r="AM11" s="5">
        <f t="shared" ca="1" si="13"/>
        <v>0</v>
      </c>
    </row>
    <row r="12" spans="1:39" x14ac:dyDescent="0.25">
      <c r="A12" s="5" t="s">
        <v>27</v>
      </c>
      <c r="B12" s="5">
        <v>30</v>
      </c>
      <c r="C12" s="5">
        <v>0.7</v>
      </c>
      <c r="D12" s="5">
        <v>170.35004000000001</v>
      </c>
      <c r="E12" s="5">
        <v>1.4268799999999999</v>
      </c>
      <c r="F12" s="5">
        <v>71</v>
      </c>
      <c r="H12" s="5" t="s">
        <v>2</v>
      </c>
      <c r="I12" s="5">
        <v>24</v>
      </c>
      <c r="J12" s="5">
        <v>0.7</v>
      </c>
      <c r="L12" s="5">
        <f t="shared" ca="1" si="11"/>
        <v>2321.03586</v>
      </c>
      <c r="M12" s="5">
        <f t="shared" ca="1" si="0"/>
        <v>2321.03586</v>
      </c>
      <c r="N12" s="5">
        <f t="shared" ca="1" si="0"/>
        <v>2321.03586</v>
      </c>
      <c r="O12" s="5">
        <f t="shared" ca="1" si="0"/>
        <v>2321.03586</v>
      </c>
      <c r="P12" s="5">
        <f t="shared" ca="1" si="0"/>
        <v>2321.03586</v>
      </c>
      <c r="Q12" s="5">
        <f t="shared" ca="1" si="0"/>
        <v>2321.03586</v>
      </c>
      <c r="R12" s="5">
        <f t="shared" ca="1" si="0"/>
        <v>2321.03586</v>
      </c>
      <c r="S12" s="5">
        <f t="shared" ca="1" si="0"/>
        <v>2321.03586</v>
      </c>
      <c r="T12" s="5">
        <f t="shared" ca="1" si="0"/>
        <v>2321.03586</v>
      </c>
      <c r="U12" s="5">
        <f t="shared" ca="1" si="0"/>
        <v>2321.03586</v>
      </c>
      <c r="W12" s="5">
        <f t="shared" ca="1" si="12"/>
        <v>2321.03586</v>
      </c>
      <c r="Y12" s="5">
        <f ca="1">Total!E12</f>
        <v>2321.03586</v>
      </c>
      <c r="AB12" s="5">
        <f t="shared" ca="1" si="1"/>
        <v>0</v>
      </c>
      <c r="AC12" s="5">
        <f t="shared" ca="1" si="2"/>
        <v>0</v>
      </c>
      <c r="AD12" s="5">
        <f t="shared" ca="1" si="3"/>
        <v>0</v>
      </c>
      <c r="AE12" s="5">
        <f t="shared" ca="1" si="4"/>
        <v>0</v>
      </c>
      <c r="AF12" s="5">
        <f t="shared" ca="1" si="5"/>
        <v>0</v>
      </c>
      <c r="AG12" s="5">
        <f t="shared" ca="1" si="6"/>
        <v>0</v>
      </c>
      <c r="AH12" s="5">
        <f t="shared" ca="1" si="7"/>
        <v>0</v>
      </c>
      <c r="AI12" s="5">
        <f t="shared" ca="1" si="8"/>
        <v>0</v>
      </c>
      <c r="AJ12" s="5">
        <f t="shared" ca="1" si="9"/>
        <v>0</v>
      </c>
      <c r="AK12" s="5">
        <f t="shared" ca="1" si="10"/>
        <v>0</v>
      </c>
      <c r="AM12" s="5">
        <f t="shared" ca="1" si="13"/>
        <v>0</v>
      </c>
    </row>
    <row r="13" spans="1:39" x14ac:dyDescent="0.25">
      <c r="A13" s="5" t="s">
        <v>27</v>
      </c>
      <c r="B13" s="5">
        <v>30</v>
      </c>
      <c r="C13" s="5">
        <v>0.7</v>
      </c>
      <c r="D13" s="5">
        <v>170.35004000000001</v>
      </c>
      <c r="E13" s="5">
        <v>1.4239900000000001</v>
      </c>
      <c r="F13" s="5">
        <v>75</v>
      </c>
      <c r="H13" s="5" t="s">
        <v>2</v>
      </c>
      <c r="I13" s="5">
        <v>24</v>
      </c>
      <c r="J13" s="5">
        <v>1</v>
      </c>
      <c r="L13" s="5">
        <f t="shared" ca="1" si="11"/>
        <v>2320.9075499999999</v>
      </c>
      <c r="M13" s="5">
        <f t="shared" ca="1" si="0"/>
        <v>2320.9075499999999</v>
      </c>
      <c r="N13" s="5">
        <f t="shared" ca="1" si="0"/>
        <v>2320.9075499999999</v>
      </c>
      <c r="O13" s="5">
        <f t="shared" ca="1" si="0"/>
        <v>2320.9075499999999</v>
      </c>
      <c r="P13" s="5">
        <f t="shared" ca="1" si="0"/>
        <v>2320.9075499999999</v>
      </c>
      <c r="Q13" s="5">
        <f t="shared" ca="1" si="0"/>
        <v>2320.9075499999999</v>
      </c>
      <c r="R13" s="5">
        <f t="shared" ca="1" si="0"/>
        <v>2320.9075499999999</v>
      </c>
      <c r="S13" s="5">
        <f t="shared" ca="1" si="0"/>
        <v>2320.9075499999999</v>
      </c>
      <c r="T13" s="5">
        <f t="shared" ca="1" si="0"/>
        <v>2320.9075499999999</v>
      </c>
      <c r="U13" s="5">
        <f t="shared" ca="1" si="0"/>
        <v>2320.9075499999999</v>
      </c>
      <c r="W13" s="5">
        <f t="shared" ca="1" si="12"/>
        <v>2320.9075499999999</v>
      </c>
      <c r="Y13" s="5">
        <f ca="1">Total!E13</f>
        <v>2320.9075499999999</v>
      </c>
      <c r="AB13" s="5">
        <f t="shared" ca="1" si="1"/>
        <v>0</v>
      </c>
      <c r="AC13" s="5">
        <f t="shared" ca="1" si="2"/>
        <v>0</v>
      </c>
      <c r="AD13" s="5">
        <f t="shared" ca="1" si="3"/>
        <v>0</v>
      </c>
      <c r="AE13" s="5">
        <f t="shared" ca="1" si="4"/>
        <v>0</v>
      </c>
      <c r="AF13" s="5">
        <f t="shared" ca="1" si="5"/>
        <v>0</v>
      </c>
      <c r="AG13" s="5">
        <f t="shared" ca="1" si="6"/>
        <v>0</v>
      </c>
      <c r="AH13" s="5">
        <f t="shared" ca="1" si="7"/>
        <v>0</v>
      </c>
      <c r="AI13" s="5">
        <f t="shared" ca="1" si="8"/>
        <v>0</v>
      </c>
      <c r="AJ13" s="5">
        <f t="shared" ca="1" si="9"/>
        <v>0</v>
      </c>
      <c r="AK13" s="5">
        <f t="shared" ca="1" si="10"/>
        <v>0</v>
      </c>
      <c r="AM13" s="5">
        <f t="shared" ca="1" si="13"/>
        <v>0</v>
      </c>
    </row>
    <row r="14" spans="1:39" x14ac:dyDescent="0.25">
      <c r="A14" s="5" t="s">
        <v>27</v>
      </c>
      <c r="B14" s="5">
        <v>30</v>
      </c>
      <c r="C14" s="5">
        <v>0.7</v>
      </c>
      <c r="D14" s="5">
        <v>170.35004000000001</v>
      </c>
      <c r="E14" s="5">
        <v>1.43103</v>
      </c>
      <c r="F14" s="5">
        <v>75</v>
      </c>
      <c r="H14" s="5" t="s">
        <v>2</v>
      </c>
      <c r="I14" s="5">
        <v>47</v>
      </c>
      <c r="J14" s="5">
        <v>0.4</v>
      </c>
      <c r="L14" s="5">
        <f t="shared" ca="1" si="11"/>
        <v>4348.0289499999999</v>
      </c>
      <c r="M14" s="5">
        <f t="shared" ca="1" si="0"/>
        <v>4348.0289499999999</v>
      </c>
      <c r="N14" s="5">
        <f t="shared" ca="1" si="0"/>
        <v>4350.8413700000001</v>
      </c>
      <c r="O14" s="5">
        <f t="shared" ca="1" si="0"/>
        <v>4350.8413700000001</v>
      </c>
      <c r="P14" s="5">
        <f t="shared" ca="1" si="0"/>
        <v>4350.8413700000001</v>
      </c>
      <c r="Q14" s="5">
        <f t="shared" ca="1" si="0"/>
        <v>4350.8413700000001</v>
      </c>
      <c r="R14" s="5">
        <f t="shared" ca="1" si="0"/>
        <v>4348.0289499999999</v>
      </c>
      <c r="S14" s="5">
        <f t="shared" ca="1" si="0"/>
        <v>4348.0289499999999</v>
      </c>
      <c r="T14" s="5">
        <f t="shared" ca="1" si="0"/>
        <v>4348.0289499999999</v>
      </c>
      <c r="U14" s="5">
        <f t="shared" ca="1" si="0"/>
        <v>4350.8413700000001</v>
      </c>
      <c r="W14" s="5">
        <f t="shared" ca="1" si="12"/>
        <v>4349.43516</v>
      </c>
      <c r="Y14" s="5">
        <f ca="1">Total!E14</f>
        <v>4348.0289499999999</v>
      </c>
      <c r="AB14" s="5">
        <f t="shared" ca="1" si="1"/>
        <v>0</v>
      </c>
      <c r="AC14" s="5">
        <f t="shared" ca="1" si="2"/>
        <v>0</v>
      </c>
      <c r="AD14" s="5">
        <f t="shared" ca="1" si="3"/>
        <v>6.4682642004952661E-4</v>
      </c>
      <c r="AE14" s="5">
        <f t="shared" ca="1" si="4"/>
        <v>6.4682642004952661E-4</v>
      </c>
      <c r="AF14" s="5">
        <f t="shared" ca="1" si="5"/>
        <v>6.4682642004952661E-4</v>
      </c>
      <c r="AG14" s="5">
        <f t="shared" ca="1" si="6"/>
        <v>6.4682642004952661E-4</v>
      </c>
      <c r="AH14" s="5">
        <f t="shared" ca="1" si="7"/>
        <v>0</v>
      </c>
      <c r="AI14" s="5">
        <f t="shared" ca="1" si="8"/>
        <v>0</v>
      </c>
      <c r="AJ14" s="5">
        <f t="shared" ca="1" si="9"/>
        <v>0</v>
      </c>
      <c r="AK14" s="5">
        <f t="shared" ca="1" si="10"/>
        <v>6.4682642004952661E-4</v>
      </c>
      <c r="AM14" s="5">
        <f t="shared" ca="1" si="13"/>
        <v>3.2341321002476329E-3</v>
      </c>
    </row>
    <row r="15" spans="1:39" x14ac:dyDescent="0.25">
      <c r="A15" s="5" t="s">
        <v>27</v>
      </c>
      <c r="B15" s="5">
        <v>30</v>
      </c>
      <c r="C15" s="5">
        <v>0.7</v>
      </c>
      <c r="D15" s="5">
        <v>170.35004000000001</v>
      </c>
      <c r="E15" s="5">
        <v>1.42387</v>
      </c>
      <c r="F15" s="5">
        <v>71</v>
      </c>
      <c r="H15" s="5" t="s">
        <v>2</v>
      </c>
      <c r="I15" s="5">
        <v>47</v>
      </c>
      <c r="J15" s="5">
        <v>0.7</v>
      </c>
      <c r="L15" s="5">
        <f t="shared" ca="1" si="11"/>
        <v>4325.26836</v>
      </c>
      <c r="M15" s="5">
        <f t="shared" ca="1" si="0"/>
        <v>4325.26836</v>
      </c>
      <c r="N15" s="5">
        <f t="shared" ca="1" si="0"/>
        <v>4325.26836</v>
      </c>
      <c r="O15" s="5">
        <f t="shared" ca="1" si="0"/>
        <v>4325.26836</v>
      </c>
      <c r="P15" s="5">
        <f t="shared" ca="1" si="0"/>
        <v>4325.26836</v>
      </c>
      <c r="Q15" s="5">
        <f t="shared" ca="1" si="0"/>
        <v>4325.26836</v>
      </c>
      <c r="R15" s="5">
        <f t="shared" ca="1" si="0"/>
        <v>4325.26836</v>
      </c>
      <c r="S15" s="5">
        <f t="shared" ca="1" si="0"/>
        <v>4325.26836</v>
      </c>
      <c r="T15" s="5">
        <f t="shared" ca="1" si="0"/>
        <v>4325.26836</v>
      </c>
      <c r="U15" s="5">
        <f t="shared" ca="1" si="0"/>
        <v>4325.26836</v>
      </c>
      <c r="W15" s="5">
        <f t="shared" ca="1" si="12"/>
        <v>4325.2683600000009</v>
      </c>
      <c r="Y15" s="5">
        <f ca="1">Total!E15</f>
        <v>4325.26836</v>
      </c>
      <c r="AB15" s="5">
        <f t="shared" ca="1" si="1"/>
        <v>0</v>
      </c>
      <c r="AC15" s="5">
        <f t="shared" ca="1" si="2"/>
        <v>0</v>
      </c>
      <c r="AD15" s="5">
        <f t="shared" ca="1" si="3"/>
        <v>0</v>
      </c>
      <c r="AE15" s="5">
        <f t="shared" ca="1" si="4"/>
        <v>0</v>
      </c>
      <c r="AF15" s="5">
        <f t="shared" ca="1" si="5"/>
        <v>0</v>
      </c>
      <c r="AG15" s="5">
        <f t="shared" ca="1" si="6"/>
        <v>0</v>
      </c>
      <c r="AH15" s="5">
        <f t="shared" ca="1" si="7"/>
        <v>0</v>
      </c>
      <c r="AI15" s="5">
        <f t="shared" ca="1" si="8"/>
        <v>0</v>
      </c>
      <c r="AJ15" s="5">
        <f t="shared" ca="1" si="9"/>
        <v>0</v>
      </c>
      <c r="AK15" s="5">
        <f t="shared" ca="1" si="10"/>
        <v>0</v>
      </c>
      <c r="AM15" s="5">
        <f t="shared" ca="1" si="13"/>
        <v>0</v>
      </c>
    </row>
    <row r="16" spans="1:39" x14ac:dyDescent="0.25">
      <c r="A16" s="5" t="s">
        <v>27</v>
      </c>
      <c r="B16" s="5">
        <v>30</v>
      </c>
      <c r="C16" s="5">
        <v>0.7</v>
      </c>
      <c r="D16" s="5">
        <v>170.35004000000001</v>
      </c>
      <c r="E16" s="5">
        <v>1.4304300000000001</v>
      </c>
      <c r="F16" s="5">
        <v>75</v>
      </c>
      <c r="H16" s="5" t="s">
        <v>2</v>
      </c>
      <c r="I16" s="5">
        <v>47</v>
      </c>
      <c r="J16" s="5">
        <v>1</v>
      </c>
      <c r="L16" s="5">
        <f t="shared" ca="1" si="11"/>
        <v>4313.60977</v>
      </c>
      <c r="M16" s="5">
        <f t="shared" ca="1" si="0"/>
        <v>4313.60977</v>
      </c>
      <c r="N16" s="5">
        <f t="shared" ca="1" si="0"/>
        <v>4313.60977</v>
      </c>
      <c r="O16" s="5">
        <f t="shared" ca="1" si="0"/>
        <v>4313.60977</v>
      </c>
      <c r="P16" s="5">
        <f t="shared" ca="1" si="0"/>
        <v>4313.60977</v>
      </c>
      <c r="Q16" s="5">
        <f t="shared" ca="1" si="0"/>
        <v>4313.60977</v>
      </c>
      <c r="R16" s="5">
        <f t="shared" ca="1" si="0"/>
        <v>4313.60977</v>
      </c>
      <c r="S16" s="5">
        <f t="shared" ca="1" si="0"/>
        <v>4313.60977</v>
      </c>
      <c r="T16" s="5">
        <f t="shared" ca="1" si="0"/>
        <v>4313.60977</v>
      </c>
      <c r="U16" s="5">
        <f t="shared" ca="1" si="0"/>
        <v>4313.60977</v>
      </c>
      <c r="W16" s="5">
        <f t="shared" ca="1" si="12"/>
        <v>4313.6097700000009</v>
      </c>
      <c r="Y16" s="5">
        <f ca="1">Total!E16</f>
        <v>4313.60977</v>
      </c>
      <c r="AB16" s="5">
        <f t="shared" ca="1" si="1"/>
        <v>0</v>
      </c>
      <c r="AC16" s="5">
        <f t="shared" ca="1" si="2"/>
        <v>0</v>
      </c>
      <c r="AD16" s="5">
        <f t="shared" ca="1" si="3"/>
        <v>0</v>
      </c>
      <c r="AE16" s="5">
        <f t="shared" ca="1" si="4"/>
        <v>0</v>
      </c>
      <c r="AF16" s="5">
        <f t="shared" ca="1" si="5"/>
        <v>0</v>
      </c>
      <c r="AG16" s="5">
        <f t="shared" ca="1" si="6"/>
        <v>0</v>
      </c>
      <c r="AH16" s="5">
        <f t="shared" ca="1" si="7"/>
        <v>0</v>
      </c>
      <c r="AI16" s="5">
        <f t="shared" ca="1" si="8"/>
        <v>0</v>
      </c>
      <c r="AJ16" s="5">
        <f t="shared" ca="1" si="9"/>
        <v>0</v>
      </c>
      <c r="AK16" s="5">
        <f t="shared" ca="1" si="10"/>
        <v>0</v>
      </c>
      <c r="AM16" s="5">
        <f t="shared" ca="1" si="13"/>
        <v>0</v>
      </c>
    </row>
    <row r="17" spans="1:39" x14ac:dyDescent="0.25">
      <c r="A17" s="5" t="s">
        <v>27</v>
      </c>
      <c r="B17" s="5">
        <v>30</v>
      </c>
      <c r="C17" s="5">
        <v>0.7</v>
      </c>
      <c r="D17" s="5">
        <v>170.35004000000001</v>
      </c>
      <c r="E17" s="5">
        <v>1.42605</v>
      </c>
      <c r="F17" s="5">
        <v>75</v>
      </c>
      <c r="H17" s="5" t="s">
        <v>2</v>
      </c>
      <c r="I17" s="5">
        <v>100</v>
      </c>
      <c r="J17" s="5">
        <v>0.4</v>
      </c>
      <c r="L17" s="5">
        <f t="shared" ca="1" si="11"/>
        <v>42988.218220000002</v>
      </c>
      <c r="M17" s="5">
        <f t="shared" ca="1" si="0"/>
        <v>42986.727890000002</v>
      </c>
      <c r="N17" s="5">
        <f t="shared" ca="1" si="0"/>
        <v>42986.403050000001</v>
      </c>
      <c r="O17" s="5">
        <f t="shared" ca="1" si="0"/>
        <v>42986.403050000001</v>
      </c>
      <c r="P17" s="5">
        <f t="shared" ca="1" si="0"/>
        <v>42986.853589999999</v>
      </c>
      <c r="Q17" s="5">
        <f t="shared" ca="1" si="0"/>
        <v>42986.802479999998</v>
      </c>
      <c r="R17" s="5">
        <f t="shared" ca="1" si="0"/>
        <v>42986.802479999998</v>
      </c>
      <c r="S17" s="5">
        <f t="shared" ca="1" si="0"/>
        <v>42986.193919999998</v>
      </c>
      <c r="T17" s="5">
        <f t="shared" ca="1" si="0"/>
        <v>42986.853589999999</v>
      </c>
      <c r="U17" s="5">
        <f t="shared" ca="1" si="0"/>
        <v>42986.673049999998</v>
      </c>
      <c r="W17" s="5">
        <f t="shared" ca="1" si="12"/>
        <v>42986.793132000006</v>
      </c>
      <c r="Y17" s="5">
        <f ca="1">Total!E17</f>
        <v>42986.193919999998</v>
      </c>
      <c r="AB17" s="5">
        <f t="shared" ca="1" si="1"/>
        <v>4.7091864047604123E-5</v>
      </c>
      <c r="AC17" s="5">
        <f t="shared" ca="1" si="2"/>
        <v>1.2421895294982343E-5</v>
      </c>
      <c r="AD17" s="5">
        <f t="shared" ca="1" si="3"/>
        <v>4.8650504018131747E-6</v>
      </c>
      <c r="AE17" s="5">
        <f t="shared" ca="1" si="4"/>
        <v>4.8650504018131747E-6</v>
      </c>
      <c r="AF17" s="5">
        <f t="shared" ca="1" si="5"/>
        <v>1.5346089984812385E-5</v>
      </c>
      <c r="AG17" s="5">
        <f t="shared" ca="1" si="6"/>
        <v>1.4157103583842479E-5</v>
      </c>
      <c r="AH17" s="5">
        <f t="shared" ca="1" si="7"/>
        <v>1.4157103583842479E-5</v>
      </c>
      <c r="AI17" s="5">
        <f t="shared" ca="1" si="8"/>
        <v>0</v>
      </c>
      <c r="AJ17" s="5">
        <f t="shared" ca="1" si="9"/>
        <v>1.5346089984812385E-5</v>
      </c>
      <c r="AK17" s="5">
        <f t="shared" ca="1" si="10"/>
        <v>1.1146136847830832E-5</v>
      </c>
      <c r="AM17" s="5">
        <f t="shared" ca="1" si="13"/>
        <v>1.3939638413135337E-4</v>
      </c>
    </row>
    <row r="18" spans="1:39" x14ac:dyDescent="0.25">
      <c r="A18" s="5" t="s">
        <v>27</v>
      </c>
      <c r="B18" s="5">
        <v>30</v>
      </c>
      <c r="C18" s="5">
        <v>0.7</v>
      </c>
      <c r="D18" s="5">
        <v>170.35004000000001</v>
      </c>
      <c r="E18" s="5">
        <v>1.42862</v>
      </c>
      <c r="F18" s="5">
        <v>71</v>
      </c>
      <c r="H18" s="5" t="s">
        <v>2</v>
      </c>
      <c r="I18" s="5">
        <v>100</v>
      </c>
      <c r="J18" s="5">
        <v>0.7</v>
      </c>
      <c r="L18" s="5">
        <f t="shared" ca="1" si="11"/>
        <v>35455.702539999998</v>
      </c>
      <c r="M18" s="5">
        <f t="shared" ca="1" si="11"/>
        <v>35623.268060000002</v>
      </c>
      <c r="N18" s="5">
        <f t="shared" ca="1" si="11"/>
        <v>35652.211219999997</v>
      </c>
      <c r="O18" s="5">
        <f t="shared" ca="1" si="11"/>
        <v>35446.502</v>
      </c>
      <c r="P18" s="5">
        <f t="shared" ca="1" si="11"/>
        <v>35538.55416</v>
      </c>
      <c r="Q18" s="5">
        <f t="shared" ca="1" si="11"/>
        <v>35462.301679999997</v>
      </c>
      <c r="R18" s="5">
        <f t="shared" ca="1" si="11"/>
        <v>35630.762519999997</v>
      </c>
      <c r="S18" s="5">
        <f t="shared" ca="1" si="11"/>
        <v>35601.256459999997</v>
      </c>
      <c r="T18" s="5">
        <f t="shared" ca="1" si="11"/>
        <v>35511.696859999996</v>
      </c>
      <c r="U18" s="5">
        <f t="shared" ca="1" si="11"/>
        <v>35515.115279999998</v>
      </c>
      <c r="W18" s="5">
        <f t="shared" ca="1" si="12"/>
        <v>35543.737077999998</v>
      </c>
      <c r="Y18" s="5">
        <f ca="1">Total!E18</f>
        <v>35336.072039999999</v>
      </c>
      <c r="AB18" s="5">
        <f t="shared" ca="1" si="1"/>
        <v>3.3855064554028261E-3</v>
      </c>
      <c r="AC18" s="5">
        <f t="shared" ca="1" si="2"/>
        <v>8.1275592735633069E-3</v>
      </c>
      <c r="AD18" s="5">
        <f t="shared" ca="1" si="3"/>
        <v>8.9466418237469248E-3</v>
      </c>
      <c r="AE18" s="5">
        <f t="shared" ca="1" si="4"/>
        <v>3.1251339955101955E-3</v>
      </c>
      <c r="AF18" s="5">
        <f t="shared" ca="1" si="5"/>
        <v>5.7301818880942205E-3</v>
      </c>
      <c r="AG18" s="5">
        <f t="shared" ca="1" si="6"/>
        <v>3.5722600932301513E-3</v>
      </c>
      <c r="AH18" s="5">
        <f t="shared" ca="1" si="7"/>
        <v>8.3396501927665151E-3</v>
      </c>
      <c r="AI18" s="5">
        <f t="shared" ca="1" si="8"/>
        <v>7.504637745242659E-3</v>
      </c>
      <c r="AJ18" s="5">
        <f t="shared" ca="1" si="9"/>
        <v>4.9701285361087146E-3</v>
      </c>
      <c r="AK18" s="5">
        <f t="shared" ca="1" si="10"/>
        <v>5.0668687735672575E-3</v>
      </c>
      <c r="AM18" s="5">
        <f t="shared" ca="1" si="13"/>
        <v>5.8768568777232771E-2</v>
      </c>
    </row>
    <row r="19" spans="1:39" x14ac:dyDescent="0.25">
      <c r="A19" s="5" t="s">
        <v>27</v>
      </c>
      <c r="B19" s="5">
        <v>30</v>
      </c>
      <c r="C19" s="5">
        <v>0.7</v>
      </c>
      <c r="D19" s="5">
        <v>170.35004000000001</v>
      </c>
      <c r="E19" s="5">
        <v>1.43319</v>
      </c>
      <c r="F19" s="5">
        <v>75</v>
      </c>
      <c r="H19" s="5" t="s">
        <v>2</v>
      </c>
      <c r="I19" s="5">
        <v>100</v>
      </c>
      <c r="J19" s="5">
        <v>1</v>
      </c>
      <c r="L19" s="5">
        <f t="shared" ca="1" si="11"/>
        <v>35273.297890000002</v>
      </c>
      <c r="M19" s="5">
        <f t="shared" ca="1" si="11"/>
        <v>35236.117480000001</v>
      </c>
      <c r="N19" s="5">
        <f t="shared" ca="1" si="11"/>
        <v>35285.718099999998</v>
      </c>
      <c r="O19" s="5">
        <f t="shared" ca="1" si="11"/>
        <v>35366.49336</v>
      </c>
      <c r="P19" s="5">
        <f t="shared" ca="1" si="11"/>
        <v>35363.069170000002</v>
      </c>
      <c r="Q19" s="5">
        <f t="shared" ca="1" si="11"/>
        <v>35278.059670000002</v>
      </c>
      <c r="R19" s="5">
        <f t="shared" ca="1" si="11"/>
        <v>35203.906730000002</v>
      </c>
      <c r="S19" s="5">
        <f t="shared" ca="1" si="11"/>
        <v>35223.279999999999</v>
      </c>
      <c r="T19" s="5">
        <f t="shared" ca="1" si="11"/>
        <v>35250.34633</v>
      </c>
      <c r="U19" s="5">
        <f t="shared" ca="1" si="11"/>
        <v>35276.795890000001</v>
      </c>
      <c r="W19" s="5">
        <f t="shared" ca="1" si="12"/>
        <v>35275.708461999995</v>
      </c>
      <c r="Y19" s="5">
        <f ca="1">Total!E19</f>
        <v>35203.853329999998</v>
      </c>
      <c r="AB19" s="5">
        <f t="shared" ca="1" si="1"/>
        <v>1.9726408739700186E-3</v>
      </c>
      <c r="AC19" s="5">
        <f t="shared" ca="1" si="2"/>
        <v>9.164948421287694E-4</v>
      </c>
      <c r="AD19" s="5">
        <f t="shared" ca="1" si="3"/>
        <v>2.325449127190763E-3</v>
      </c>
      <c r="AE19" s="5">
        <f t="shared" ca="1" si="4"/>
        <v>4.6199496536762303E-3</v>
      </c>
      <c r="AF19" s="5">
        <f t="shared" ca="1" si="5"/>
        <v>4.5226821765083297E-3</v>
      </c>
      <c r="AG19" s="5">
        <f t="shared" ca="1" si="6"/>
        <v>2.1079039076886269E-3</v>
      </c>
      <c r="AH19" s="5">
        <f t="shared" ca="1" si="7"/>
        <v>1.5168794024835989E-6</v>
      </c>
      <c r="AI19" s="5">
        <f t="shared" ca="1" si="8"/>
        <v>5.5183362508347158E-4</v>
      </c>
      <c r="AJ19" s="5">
        <f t="shared" ca="1" si="9"/>
        <v>1.3206792893998862E-3</v>
      </c>
      <c r="AK19" s="5">
        <f t="shared" ca="1" si="10"/>
        <v>2.0720049966190205E-3</v>
      </c>
      <c r="AM19" s="5">
        <f t="shared" ca="1" si="13"/>
        <v>2.04111553716676E-2</v>
      </c>
    </row>
    <row r="20" spans="1:39" x14ac:dyDescent="0.25">
      <c r="A20" s="5" t="s">
        <v>27</v>
      </c>
      <c r="B20" s="5">
        <v>30</v>
      </c>
      <c r="C20" s="5">
        <v>0.7</v>
      </c>
      <c r="D20" s="5">
        <v>170.35004000000001</v>
      </c>
      <c r="E20" s="5">
        <v>1.4256800000000001</v>
      </c>
      <c r="F20" s="5">
        <v>72</v>
      </c>
      <c r="H20" s="5" t="s">
        <v>1</v>
      </c>
      <c r="I20" s="5">
        <v>30</v>
      </c>
      <c r="J20" s="5">
        <v>0.4</v>
      </c>
      <c r="L20" s="5">
        <f t="shared" ca="1" si="11"/>
        <v>995.50248999999997</v>
      </c>
      <c r="M20" s="5">
        <f t="shared" ca="1" si="11"/>
        <v>995.50248999999997</v>
      </c>
      <c r="N20" s="5">
        <f t="shared" ca="1" si="11"/>
        <v>995.50248999999997</v>
      </c>
      <c r="O20" s="5">
        <f t="shared" ca="1" si="11"/>
        <v>995.50248999999997</v>
      </c>
      <c r="P20" s="5">
        <f t="shared" ca="1" si="11"/>
        <v>995.50248999999997</v>
      </c>
      <c r="Q20" s="5">
        <f t="shared" ca="1" si="11"/>
        <v>995.50248999999997</v>
      </c>
      <c r="R20" s="5">
        <f t="shared" ca="1" si="11"/>
        <v>995.50248999999997</v>
      </c>
      <c r="S20" s="5">
        <f t="shared" ca="1" si="11"/>
        <v>995.50248999999997</v>
      </c>
      <c r="T20" s="5">
        <f t="shared" ca="1" si="11"/>
        <v>995.50248999999997</v>
      </c>
      <c r="U20" s="5">
        <f t="shared" ca="1" si="11"/>
        <v>995.50248999999997</v>
      </c>
      <c r="W20" s="5">
        <f t="shared" ca="1" si="12"/>
        <v>995.50249000000008</v>
      </c>
      <c r="Y20" s="5">
        <f ca="1">Total!E20</f>
        <v>995.50248999999997</v>
      </c>
      <c r="AB20" s="5">
        <f t="shared" ca="1" si="1"/>
        <v>0</v>
      </c>
      <c r="AC20" s="5">
        <f t="shared" ca="1" si="2"/>
        <v>0</v>
      </c>
      <c r="AD20" s="5">
        <f t="shared" ca="1" si="3"/>
        <v>0</v>
      </c>
      <c r="AE20" s="5">
        <f t="shared" ca="1" si="4"/>
        <v>0</v>
      </c>
      <c r="AF20" s="5">
        <f t="shared" ca="1" si="5"/>
        <v>0</v>
      </c>
      <c r="AG20" s="5">
        <f t="shared" ca="1" si="6"/>
        <v>0</v>
      </c>
      <c r="AH20" s="5">
        <f t="shared" ca="1" si="7"/>
        <v>0</v>
      </c>
      <c r="AI20" s="5">
        <f t="shared" ca="1" si="8"/>
        <v>0</v>
      </c>
      <c r="AJ20" s="5">
        <f t="shared" ca="1" si="9"/>
        <v>0</v>
      </c>
      <c r="AK20" s="5">
        <f t="shared" ca="1" si="10"/>
        <v>0</v>
      </c>
      <c r="AM20" s="5">
        <f t="shared" ca="1" si="13"/>
        <v>0</v>
      </c>
    </row>
    <row r="21" spans="1:39" x14ac:dyDescent="0.25">
      <c r="A21" s="5" t="s">
        <v>27</v>
      </c>
      <c r="B21" s="5">
        <v>30</v>
      </c>
      <c r="C21" s="5">
        <v>1</v>
      </c>
      <c r="D21" s="5">
        <v>156.12666999999999</v>
      </c>
      <c r="E21" s="5">
        <v>1.77338</v>
      </c>
      <c r="F21" s="5">
        <v>84</v>
      </c>
      <c r="H21" s="5" t="s">
        <v>1</v>
      </c>
      <c r="I21" s="5">
        <v>30</v>
      </c>
      <c r="J21" s="5">
        <v>0.7</v>
      </c>
      <c r="L21" s="5">
        <f t="shared" ca="1" si="11"/>
        <v>675.36989000000005</v>
      </c>
      <c r="M21" s="5">
        <f t="shared" ca="1" si="11"/>
        <v>675.36581000000001</v>
      </c>
      <c r="N21" s="5">
        <f t="shared" ca="1" si="11"/>
        <v>675.36989000000005</v>
      </c>
      <c r="O21" s="5">
        <f t="shared" ca="1" si="11"/>
        <v>675.36989000000005</v>
      </c>
      <c r="P21" s="5">
        <f t="shared" ca="1" si="11"/>
        <v>675.36989000000005</v>
      </c>
      <c r="Q21" s="5">
        <f t="shared" ca="1" si="11"/>
        <v>675.38247999999999</v>
      </c>
      <c r="R21" s="5">
        <f t="shared" ca="1" si="11"/>
        <v>675.38611000000003</v>
      </c>
      <c r="S21" s="5">
        <f t="shared" ca="1" si="11"/>
        <v>675.36989000000005</v>
      </c>
      <c r="T21" s="5">
        <f t="shared" ca="1" si="11"/>
        <v>675.36989000000005</v>
      </c>
      <c r="U21" s="5">
        <f t="shared" ca="1" si="11"/>
        <v>675.36989000000005</v>
      </c>
      <c r="W21" s="5">
        <f t="shared" ca="1" si="12"/>
        <v>675.37236300000006</v>
      </c>
      <c r="Y21" s="5">
        <f ca="1">Total!E21</f>
        <v>675.36581000000001</v>
      </c>
      <c r="AB21" s="5">
        <f t="shared" ca="1" si="1"/>
        <v>6.0411704881010963E-6</v>
      </c>
      <c r="AC21" s="5">
        <f t="shared" ca="1" si="2"/>
        <v>0</v>
      </c>
      <c r="AD21" s="5">
        <f t="shared" ca="1" si="3"/>
        <v>6.0411704881010963E-6</v>
      </c>
      <c r="AE21" s="5">
        <f t="shared" ca="1" si="4"/>
        <v>6.0411704881010963E-6</v>
      </c>
      <c r="AF21" s="5">
        <f t="shared" ca="1" si="5"/>
        <v>6.0411704881010963E-6</v>
      </c>
      <c r="AG21" s="5">
        <f t="shared" ca="1" si="6"/>
        <v>2.468291961652075E-5</v>
      </c>
      <c r="AH21" s="5">
        <f t="shared" ca="1" si="7"/>
        <v>3.0057784536087472E-5</v>
      </c>
      <c r="AI21" s="5">
        <f t="shared" ca="1" si="8"/>
        <v>6.0411704881010963E-6</v>
      </c>
      <c r="AJ21" s="5">
        <f t="shared" ca="1" si="9"/>
        <v>6.0411704881010963E-6</v>
      </c>
      <c r="AK21" s="5">
        <f t="shared" ca="1" si="10"/>
        <v>6.0411704881010963E-6</v>
      </c>
      <c r="AM21" s="5">
        <f t="shared" ca="1" si="13"/>
        <v>9.7028897569315903E-5</v>
      </c>
    </row>
    <row r="22" spans="1:39" x14ac:dyDescent="0.25">
      <c r="A22" s="5" t="s">
        <v>27</v>
      </c>
      <c r="B22" s="5">
        <v>30</v>
      </c>
      <c r="C22" s="5">
        <v>1</v>
      </c>
      <c r="D22" s="5">
        <v>156.12666999999999</v>
      </c>
      <c r="E22" s="5">
        <v>1.77345</v>
      </c>
      <c r="F22" s="5">
        <v>89</v>
      </c>
      <c r="H22" s="5" t="s">
        <v>1</v>
      </c>
      <c r="I22" s="5">
        <v>30</v>
      </c>
      <c r="J22" s="5">
        <v>1</v>
      </c>
      <c r="L22" s="5">
        <f t="shared" ca="1" si="11"/>
        <v>655.43295999999998</v>
      </c>
      <c r="M22" s="5">
        <f t="shared" ca="1" si="11"/>
        <v>655.46475999999996</v>
      </c>
      <c r="N22" s="5">
        <f t="shared" ca="1" si="11"/>
        <v>657.32380999999998</v>
      </c>
      <c r="O22" s="5">
        <f t="shared" ca="1" si="11"/>
        <v>656.34204</v>
      </c>
      <c r="P22" s="5">
        <f t="shared" ca="1" si="11"/>
        <v>657.95457999999996</v>
      </c>
      <c r="Q22" s="5">
        <f t="shared" ca="1" si="11"/>
        <v>655.43295999999998</v>
      </c>
      <c r="R22" s="5">
        <f t="shared" ca="1" si="11"/>
        <v>658.23289</v>
      </c>
      <c r="S22" s="5">
        <f t="shared" ca="1" si="11"/>
        <v>655.43295999999998</v>
      </c>
      <c r="T22" s="5">
        <f t="shared" ca="1" si="11"/>
        <v>655.43295999999998</v>
      </c>
      <c r="U22" s="5">
        <f t="shared" ca="1" si="11"/>
        <v>657.32992999999999</v>
      </c>
      <c r="W22" s="5">
        <f t="shared" ca="1" si="12"/>
        <v>656.43798500000003</v>
      </c>
      <c r="Y22" s="5">
        <f ca="1">Total!E22</f>
        <v>655.43295999999998</v>
      </c>
      <c r="AB22" s="5">
        <f t="shared" ca="1" si="1"/>
        <v>0</v>
      </c>
      <c r="AC22" s="5">
        <f t="shared" ca="1" si="2"/>
        <v>4.8517547851080951E-5</v>
      </c>
      <c r="AD22" s="5">
        <f t="shared" ca="1" si="3"/>
        <v>2.8848869608266272E-3</v>
      </c>
      <c r="AE22" s="5">
        <f t="shared" ca="1" si="4"/>
        <v>1.3869915849212362E-3</v>
      </c>
      <c r="AF22" s="5">
        <f t="shared" ca="1" si="5"/>
        <v>3.847258459507414E-3</v>
      </c>
      <c r="AG22" s="5">
        <f t="shared" ca="1" si="6"/>
        <v>0</v>
      </c>
      <c r="AH22" s="5">
        <f t="shared" ca="1" si="7"/>
        <v>4.2718785457478634E-3</v>
      </c>
      <c r="AI22" s="5">
        <f t="shared" ca="1" si="8"/>
        <v>0</v>
      </c>
      <c r="AJ22" s="5">
        <f t="shared" ca="1" si="9"/>
        <v>0</v>
      </c>
      <c r="AK22" s="5">
        <f t="shared" ca="1" si="10"/>
        <v>2.8942243002244047E-3</v>
      </c>
      <c r="AM22" s="5">
        <f t="shared" ca="1" si="13"/>
        <v>1.5333757399078628E-2</v>
      </c>
    </row>
    <row r="23" spans="1:39" x14ac:dyDescent="0.25">
      <c r="A23" s="5" t="s">
        <v>27</v>
      </c>
      <c r="B23" s="5">
        <v>30</v>
      </c>
      <c r="C23" s="5">
        <v>1</v>
      </c>
      <c r="D23" s="5">
        <v>156.12666999999999</v>
      </c>
      <c r="E23" s="5">
        <v>1.7713699999999999</v>
      </c>
      <c r="F23" s="5">
        <v>89</v>
      </c>
      <c r="H23" s="5" t="s">
        <v>1</v>
      </c>
      <c r="I23" s="5">
        <v>50</v>
      </c>
      <c r="J23" s="5">
        <v>0.4</v>
      </c>
      <c r="L23" s="5">
        <f t="shared" ca="1" si="11"/>
        <v>1460.0209400000001</v>
      </c>
      <c r="M23" s="5">
        <f t="shared" ca="1" si="11"/>
        <v>1459.9687899999999</v>
      </c>
      <c r="N23" s="5">
        <f t="shared" ca="1" si="11"/>
        <v>1460.0209400000001</v>
      </c>
      <c r="O23" s="5">
        <f t="shared" ca="1" si="11"/>
        <v>1460.0209400000001</v>
      </c>
      <c r="P23" s="5">
        <f t="shared" ca="1" si="11"/>
        <v>1459.9687899999999</v>
      </c>
      <c r="Q23" s="5">
        <f t="shared" ca="1" si="11"/>
        <v>1459.9687899999999</v>
      </c>
      <c r="R23" s="5">
        <f t="shared" ca="1" si="11"/>
        <v>1459.9687899999999</v>
      </c>
      <c r="S23" s="5">
        <f t="shared" ca="1" si="11"/>
        <v>1460.0209400000001</v>
      </c>
      <c r="T23" s="5">
        <f t="shared" ca="1" si="11"/>
        <v>1460.86079</v>
      </c>
      <c r="U23" s="5">
        <f t="shared" ca="1" si="11"/>
        <v>1460.81727</v>
      </c>
      <c r="W23" s="5">
        <f t="shared" ca="1" si="12"/>
        <v>1460.1636979999998</v>
      </c>
      <c r="Y23" s="5">
        <f ca="1">Total!E23</f>
        <v>1459.9687899999999</v>
      </c>
      <c r="AB23" s="5">
        <f t="shared" ca="1" si="1"/>
        <v>3.5719941657253266E-5</v>
      </c>
      <c r="AC23" s="5">
        <f t="shared" ca="1" si="2"/>
        <v>0</v>
      </c>
      <c r="AD23" s="5">
        <f t="shared" ca="1" si="3"/>
        <v>3.5719941657253266E-5</v>
      </c>
      <c r="AE23" s="5">
        <f t="shared" ca="1" si="4"/>
        <v>3.5719941657253266E-5</v>
      </c>
      <c r="AF23" s="5">
        <f t="shared" ca="1" si="5"/>
        <v>0</v>
      </c>
      <c r="AG23" s="5">
        <f t="shared" ca="1" si="6"/>
        <v>0</v>
      </c>
      <c r="AH23" s="5">
        <f t="shared" ca="1" si="7"/>
        <v>0</v>
      </c>
      <c r="AI23" s="5">
        <f t="shared" ca="1" si="8"/>
        <v>3.5719941657253266E-5</v>
      </c>
      <c r="AJ23" s="5">
        <f t="shared" ca="1" si="9"/>
        <v>6.1097196468155521E-4</v>
      </c>
      <c r="AK23" s="5">
        <f t="shared" ca="1" si="10"/>
        <v>5.8116310828816326E-4</v>
      </c>
      <c r="AM23" s="5">
        <f t="shared" ca="1" si="13"/>
        <v>1.3350148395987315E-3</v>
      </c>
    </row>
    <row r="24" spans="1:39" x14ac:dyDescent="0.25">
      <c r="A24" s="5" t="s">
        <v>27</v>
      </c>
      <c r="B24" s="5">
        <v>30</v>
      </c>
      <c r="C24" s="5">
        <v>1</v>
      </c>
      <c r="D24" s="5">
        <v>156.12666999999999</v>
      </c>
      <c r="E24" s="5">
        <v>1.77799</v>
      </c>
      <c r="F24" s="5">
        <v>87</v>
      </c>
      <c r="H24" s="5" t="s">
        <v>1</v>
      </c>
      <c r="I24" s="5">
        <v>50</v>
      </c>
      <c r="J24" s="5">
        <v>0.7</v>
      </c>
      <c r="L24" s="5">
        <f t="shared" ca="1" si="11"/>
        <v>1022.8530500000001</v>
      </c>
      <c r="M24" s="5">
        <f t="shared" ca="1" si="11"/>
        <v>1012.64572</v>
      </c>
      <c r="N24" s="5">
        <f t="shared" ca="1" si="11"/>
        <v>1013.33536</v>
      </c>
      <c r="O24" s="5">
        <f t="shared" ca="1" si="11"/>
        <v>1011.4907899999999</v>
      </c>
      <c r="P24" s="5">
        <f t="shared" ca="1" si="11"/>
        <v>1015.5452</v>
      </c>
      <c r="Q24" s="5">
        <f t="shared" ca="1" si="11"/>
        <v>1016.1505</v>
      </c>
      <c r="R24" s="5">
        <f t="shared" ca="1" si="11"/>
        <v>1019.41179</v>
      </c>
      <c r="S24" s="5">
        <f t="shared" ca="1" si="11"/>
        <v>1006.7870799999999</v>
      </c>
      <c r="T24" s="5">
        <f t="shared" ca="1" si="11"/>
        <v>1015.71387</v>
      </c>
      <c r="U24" s="5">
        <f t="shared" ca="1" si="11"/>
        <v>1011.19222</v>
      </c>
      <c r="W24" s="5">
        <f t="shared" ca="1" si="12"/>
        <v>1014.512558</v>
      </c>
      <c r="Y24" s="5">
        <f ca="1">Total!E24</f>
        <v>1005.95063</v>
      </c>
      <c r="AB24" s="5">
        <f t="shared" ca="1" si="1"/>
        <v>1.680243492665242E-2</v>
      </c>
      <c r="AC24" s="5">
        <f t="shared" ca="1" si="2"/>
        <v>6.6554856673233919E-3</v>
      </c>
      <c r="AD24" s="5">
        <f t="shared" ca="1" si="3"/>
        <v>7.3410461505451713E-3</v>
      </c>
      <c r="AE24" s="5">
        <f t="shared" ca="1" si="4"/>
        <v>5.5073875742787702E-3</v>
      </c>
      <c r="AF24" s="5">
        <f t="shared" ca="1" si="5"/>
        <v>9.5378139978897127E-3</v>
      </c>
      <c r="AG24" s="5">
        <f t="shared" ca="1" si="6"/>
        <v>1.0139533388432709E-2</v>
      </c>
      <c r="AH24" s="5">
        <f t="shared" ca="1" si="7"/>
        <v>1.3381531457463226E-2</v>
      </c>
      <c r="AI24" s="5">
        <f t="shared" ca="1" si="8"/>
        <v>8.3150203902143758E-4</v>
      </c>
      <c r="AJ24" s="5">
        <f t="shared" ca="1" si="9"/>
        <v>9.7054862424013743E-3</v>
      </c>
      <c r="AK24" s="5">
        <f t="shared" ca="1" si="10"/>
        <v>5.210583744055087E-3</v>
      </c>
      <c r="AM24" s="5">
        <f t="shared" ca="1" si="13"/>
        <v>8.5112805188063301E-2</v>
      </c>
    </row>
    <row r="25" spans="1:39" x14ac:dyDescent="0.25">
      <c r="A25" s="5" t="s">
        <v>27</v>
      </c>
      <c r="B25" s="5">
        <v>30</v>
      </c>
      <c r="C25" s="5">
        <v>1</v>
      </c>
      <c r="D25" s="5">
        <v>156.12666999999999</v>
      </c>
      <c r="E25" s="5">
        <v>1.77956</v>
      </c>
      <c r="F25" s="5">
        <v>90</v>
      </c>
      <c r="H25" s="5" t="s">
        <v>1</v>
      </c>
      <c r="I25" s="5">
        <v>50</v>
      </c>
      <c r="J25" s="5">
        <v>1</v>
      </c>
      <c r="L25" s="5">
        <f t="shared" ca="1" si="11"/>
        <v>991.72820000000002</v>
      </c>
      <c r="M25" s="5">
        <f t="shared" ca="1" si="11"/>
        <v>995.01697999999999</v>
      </c>
      <c r="N25" s="5">
        <f t="shared" ca="1" si="11"/>
        <v>994.92645000000005</v>
      </c>
      <c r="O25" s="5">
        <f t="shared" ca="1" si="11"/>
        <v>993.72628999999995</v>
      </c>
      <c r="P25" s="5">
        <f t="shared" ca="1" si="11"/>
        <v>994.59544000000005</v>
      </c>
      <c r="Q25" s="5">
        <f t="shared" ca="1" si="11"/>
        <v>996.93123000000003</v>
      </c>
      <c r="R25" s="5">
        <f t="shared" ca="1" si="11"/>
        <v>999.75923</v>
      </c>
      <c r="S25" s="5">
        <f t="shared" ca="1" si="11"/>
        <v>995.45631000000003</v>
      </c>
      <c r="T25" s="5">
        <f t="shared" ca="1" si="11"/>
        <v>994.55452000000002</v>
      </c>
      <c r="U25" s="5">
        <f t="shared" ca="1" si="11"/>
        <v>994.23191999999995</v>
      </c>
      <c r="W25" s="5">
        <f t="shared" ca="1" si="12"/>
        <v>995.09265699999992</v>
      </c>
      <c r="Y25" s="5">
        <f ca="1">Total!E25</f>
        <v>990.69820000000004</v>
      </c>
      <c r="AB25" s="5">
        <f t="shared" ca="1" si="1"/>
        <v>1.0396708099398714E-3</v>
      </c>
      <c r="AC25" s="5">
        <f t="shared" ca="1" si="2"/>
        <v>4.3593296121865839E-3</v>
      </c>
      <c r="AD25" s="5">
        <f t="shared" ca="1" si="3"/>
        <v>4.2679496137168742E-3</v>
      </c>
      <c r="AE25" s="5">
        <f t="shared" ca="1" si="4"/>
        <v>3.0565211484182633E-3</v>
      </c>
      <c r="AF25" s="5">
        <f t="shared" ca="1" si="5"/>
        <v>3.9338317158545463E-3</v>
      </c>
      <c r="AG25" s="5">
        <f t="shared" ca="1" si="6"/>
        <v>6.2915527655142455E-3</v>
      </c>
      <c r="AH25" s="5">
        <f t="shared" ca="1" si="7"/>
        <v>9.1461052417375534E-3</v>
      </c>
      <c r="AI25" s="5">
        <f t="shared" ca="1" si="8"/>
        <v>4.8027845412457471E-3</v>
      </c>
      <c r="AJ25" s="5">
        <f t="shared" ca="1" si="9"/>
        <v>3.892527512414964E-3</v>
      </c>
      <c r="AK25" s="5">
        <f t="shared" ca="1" si="10"/>
        <v>3.5668985771851636E-3</v>
      </c>
      <c r="AM25" s="5">
        <f t="shared" ca="1" si="13"/>
        <v>4.4357171538213815E-2</v>
      </c>
    </row>
    <row r="26" spans="1:39" x14ac:dyDescent="0.25">
      <c r="A26" s="5" t="s">
        <v>27</v>
      </c>
      <c r="B26" s="5">
        <v>30</v>
      </c>
      <c r="C26" s="5">
        <v>1</v>
      </c>
      <c r="D26" s="5">
        <v>156.12666999999999</v>
      </c>
      <c r="E26" s="5">
        <v>1.7788999999999999</v>
      </c>
      <c r="F26" s="5">
        <v>86</v>
      </c>
      <c r="H26" s="5" t="s">
        <v>1</v>
      </c>
      <c r="I26" s="5">
        <v>100</v>
      </c>
      <c r="J26" s="5">
        <v>0.4</v>
      </c>
      <c r="L26" s="5">
        <f t="shared" ca="1" si="11"/>
        <v>1848.8167699999999</v>
      </c>
      <c r="M26" s="5">
        <f t="shared" ca="1" si="11"/>
        <v>1860.6637700000001</v>
      </c>
      <c r="N26" s="5">
        <f t="shared" ca="1" si="11"/>
        <v>1839.31864</v>
      </c>
      <c r="O26" s="5">
        <f t="shared" ca="1" si="11"/>
        <v>1816.10852</v>
      </c>
      <c r="P26" s="5">
        <f t="shared" ca="1" si="11"/>
        <v>1824.53727</v>
      </c>
      <c r="Q26" s="5">
        <f t="shared" ca="1" si="11"/>
        <v>1836.99838</v>
      </c>
      <c r="R26" s="5">
        <f t="shared" ca="1" si="11"/>
        <v>1841.03432</v>
      </c>
      <c r="S26" s="5">
        <f t="shared" ca="1" si="11"/>
        <v>1863.72659</v>
      </c>
      <c r="T26" s="5">
        <f t="shared" ca="1" si="11"/>
        <v>1843.5369700000001</v>
      </c>
      <c r="U26" s="5">
        <f t="shared" ca="1" si="11"/>
        <v>1838.6291000000001</v>
      </c>
      <c r="W26" s="5">
        <f t="shared" ca="1" si="12"/>
        <v>1841.3370330000005</v>
      </c>
      <c r="Y26" s="5">
        <f ca="1">Total!E26</f>
        <v>1786.3248599999999</v>
      </c>
      <c r="AB26" s="5">
        <f t="shared" ca="1" si="1"/>
        <v>3.4983507982976829E-2</v>
      </c>
      <c r="AC26" s="5">
        <f t="shared" ca="1" si="2"/>
        <v>4.16155603410234E-2</v>
      </c>
      <c r="AD26" s="5">
        <f t="shared" ca="1" si="3"/>
        <v>2.9666373226200311E-2</v>
      </c>
      <c r="AE26" s="5">
        <f t="shared" ca="1" si="4"/>
        <v>1.6673148690322798E-2</v>
      </c>
      <c r="AF26" s="5">
        <f t="shared" ca="1" si="5"/>
        <v>2.1391635337818727E-2</v>
      </c>
      <c r="AG26" s="5">
        <f t="shared" ca="1" si="6"/>
        <v>2.8367471748671769E-2</v>
      </c>
      <c r="AH26" s="5">
        <f t="shared" ca="1" si="7"/>
        <v>3.0626825626778792E-2</v>
      </c>
      <c r="AI26" s="5">
        <f t="shared" ca="1" si="8"/>
        <v>4.3330153284660687E-2</v>
      </c>
      <c r="AJ26" s="5">
        <f t="shared" ca="1" si="9"/>
        <v>3.2027830592919235E-2</v>
      </c>
      <c r="AK26" s="5">
        <f t="shared" ca="1" si="10"/>
        <v>2.9280362811499004E-2</v>
      </c>
      <c r="AM26" s="5">
        <f t="shared" ca="1" si="13"/>
        <v>0.30796286964287156</v>
      </c>
    </row>
    <row r="27" spans="1:39" x14ac:dyDescent="0.25">
      <c r="A27" s="5" t="s">
        <v>27</v>
      </c>
      <c r="B27" s="5">
        <v>30</v>
      </c>
      <c r="C27" s="5">
        <v>1</v>
      </c>
      <c r="D27" s="5">
        <v>156.12666999999999</v>
      </c>
      <c r="E27" s="5">
        <v>1.77443</v>
      </c>
      <c r="F27" s="5">
        <v>89</v>
      </c>
      <c r="H27" s="5" t="s">
        <v>1</v>
      </c>
      <c r="I27" s="5">
        <v>100</v>
      </c>
      <c r="J27" s="5">
        <v>0.7</v>
      </c>
      <c r="L27" s="5">
        <f t="shared" ca="1" si="11"/>
        <v>1787.8563899999999</v>
      </c>
      <c r="M27" s="5">
        <f t="shared" ca="1" si="11"/>
        <v>1787.99397</v>
      </c>
      <c r="N27" s="5">
        <f t="shared" ca="1" si="11"/>
        <v>1788.3952400000001</v>
      </c>
      <c r="O27" s="5">
        <f t="shared" ca="1" si="11"/>
        <v>1793.7451900000001</v>
      </c>
      <c r="P27" s="5">
        <f t="shared" ca="1" si="11"/>
        <v>1776.9782600000001</v>
      </c>
      <c r="Q27" s="5">
        <f t="shared" ca="1" si="11"/>
        <v>1776.1147000000001</v>
      </c>
      <c r="R27" s="5">
        <f t="shared" ca="1" si="11"/>
        <v>1775.3332600000001</v>
      </c>
      <c r="S27" s="5">
        <f t="shared" ca="1" si="11"/>
        <v>1776.9044799999999</v>
      </c>
      <c r="T27" s="5">
        <f t="shared" ca="1" si="11"/>
        <v>1774.5234499999999</v>
      </c>
      <c r="U27" s="5">
        <f t="shared" ca="1" si="11"/>
        <v>1775.8339800000001</v>
      </c>
      <c r="W27" s="5">
        <f t="shared" ca="1" si="12"/>
        <v>1781.3678919999998</v>
      </c>
      <c r="Y27" s="5">
        <f ca="1">Total!E27</f>
        <v>1761.02206</v>
      </c>
      <c r="AB27" s="5">
        <f t="shared" ca="1" si="1"/>
        <v>1.5237929501008017E-2</v>
      </c>
      <c r="AC27" s="5">
        <f t="shared" ca="1" si="2"/>
        <v>1.5316054587073134E-2</v>
      </c>
      <c r="AD27" s="5">
        <f t="shared" ca="1" si="3"/>
        <v>1.5543916582169361E-2</v>
      </c>
      <c r="AE27" s="5">
        <f t="shared" ca="1" si="4"/>
        <v>1.8581896696967033E-2</v>
      </c>
      <c r="AF27" s="5">
        <f t="shared" ca="1" si="5"/>
        <v>9.0607609992120596E-3</v>
      </c>
      <c r="AG27" s="5">
        <f t="shared" ca="1" si="6"/>
        <v>8.57038667647359E-3</v>
      </c>
      <c r="AH27" s="5">
        <f t="shared" ca="1" si="7"/>
        <v>8.1266443646935901E-3</v>
      </c>
      <c r="AI27" s="5">
        <f t="shared" ca="1" si="8"/>
        <v>9.0188648744127086E-3</v>
      </c>
      <c r="AJ27" s="5">
        <f t="shared" ca="1" si="9"/>
        <v>7.6667920900433811E-3</v>
      </c>
      <c r="AK27" s="5">
        <f t="shared" ca="1" si="10"/>
        <v>8.4109792469039824E-3</v>
      </c>
      <c r="AM27" s="5">
        <f t="shared" ca="1" si="13"/>
        <v>0.11553422561895685</v>
      </c>
    </row>
    <row r="28" spans="1:39" x14ac:dyDescent="0.25">
      <c r="A28" s="5" t="s">
        <v>27</v>
      </c>
      <c r="B28" s="5">
        <v>30</v>
      </c>
      <c r="C28" s="5">
        <v>1</v>
      </c>
      <c r="D28" s="5">
        <v>156.12666999999999</v>
      </c>
      <c r="E28" s="5">
        <v>1.78172</v>
      </c>
      <c r="F28" s="5">
        <v>89</v>
      </c>
      <c r="H28" s="5" t="s">
        <v>1</v>
      </c>
      <c r="I28" s="5">
        <v>100</v>
      </c>
      <c r="J28" s="5">
        <v>1</v>
      </c>
      <c r="L28" s="5">
        <f t="shared" ca="1" si="11"/>
        <v>1759.58</v>
      </c>
      <c r="M28" s="5">
        <f t="shared" ca="1" si="11"/>
        <v>1758.44191</v>
      </c>
      <c r="N28" s="5">
        <f t="shared" ca="1" si="11"/>
        <v>1754.8666700000001</v>
      </c>
      <c r="O28" s="5">
        <f t="shared" ca="1" si="11"/>
        <v>1756.9433300000001</v>
      </c>
      <c r="P28" s="5">
        <f t="shared" ca="1" si="11"/>
        <v>1757.03333</v>
      </c>
      <c r="Q28" s="5">
        <f t="shared" ca="1" si="11"/>
        <v>1758.02667</v>
      </c>
      <c r="R28" s="5">
        <f t="shared" ca="1" si="11"/>
        <v>1753.7587100000001</v>
      </c>
      <c r="S28" s="5">
        <f t="shared" ca="1" si="11"/>
        <v>1754.54</v>
      </c>
      <c r="T28" s="5">
        <f t="shared" ca="1" si="11"/>
        <v>1757.25</v>
      </c>
      <c r="U28" s="5">
        <f t="shared" ca="1" si="11"/>
        <v>1757.00152</v>
      </c>
      <c r="W28" s="5">
        <f t="shared" ca="1" si="12"/>
        <v>1756.7442139999998</v>
      </c>
      <c r="Y28" s="5">
        <f ca="1">Total!E28</f>
        <v>1753.1198199999999</v>
      </c>
      <c r="AB28" s="5">
        <f t="shared" ca="1" si="1"/>
        <v>3.6849620466900186E-3</v>
      </c>
      <c r="AC28" s="5">
        <f t="shared" ca="1" si="2"/>
        <v>3.035782231929884E-3</v>
      </c>
      <c r="AD28" s="5">
        <f t="shared" ca="1" si="3"/>
        <v>9.9642362151847815E-4</v>
      </c>
      <c r="AE28" s="5">
        <f t="shared" ca="1" si="4"/>
        <v>2.180974715122535E-3</v>
      </c>
      <c r="AF28" s="5">
        <f t="shared" ca="1" si="5"/>
        <v>2.232311765205009E-3</v>
      </c>
      <c r="AG28" s="5">
        <f t="shared" ca="1" si="6"/>
        <v>2.798924491082462E-3</v>
      </c>
      <c r="AH28" s="5">
        <f t="shared" ca="1" si="7"/>
        <v>3.6443031030256338E-4</v>
      </c>
      <c r="AI28" s="5">
        <f t="shared" ca="1" si="8"/>
        <v>8.1008724206886964E-4</v>
      </c>
      <c r="AJ28" s="5">
        <f t="shared" ca="1" si="9"/>
        <v>2.3559028612203528E-3</v>
      </c>
      <c r="AK28" s="5">
        <f t="shared" ca="1" si="10"/>
        <v>2.214166970059204E-3</v>
      </c>
      <c r="AM28" s="5">
        <f t="shared" ca="1" si="13"/>
        <v>2.0673966255199377E-2</v>
      </c>
    </row>
    <row r="29" spans="1:39" x14ac:dyDescent="0.25">
      <c r="A29" s="5" t="s">
        <v>27</v>
      </c>
      <c r="B29" s="5">
        <v>30</v>
      </c>
      <c r="C29" s="5">
        <v>1</v>
      </c>
      <c r="D29" s="5">
        <v>156.12666999999999</v>
      </c>
      <c r="E29" s="5">
        <v>1.77142</v>
      </c>
      <c r="F29" s="5">
        <v>89</v>
      </c>
      <c r="H29" s="5" t="s">
        <v>0</v>
      </c>
      <c r="I29" s="5">
        <v>25</v>
      </c>
      <c r="J29" s="5">
        <v>0.4</v>
      </c>
      <c r="L29" s="5">
        <f t="shared" ca="1" si="11"/>
        <v>41.318849999999998</v>
      </c>
      <c r="M29" s="5">
        <f t="shared" ca="1" si="11"/>
        <v>42.424349999999997</v>
      </c>
      <c r="N29" s="5">
        <f t="shared" ca="1" si="11"/>
        <v>42.424349999999997</v>
      </c>
      <c r="O29" s="5">
        <f t="shared" ca="1" si="11"/>
        <v>42.424349999999997</v>
      </c>
      <c r="P29" s="5">
        <f t="shared" ca="1" si="11"/>
        <v>41.318849999999998</v>
      </c>
      <c r="Q29" s="5">
        <f t="shared" ca="1" si="11"/>
        <v>42.424349999999997</v>
      </c>
      <c r="R29" s="5">
        <f t="shared" ca="1" si="11"/>
        <v>41.318849999999998</v>
      </c>
      <c r="S29" s="5">
        <f t="shared" ca="1" si="11"/>
        <v>42.424349999999997</v>
      </c>
      <c r="T29" s="5">
        <f t="shared" ca="1" si="11"/>
        <v>42.424349999999997</v>
      </c>
      <c r="U29" s="5">
        <f t="shared" ca="1" si="11"/>
        <v>41.319229999999997</v>
      </c>
      <c r="W29" s="5">
        <f t="shared" ca="1" si="12"/>
        <v>41.982188000000001</v>
      </c>
      <c r="Y29" s="5">
        <f ca="1">Total!E29</f>
        <v>40.897550000000003</v>
      </c>
      <c r="AB29" s="5">
        <f t="shared" ca="1" si="1"/>
        <v>1.0301350569899543E-2</v>
      </c>
      <c r="AC29" s="5">
        <f t="shared" ca="1" si="2"/>
        <v>3.7332309637129711E-2</v>
      </c>
      <c r="AD29" s="5">
        <f t="shared" ca="1" si="3"/>
        <v>3.7332309637129711E-2</v>
      </c>
      <c r="AE29" s="5">
        <f t="shared" ca="1" si="4"/>
        <v>3.7332309637129711E-2</v>
      </c>
      <c r="AF29" s="5">
        <f t="shared" ca="1" si="5"/>
        <v>1.0301350569899543E-2</v>
      </c>
      <c r="AG29" s="5">
        <f t="shared" ca="1" si="6"/>
        <v>3.7332309637129711E-2</v>
      </c>
      <c r="AH29" s="5">
        <f t="shared" ca="1" si="7"/>
        <v>1.0301350569899543E-2</v>
      </c>
      <c r="AI29" s="5">
        <f t="shared" ca="1" si="8"/>
        <v>3.7332309637129711E-2</v>
      </c>
      <c r="AJ29" s="5">
        <f t="shared" ca="1" si="9"/>
        <v>3.7332309637129711E-2</v>
      </c>
      <c r="AK29" s="5">
        <f t="shared" ca="1" si="10"/>
        <v>1.0310642080026675E-2</v>
      </c>
      <c r="AM29" s="5">
        <f t="shared" ca="1" si="13"/>
        <v>0.26520855161250356</v>
      </c>
    </row>
    <row r="30" spans="1:39" x14ac:dyDescent="0.25">
      <c r="A30" s="5" t="s">
        <v>27</v>
      </c>
      <c r="B30" s="5">
        <v>30</v>
      </c>
      <c r="C30" s="5">
        <v>1</v>
      </c>
      <c r="D30" s="5">
        <v>156.12666999999999</v>
      </c>
      <c r="E30" s="5">
        <v>1.78332</v>
      </c>
      <c r="F30" s="5">
        <v>91</v>
      </c>
      <c r="H30" s="5" t="s">
        <v>0</v>
      </c>
      <c r="I30" s="5">
        <v>25</v>
      </c>
      <c r="J30" s="5">
        <v>0.7</v>
      </c>
      <c r="L30" s="5">
        <f t="shared" ca="1" si="11"/>
        <v>28.65436</v>
      </c>
      <c r="M30" s="5">
        <f t="shared" ca="1" si="11"/>
        <v>28.65436</v>
      </c>
      <c r="N30" s="5">
        <f t="shared" ca="1" si="11"/>
        <v>28.65436</v>
      </c>
      <c r="O30" s="5">
        <f t="shared" ca="1" si="11"/>
        <v>28.65436</v>
      </c>
      <c r="P30" s="5">
        <f t="shared" ca="1" si="11"/>
        <v>28.65436</v>
      </c>
      <c r="Q30" s="5">
        <f t="shared" ca="1" si="11"/>
        <v>28.65436</v>
      </c>
      <c r="R30" s="5">
        <f t="shared" ca="1" si="11"/>
        <v>28.65436</v>
      </c>
      <c r="S30" s="5">
        <f t="shared" ca="1" si="11"/>
        <v>28.65436</v>
      </c>
      <c r="T30" s="5">
        <f t="shared" ca="1" si="11"/>
        <v>28.65436</v>
      </c>
      <c r="U30" s="5">
        <f t="shared" ca="1" si="11"/>
        <v>28.65436</v>
      </c>
      <c r="W30" s="5">
        <f t="shared" ca="1" si="12"/>
        <v>28.654360000000004</v>
      </c>
      <c r="Y30" s="5">
        <f ca="1">Total!E30</f>
        <v>28.65436</v>
      </c>
      <c r="AB30" s="5">
        <f t="shared" ca="1" si="1"/>
        <v>0</v>
      </c>
      <c r="AC30" s="5">
        <f t="shared" ca="1" si="2"/>
        <v>0</v>
      </c>
      <c r="AD30" s="5">
        <f t="shared" ca="1" si="3"/>
        <v>0</v>
      </c>
      <c r="AE30" s="5">
        <f t="shared" ca="1" si="4"/>
        <v>0</v>
      </c>
      <c r="AF30" s="5">
        <f t="shared" ca="1" si="5"/>
        <v>0</v>
      </c>
      <c r="AG30" s="5">
        <f t="shared" ca="1" si="6"/>
        <v>0</v>
      </c>
      <c r="AH30" s="5">
        <f t="shared" ca="1" si="7"/>
        <v>0</v>
      </c>
      <c r="AI30" s="5">
        <f t="shared" ca="1" si="8"/>
        <v>0</v>
      </c>
      <c r="AJ30" s="5">
        <f t="shared" ca="1" si="9"/>
        <v>0</v>
      </c>
      <c r="AK30" s="5">
        <f t="shared" ca="1" si="10"/>
        <v>0</v>
      </c>
      <c r="AM30" s="5">
        <f t="shared" ca="1" si="13"/>
        <v>0</v>
      </c>
    </row>
    <row r="31" spans="1:39" x14ac:dyDescent="0.25">
      <c r="A31" s="5" t="s">
        <v>27</v>
      </c>
      <c r="B31" s="5">
        <v>50</v>
      </c>
      <c r="C31" s="5">
        <v>0.4</v>
      </c>
      <c r="D31" s="5">
        <v>491.35005000000001</v>
      </c>
      <c r="E31" s="5">
        <v>1.23126</v>
      </c>
      <c r="F31" s="5">
        <v>15</v>
      </c>
      <c r="H31" s="5" t="s">
        <v>0</v>
      </c>
      <c r="I31" s="5">
        <v>25</v>
      </c>
      <c r="J31" s="5">
        <v>1</v>
      </c>
      <c r="L31" s="5">
        <f t="shared" ca="1" si="11"/>
        <v>28.602029999999999</v>
      </c>
      <c r="M31" s="5">
        <f t="shared" ca="1" si="11"/>
        <v>28.627030000000001</v>
      </c>
      <c r="N31" s="5">
        <f t="shared" ca="1" si="11"/>
        <v>28.602029999999999</v>
      </c>
      <c r="O31" s="5">
        <f t="shared" ca="1" si="11"/>
        <v>28.602029999999999</v>
      </c>
      <c r="P31" s="5">
        <f t="shared" ca="1" si="11"/>
        <v>28.504100000000001</v>
      </c>
      <c r="Q31" s="5">
        <f t="shared" ca="1" si="11"/>
        <v>28.595680000000002</v>
      </c>
      <c r="R31" s="5">
        <f t="shared" ca="1" si="11"/>
        <v>28.546240000000001</v>
      </c>
      <c r="S31" s="5">
        <f t="shared" ca="1" si="11"/>
        <v>28.592030000000001</v>
      </c>
      <c r="T31" s="5">
        <f t="shared" ca="1" si="11"/>
        <v>28.587009999999999</v>
      </c>
      <c r="U31" s="5">
        <f t="shared" ca="1" si="11"/>
        <v>28.592030000000001</v>
      </c>
      <c r="W31" s="5">
        <f t="shared" ca="1" si="12"/>
        <v>28.585021000000001</v>
      </c>
      <c r="Y31" s="5">
        <f ca="1">Total!E31</f>
        <v>28.504100000000001</v>
      </c>
      <c r="AB31" s="5">
        <f t="shared" ca="1" si="1"/>
        <v>3.4356461000346642E-3</v>
      </c>
      <c r="AC31" s="5">
        <f t="shared" ca="1" si="2"/>
        <v>4.3127129079676332E-3</v>
      </c>
      <c r="AD31" s="5">
        <f t="shared" ca="1" si="3"/>
        <v>3.4356461000346642E-3</v>
      </c>
      <c r="AE31" s="5">
        <f t="shared" ca="1" si="4"/>
        <v>3.4356461000346642E-3</v>
      </c>
      <c r="AF31" s="5">
        <f t="shared" ca="1" si="5"/>
        <v>0</v>
      </c>
      <c r="AG31" s="5">
        <f t="shared" ca="1" si="6"/>
        <v>3.212871130819792E-3</v>
      </c>
      <c r="AH31" s="5">
        <f t="shared" ca="1" si="7"/>
        <v>1.4783838114516804E-3</v>
      </c>
      <c r="AI31" s="5">
        <f t="shared" ca="1" si="8"/>
        <v>3.0848193768615766E-3</v>
      </c>
      <c r="AJ31" s="5">
        <f t="shared" ca="1" si="9"/>
        <v>2.9087043618285882E-3</v>
      </c>
      <c r="AK31" s="5">
        <f t="shared" ca="1" si="10"/>
        <v>3.0848193768615766E-3</v>
      </c>
      <c r="AM31" s="5">
        <f t="shared" ca="1" si="13"/>
        <v>2.8389249265894839E-2</v>
      </c>
    </row>
    <row r="32" spans="1:39" x14ac:dyDescent="0.25">
      <c r="A32" s="5" t="s">
        <v>27</v>
      </c>
      <c r="B32" s="5">
        <v>50</v>
      </c>
      <c r="C32" s="5">
        <v>0.4</v>
      </c>
      <c r="D32" s="5">
        <v>491.35005000000001</v>
      </c>
      <c r="E32" s="5">
        <v>1.22959</v>
      </c>
      <c r="F32" s="5">
        <v>16</v>
      </c>
      <c r="H32" s="5" t="s">
        <v>0</v>
      </c>
      <c r="I32" s="5">
        <v>50</v>
      </c>
      <c r="J32" s="5">
        <v>0.4</v>
      </c>
      <c r="L32" s="5">
        <f t="shared" ca="1" si="11"/>
        <v>59.080689999999997</v>
      </c>
      <c r="M32" s="5">
        <f t="shared" ca="1" si="11"/>
        <v>59.865760000000002</v>
      </c>
      <c r="N32" s="5">
        <f t="shared" ca="1" si="11"/>
        <v>60.039369999999998</v>
      </c>
      <c r="O32" s="5">
        <f t="shared" ca="1" si="11"/>
        <v>56.911659999999998</v>
      </c>
      <c r="P32" s="5">
        <f t="shared" ca="1" si="11"/>
        <v>59.914349999999999</v>
      </c>
      <c r="Q32" s="5">
        <f t="shared" ca="1" si="11"/>
        <v>59.768680000000003</v>
      </c>
      <c r="R32" s="5">
        <f t="shared" ca="1" si="11"/>
        <v>59.680669999999999</v>
      </c>
      <c r="S32" s="5">
        <f t="shared" ca="1" si="11"/>
        <v>59.292850000000001</v>
      </c>
      <c r="T32" s="5">
        <f t="shared" ca="1" si="11"/>
        <v>59.800989999999999</v>
      </c>
      <c r="U32" s="5">
        <f t="shared" ca="1" si="11"/>
        <v>59.092509999999997</v>
      </c>
      <c r="W32" s="5">
        <f t="shared" ca="1" si="12"/>
        <v>59.34475299999999</v>
      </c>
      <c r="Y32" s="5">
        <f ca="1">Total!E32</f>
        <v>56.511339999999997</v>
      </c>
      <c r="AB32" s="5">
        <f t="shared" ca="1" si="1"/>
        <v>4.5466095831385347E-2</v>
      </c>
      <c r="AC32" s="5">
        <f t="shared" ca="1" si="2"/>
        <v>5.9358351792755309E-2</v>
      </c>
      <c r="AD32" s="5">
        <f t="shared" ca="1" si="3"/>
        <v>6.2430478555277599E-2</v>
      </c>
      <c r="AE32" s="5">
        <f t="shared" ca="1" si="4"/>
        <v>7.0838879417830245E-3</v>
      </c>
      <c r="AF32" s="5">
        <f t="shared" ca="1" si="5"/>
        <v>6.0218179218542722E-2</v>
      </c>
      <c r="AG32" s="5">
        <f t="shared" ca="1" si="6"/>
        <v>5.764046649752079E-2</v>
      </c>
      <c r="AH32" s="5">
        <f t="shared" ca="1" si="7"/>
        <v>5.6083079962358041E-2</v>
      </c>
      <c r="AI32" s="5">
        <f t="shared" ca="1" si="8"/>
        <v>4.9220386563121749E-2</v>
      </c>
      <c r="AJ32" s="5">
        <f t="shared" ca="1" si="9"/>
        <v>5.8212210151095373E-2</v>
      </c>
      <c r="AK32" s="5">
        <f t="shared" ca="1" si="10"/>
        <v>4.5675257390817493E-2</v>
      </c>
      <c r="AM32" s="5">
        <f t="shared" ca="1" si="13"/>
        <v>0.50138839390465739</v>
      </c>
    </row>
    <row r="33" spans="1:39" x14ac:dyDescent="0.25">
      <c r="A33" s="5" t="s">
        <v>27</v>
      </c>
      <c r="B33" s="5">
        <v>50</v>
      </c>
      <c r="C33" s="5">
        <v>0.4</v>
      </c>
      <c r="D33" s="5">
        <v>491.35005000000001</v>
      </c>
      <c r="E33" s="5">
        <v>1.2119599999999999</v>
      </c>
      <c r="F33" s="5">
        <v>15</v>
      </c>
      <c r="H33" s="5" t="s">
        <v>0</v>
      </c>
      <c r="I33" s="5">
        <v>50</v>
      </c>
      <c r="J33" s="5">
        <v>0.7</v>
      </c>
      <c r="L33" s="5">
        <f t="shared" ca="1" si="11"/>
        <v>53.603830000000002</v>
      </c>
      <c r="M33" s="5">
        <f t="shared" ca="1" si="11"/>
        <v>53.65925</v>
      </c>
      <c r="N33" s="5">
        <f t="shared" ca="1" si="11"/>
        <v>53.166080000000001</v>
      </c>
      <c r="O33" s="5">
        <f t="shared" ca="1" si="11"/>
        <v>53.545520000000003</v>
      </c>
      <c r="P33" s="5">
        <f t="shared" ca="1" si="11"/>
        <v>53.553719999999998</v>
      </c>
      <c r="Q33" s="5">
        <f t="shared" ca="1" si="11"/>
        <v>53.553739999999998</v>
      </c>
      <c r="R33" s="5">
        <f t="shared" ca="1" si="11"/>
        <v>53.245069999999998</v>
      </c>
      <c r="S33" s="5">
        <f t="shared" ca="1" si="11"/>
        <v>53.405999999999999</v>
      </c>
      <c r="T33" s="5">
        <f t="shared" ca="1" si="11"/>
        <v>53.4056</v>
      </c>
      <c r="U33" s="5">
        <f t="shared" ca="1" si="11"/>
        <v>53.492660000000001</v>
      </c>
      <c r="W33" s="5">
        <f t="shared" ca="1" si="12"/>
        <v>53.463147000000006</v>
      </c>
      <c r="Y33" s="5">
        <f ca="1">Total!E33</f>
        <v>53.115070000000003</v>
      </c>
      <c r="AB33" s="5">
        <f t="shared" ca="1" si="1"/>
        <v>9.2019082343297136E-3</v>
      </c>
      <c r="AC33" s="5">
        <f t="shared" ca="1" si="2"/>
        <v>1.024530326327344E-2</v>
      </c>
      <c r="AD33" s="5">
        <f t="shared" ca="1" si="3"/>
        <v>9.6036774497328158E-4</v>
      </c>
      <c r="AE33" s="5">
        <f t="shared" ca="1" si="4"/>
        <v>8.1041030351649817E-3</v>
      </c>
      <c r="AF33" s="5">
        <f t="shared" ca="1" si="5"/>
        <v>8.2584848330237645E-3</v>
      </c>
      <c r="AG33" s="5">
        <f t="shared" ca="1" si="6"/>
        <v>8.258861373994137E-3</v>
      </c>
      <c r="AH33" s="5">
        <f t="shared" ca="1" si="7"/>
        <v>2.4475163075186653E-3</v>
      </c>
      <c r="AI33" s="5">
        <f t="shared" ca="1" si="8"/>
        <v>5.4773532257416943E-3</v>
      </c>
      <c r="AJ33" s="5">
        <f t="shared" ca="1" si="9"/>
        <v>5.4698224063339622E-3</v>
      </c>
      <c r="AK33" s="5">
        <f t="shared" ca="1" si="10"/>
        <v>7.1089052504307694E-3</v>
      </c>
      <c r="AM33" s="5">
        <f t="shared" ca="1" si="13"/>
        <v>6.5532625674784406E-2</v>
      </c>
    </row>
    <row r="34" spans="1:39" x14ac:dyDescent="0.25">
      <c r="A34" s="5" t="s">
        <v>27</v>
      </c>
      <c r="B34" s="5">
        <v>50</v>
      </c>
      <c r="C34" s="5">
        <v>0.4</v>
      </c>
      <c r="D34" s="5">
        <v>491.35005000000001</v>
      </c>
      <c r="E34" s="5">
        <v>1.2372099999999999</v>
      </c>
      <c r="F34" s="5">
        <v>16</v>
      </c>
      <c r="H34" s="5" t="s">
        <v>0</v>
      </c>
      <c r="I34" s="5">
        <v>50</v>
      </c>
      <c r="J34" s="5">
        <v>1</v>
      </c>
      <c r="L34" s="5">
        <f t="shared" ca="1" si="11"/>
        <v>53.115519999999997</v>
      </c>
      <c r="M34" s="5">
        <f t="shared" ca="1" si="11"/>
        <v>53.462179999999996</v>
      </c>
      <c r="N34" s="5">
        <f t="shared" ca="1" si="11"/>
        <v>53.258319999999998</v>
      </c>
      <c r="O34" s="5">
        <f t="shared" ca="1" si="11"/>
        <v>53.298319999999997</v>
      </c>
      <c r="P34" s="5">
        <f t="shared" ca="1" si="11"/>
        <v>53.427489999999999</v>
      </c>
      <c r="Q34" s="5">
        <f t="shared" ca="1" si="11"/>
        <v>53.187489999999997</v>
      </c>
      <c r="R34" s="5">
        <f t="shared" ca="1" si="11"/>
        <v>53.237569999999998</v>
      </c>
      <c r="S34" s="5">
        <f t="shared" ca="1" si="11"/>
        <v>53.187489999999997</v>
      </c>
      <c r="T34" s="5">
        <f t="shared" ca="1" si="11"/>
        <v>53.237490000000001</v>
      </c>
      <c r="U34" s="5">
        <f t="shared" ca="1" si="11"/>
        <v>53.187570000000001</v>
      </c>
      <c r="W34" s="5">
        <f t="shared" ca="1" si="12"/>
        <v>53.259944000000004</v>
      </c>
      <c r="Y34" s="5">
        <f ca="1">Total!E34</f>
        <v>53.003740000000001</v>
      </c>
      <c r="AB34" s="5">
        <f t="shared" ca="1" si="1"/>
        <v>2.1089077865070653E-3</v>
      </c>
      <c r="AC34" s="5">
        <f t="shared" ca="1" si="2"/>
        <v>8.6492009809118371E-3</v>
      </c>
      <c r="AD34" s="5">
        <f t="shared" ca="1" si="3"/>
        <v>4.8030572936928065E-3</v>
      </c>
      <c r="AE34" s="5">
        <f t="shared" ca="1" si="4"/>
        <v>5.5577210211957924E-3</v>
      </c>
      <c r="AF34" s="5">
        <f t="shared" ca="1" si="5"/>
        <v>7.9947188632349016E-3</v>
      </c>
      <c r="AG34" s="5">
        <f t="shared" ca="1" si="6"/>
        <v>3.4667364982168486E-3</v>
      </c>
      <c r="AH34" s="5">
        <f t="shared" ca="1" si="7"/>
        <v>4.4115754850506308E-3</v>
      </c>
      <c r="AI34" s="5">
        <f t="shared" ca="1" si="8"/>
        <v>3.4667364982168486E-3</v>
      </c>
      <c r="AJ34" s="5">
        <f t="shared" ca="1" si="9"/>
        <v>4.410066157595682E-3</v>
      </c>
      <c r="AK34" s="5">
        <f t="shared" ca="1" si="10"/>
        <v>3.4682458256719314E-3</v>
      </c>
      <c r="AM34" s="5">
        <f t="shared" ca="1" si="13"/>
        <v>4.8336966410294342E-2</v>
      </c>
    </row>
    <row r="35" spans="1:39" x14ac:dyDescent="0.25">
      <c r="A35" s="5" t="s">
        <v>27</v>
      </c>
      <c r="B35" s="5">
        <v>50</v>
      </c>
      <c r="C35" s="5">
        <v>0.4</v>
      </c>
      <c r="D35" s="5">
        <v>491.35005000000001</v>
      </c>
      <c r="E35" s="5">
        <v>1.23898</v>
      </c>
      <c r="F35" s="5">
        <v>16</v>
      </c>
      <c r="H35" s="5" t="s">
        <v>0</v>
      </c>
      <c r="I35" s="5">
        <v>100</v>
      </c>
      <c r="J35" s="5">
        <v>0.4</v>
      </c>
      <c r="L35" s="5">
        <f t="shared" ca="1" si="11"/>
        <v>148.22450000000001</v>
      </c>
      <c r="M35" s="5">
        <f t="shared" ca="1" si="11"/>
        <v>148.18366</v>
      </c>
      <c r="N35" s="5">
        <f t="shared" ca="1" si="11"/>
        <v>148.19653</v>
      </c>
      <c r="O35" s="5">
        <f t="shared" ca="1" si="11"/>
        <v>148.19569000000001</v>
      </c>
      <c r="P35" s="5">
        <f t="shared" ca="1" si="11"/>
        <v>148.22672</v>
      </c>
      <c r="Q35" s="5">
        <f t="shared" ca="1" si="11"/>
        <v>148.15782999999999</v>
      </c>
      <c r="R35" s="5">
        <f t="shared" ca="1" si="11"/>
        <v>148.24485999999999</v>
      </c>
      <c r="S35" s="5">
        <f t="shared" ca="1" si="11"/>
        <v>148.16479000000001</v>
      </c>
      <c r="T35" s="5">
        <f t="shared" ca="1" si="11"/>
        <v>148.19163</v>
      </c>
      <c r="U35" s="5">
        <f t="shared" ca="1" si="11"/>
        <v>148.23652999999999</v>
      </c>
      <c r="W35" s="5">
        <f t="shared" ca="1" si="12"/>
        <v>148.20227399999999</v>
      </c>
      <c r="Y35" s="5">
        <f ca="1">Total!E35</f>
        <v>147.96312</v>
      </c>
      <c r="AB35" s="5">
        <f t="shared" ca="1" si="1"/>
        <v>1.7665212790863197E-3</v>
      </c>
      <c r="AC35" s="5">
        <f t="shared" ca="1" si="2"/>
        <v>1.49050655325462E-3</v>
      </c>
      <c r="AD35" s="5">
        <f t="shared" ca="1" si="3"/>
        <v>1.5774876874723384E-3</v>
      </c>
      <c r="AE35" s="5">
        <f t="shared" ca="1" si="4"/>
        <v>1.5718105971272416E-3</v>
      </c>
      <c r="AF35" s="5">
        <f t="shared" ca="1" si="5"/>
        <v>1.7815250178557787E-3</v>
      </c>
      <c r="AG35" s="5">
        <f t="shared" ca="1" si="6"/>
        <v>1.3159360251391455E-3</v>
      </c>
      <c r="AH35" s="5">
        <f t="shared" ca="1" si="7"/>
        <v>1.9041231355488111E-3</v>
      </c>
      <c r="AI35" s="5">
        <f t="shared" ca="1" si="8"/>
        <v>1.3629747737139303E-3</v>
      </c>
      <c r="AJ35" s="5">
        <f t="shared" ca="1" si="9"/>
        <v>1.5443713271252998E-3</v>
      </c>
      <c r="AK35" s="5">
        <f t="shared" ca="1" si="10"/>
        <v>1.8478253229587491E-3</v>
      </c>
      <c r="AM35" s="5">
        <f t="shared" ca="1" si="13"/>
        <v>1.6163081719282234E-2</v>
      </c>
    </row>
    <row r="36" spans="1:39" x14ac:dyDescent="0.25">
      <c r="A36" s="5" t="s">
        <v>27</v>
      </c>
      <c r="B36" s="5">
        <v>50</v>
      </c>
      <c r="C36" s="5">
        <v>0.4</v>
      </c>
      <c r="D36" s="5">
        <v>491.35005000000001</v>
      </c>
      <c r="E36" s="5">
        <v>1.25196</v>
      </c>
      <c r="F36" s="5">
        <v>14</v>
      </c>
      <c r="H36" s="5" t="s">
        <v>0</v>
      </c>
      <c r="I36" s="5">
        <v>100</v>
      </c>
      <c r="J36" s="5">
        <v>0.7</v>
      </c>
      <c r="L36" s="5">
        <f t="shared" ca="1" si="11"/>
        <v>107.94329999999999</v>
      </c>
      <c r="M36" s="5">
        <f t="shared" ca="1" si="11"/>
        <v>108.39988</v>
      </c>
      <c r="N36" s="5">
        <f t="shared" ca="1" si="11"/>
        <v>108.1942</v>
      </c>
      <c r="O36" s="5">
        <f t="shared" ca="1" si="11"/>
        <v>107.89919</v>
      </c>
      <c r="P36" s="5">
        <f t="shared" ca="1" si="11"/>
        <v>107.99996</v>
      </c>
      <c r="Q36" s="5">
        <f t="shared" ca="1" si="11"/>
        <v>107.83247</v>
      </c>
      <c r="R36" s="5">
        <f t="shared" ca="1" si="11"/>
        <v>108.19914</v>
      </c>
      <c r="S36" s="5">
        <f t="shared" ca="1" si="11"/>
        <v>107.98996</v>
      </c>
      <c r="T36" s="5">
        <f t="shared" ca="1" si="11"/>
        <v>108.23114</v>
      </c>
      <c r="U36" s="5">
        <f t="shared" ca="1" si="11"/>
        <v>108.0008</v>
      </c>
      <c r="W36" s="5">
        <f t="shared" ca="1" si="12"/>
        <v>108.06900399999999</v>
      </c>
      <c r="Y36" s="5">
        <f ca="1">Total!E36</f>
        <v>107.28163000000001</v>
      </c>
      <c r="AB36" s="5">
        <f t="shared" ca="1" si="1"/>
        <v>6.1675983110993614E-3</v>
      </c>
      <c r="AC36" s="5">
        <f t="shared" ca="1" si="2"/>
        <v>1.0423499344668692E-2</v>
      </c>
      <c r="AD36" s="5">
        <f t="shared" ca="1" si="3"/>
        <v>8.5063025235540147E-3</v>
      </c>
      <c r="AE36" s="5">
        <f t="shared" ca="1" si="4"/>
        <v>5.75643751870658E-3</v>
      </c>
      <c r="AF36" s="5">
        <f t="shared" ca="1" si="5"/>
        <v>6.6957409204166131E-3</v>
      </c>
      <c r="AG36" s="5">
        <f t="shared" ca="1" si="6"/>
        <v>5.1345230306436779E-3</v>
      </c>
      <c r="AH36" s="5">
        <f t="shared" ca="1" si="7"/>
        <v>8.5523495494987615E-3</v>
      </c>
      <c r="AI36" s="5">
        <f t="shared" ca="1" si="8"/>
        <v>6.6025283172896371E-3</v>
      </c>
      <c r="AJ36" s="5">
        <f t="shared" ca="1" si="9"/>
        <v>8.8506298795049017E-3</v>
      </c>
      <c r="AK36" s="5">
        <f t="shared" ca="1" si="10"/>
        <v>6.7035707790792437E-3</v>
      </c>
      <c r="AM36" s="5">
        <f t="shared" ca="1" si="13"/>
        <v>7.3393180174461475E-2</v>
      </c>
    </row>
    <row r="37" spans="1:39" x14ac:dyDescent="0.25">
      <c r="A37" s="5" t="s">
        <v>27</v>
      </c>
      <c r="B37" s="5">
        <v>50</v>
      </c>
      <c r="C37" s="5">
        <v>0.4</v>
      </c>
      <c r="D37" s="5">
        <v>491.35005000000001</v>
      </c>
      <c r="E37" s="5">
        <v>1.20157</v>
      </c>
      <c r="F37" s="5">
        <v>15</v>
      </c>
      <c r="H37" s="5" t="s">
        <v>0</v>
      </c>
      <c r="I37" s="5">
        <v>100</v>
      </c>
      <c r="J37" s="5">
        <v>1</v>
      </c>
      <c r="L37" s="5">
        <f t="shared" ca="1" si="11"/>
        <v>103.84586</v>
      </c>
      <c r="M37" s="5">
        <f t="shared" ca="1" si="11"/>
        <v>103.92968</v>
      </c>
      <c r="N37" s="5">
        <f t="shared" ca="1" si="11"/>
        <v>103.30698</v>
      </c>
      <c r="O37" s="5">
        <f t="shared" ca="1" si="11"/>
        <v>103.70247000000001</v>
      </c>
      <c r="P37" s="5">
        <f t="shared" ca="1" si="11"/>
        <v>103.98829000000001</v>
      </c>
      <c r="Q37" s="5">
        <f t="shared" ca="1" si="11"/>
        <v>104.00996000000001</v>
      </c>
      <c r="R37" s="5">
        <f t="shared" ca="1" si="11"/>
        <v>103.79837000000001</v>
      </c>
      <c r="S37" s="5">
        <f t="shared" ca="1" si="11"/>
        <v>104.19923</v>
      </c>
      <c r="T37" s="5">
        <f t="shared" ca="1" si="11"/>
        <v>104.07837000000001</v>
      </c>
      <c r="U37" s="5">
        <f t="shared" ca="1" si="11"/>
        <v>103.30034999999999</v>
      </c>
      <c r="W37" s="5">
        <f t="shared" ca="1" si="12"/>
        <v>103.81595599999999</v>
      </c>
      <c r="Y37" s="5">
        <f ca="1">Total!E37</f>
        <v>103.21266</v>
      </c>
      <c r="AB37" s="5">
        <f t="shared" ca="1" si="1"/>
        <v>6.1349063186628677E-3</v>
      </c>
      <c r="AC37" s="5">
        <f t="shared" ca="1" si="2"/>
        <v>6.9470159959059783E-3</v>
      </c>
      <c r="AD37" s="5">
        <f t="shared" ca="1" si="3"/>
        <v>9.138413834116492E-4</v>
      </c>
      <c r="AE37" s="5">
        <f t="shared" ca="1" si="4"/>
        <v>4.7456387617566065E-3</v>
      </c>
      <c r="AF37" s="5">
        <f t="shared" ca="1" si="5"/>
        <v>7.5148726910052189E-3</v>
      </c>
      <c r="AG37" s="5">
        <f t="shared" ca="1" si="6"/>
        <v>7.7248275550693786E-3</v>
      </c>
      <c r="AH37" s="5">
        <f t="shared" ca="1" si="7"/>
        <v>5.6747883447631903E-3</v>
      </c>
      <c r="AI37" s="5">
        <f t="shared" ca="1" si="8"/>
        <v>9.5586142242628028E-3</v>
      </c>
      <c r="AJ37" s="5">
        <f t="shared" ca="1" si="9"/>
        <v>8.3876338425926348E-3</v>
      </c>
      <c r="AK37" s="5">
        <f t="shared" ca="1" si="10"/>
        <v>8.4960507751660449E-4</v>
      </c>
      <c r="AM37" s="5">
        <f t="shared" ca="1" si="13"/>
        <v>5.8451744194946934E-2</v>
      </c>
    </row>
    <row r="38" spans="1:39" x14ac:dyDescent="0.25">
      <c r="A38" s="5" t="s">
        <v>27</v>
      </c>
      <c r="B38" s="5">
        <v>50</v>
      </c>
      <c r="C38" s="5">
        <v>0.4</v>
      </c>
      <c r="D38" s="5">
        <v>491.35005000000001</v>
      </c>
      <c r="E38" s="5">
        <v>1.22437</v>
      </c>
      <c r="F38" s="5">
        <v>16</v>
      </c>
      <c r="H38" s="5" t="s">
        <v>28</v>
      </c>
      <c r="I38" s="5">
        <v>29</v>
      </c>
      <c r="J38" s="5">
        <v>0.4</v>
      </c>
      <c r="L38" s="5">
        <f t="shared" ca="1" si="11"/>
        <v>1796.83125</v>
      </c>
      <c r="M38" s="5">
        <f t="shared" ca="1" si="11"/>
        <v>1796.83125</v>
      </c>
      <c r="N38" s="5">
        <f t="shared" ca="1" si="11"/>
        <v>1796.83125</v>
      </c>
      <c r="O38" s="5">
        <f t="shared" ca="1" si="11"/>
        <v>1796.83125</v>
      </c>
      <c r="P38" s="5">
        <f t="shared" ca="1" si="11"/>
        <v>1796.83125</v>
      </c>
      <c r="Q38" s="5">
        <f t="shared" ca="1" si="11"/>
        <v>1796.83125</v>
      </c>
      <c r="R38" s="5">
        <f t="shared" ca="1" si="11"/>
        <v>1796.83125</v>
      </c>
      <c r="S38" s="5">
        <f t="shared" ca="1" si="11"/>
        <v>1796.83125</v>
      </c>
      <c r="T38" s="5">
        <f t="shared" ca="1" si="11"/>
        <v>1796.83125</v>
      </c>
      <c r="U38" s="5">
        <f t="shared" ca="1" si="11"/>
        <v>1796.83125</v>
      </c>
      <c r="W38" s="5">
        <f t="shared" ca="1" si="12"/>
        <v>1796.8312499999997</v>
      </c>
      <c r="Y38" s="5" t="e">
        <f>Total!#REF!</f>
        <v>#REF!</v>
      </c>
      <c r="AB38" s="5" t="e">
        <f t="shared" ca="1" si="1"/>
        <v>#REF!</v>
      </c>
      <c r="AC38" s="5" t="e">
        <f t="shared" ca="1" si="2"/>
        <v>#REF!</v>
      </c>
      <c r="AD38" s="5" t="e">
        <f t="shared" ca="1" si="3"/>
        <v>#REF!</v>
      </c>
      <c r="AE38" s="5" t="e">
        <f t="shared" ca="1" si="4"/>
        <v>#REF!</v>
      </c>
      <c r="AF38" s="5" t="e">
        <f t="shared" ca="1" si="5"/>
        <v>#REF!</v>
      </c>
      <c r="AG38" s="5" t="e">
        <f t="shared" ca="1" si="6"/>
        <v>#REF!</v>
      </c>
      <c r="AH38" s="5" t="e">
        <f t="shared" ca="1" si="7"/>
        <v>#REF!</v>
      </c>
      <c r="AI38" s="5" t="e">
        <f t="shared" ca="1" si="8"/>
        <v>#REF!</v>
      </c>
      <c r="AJ38" s="5" t="e">
        <f t="shared" ca="1" si="9"/>
        <v>#REF!</v>
      </c>
      <c r="AK38" s="5" t="e">
        <f t="shared" ca="1" si="10"/>
        <v>#REF!</v>
      </c>
      <c r="AM38" s="5" t="e">
        <f t="shared" ca="1" si="13"/>
        <v>#REF!</v>
      </c>
    </row>
    <row r="39" spans="1:39" x14ac:dyDescent="0.25">
      <c r="A39" s="5" t="s">
        <v>27</v>
      </c>
      <c r="B39" s="5">
        <v>50</v>
      </c>
      <c r="C39" s="5">
        <v>0.4</v>
      </c>
      <c r="D39" s="5">
        <v>491.35005000000001</v>
      </c>
      <c r="E39" s="5">
        <v>1.22949</v>
      </c>
      <c r="F39" s="5">
        <v>15</v>
      </c>
      <c r="H39" s="5" t="s">
        <v>28</v>
      </c>
      <c r="I39" s="5">
        <v>29</v>
      </c>
      <c r="J39" s="5">
        <v>0.7</v>
      </c>
      <c r="L39" s="5">
        <f t="shared" ca="1" si="11"/>
        <v>1469.6411000000001</v>
      </c>
      <c r="M39" s="5">
        <f t="shared" ca="1" si="11"/>
        <v>1469.6411000000001</v>
      </c>
      <c r="N39" s="5">
        <f t="shared" ca="1" si="11"/>
        <v>1469.6411000000001</v>
      </c>
      <c r="O39" s="5">
        <f t="shared" ca="1" si="11"/>
        <v>1469.6411000000001</v>
      </c>
      <c r="P39" s="5">
        <f t="shared" ca="1" si="11"/>
        <v>1469.6411000000001</v>
      </c>
      <c r="Q39" s="5">
        <f t="shared" ca="1" si="11"/>
        <v>1469.6411000000001</v>
      </c>
      <c r="R39" s="5">
        <f t="shared" ca="1" si="11"/>
        <v>1469.6411000000001</v>
      </c>
      <c r="S39" s="5">
        <f t="shared" ca="1" si="11"/>
        <v>1469.6411000000001</v>
      </c>
      <c r="T39" s="5">
        <f t="shared" ca="1" si="11"/>
        <v>1469.6411000000001</v>
      </c>
      <c r="U39" s="5">
        <f t="shared" ca="1" si="11"/>
        <v>1469.6411000000001</v>
      </c>
      <c r="W39" s="5">
        <f t="shared" ca="1" si="12"/>
        <v>1469.6411000000003</v>
      </c>
      <c r="Y39" s="5" t="e">
        <f>Total!#REF!</f>
        <v>#REF!</v>
      </c>
      <c r="AB39" s="5" t="e">
        <f t="shared" ca="1" si="1"/>
        <v>#REF!</v>
      </c>
      <c r="AC39" s="5" t="e">
        <f t="shared" ca="1" si="2"/>
        <v>#REF!</v>
      </c>
      <c r="AD39" s="5" t="e">
        <f t="shared" ca="1" si="3"/>
        <v>#REF!</v>
      </c>
      <c r="AE39" s="5" t="e">
        <f t="shared" ca="1" si="4"/>
        <v>#REF!</v>
      </c>
      <c r="AF39" s="5" t="e">
        <f t="shared" ca="1" si="5"/>
        <v>#REF!</v>
      </c>
      <c r="AG39" s="5" t="e">
        <f t="shared" ca="1" si="6"/>
        <v>#REF!</v>
      </c>
      <c r="AH39" s="5" t="e">
        <f t="shared" ca="1" si="7"/>
        <v>#REF!</v>
      </c>
      <c r="AI39" s="5" t="e">
        <f t="shared" ca="1" si="8"/>
        <v>#REF!</v>
      </c>
      <c r="AJ39" s="5" t="e">
        <f t="shared" ca="1" si="9"/>
        <v>#REF!</v>
      </c>
      <c r="AK39" s="5" t="e">
        <f t="shared" ca="1" si="10"/>
        <v>#REF!</v>
      </c>
      <c r="AM39" s="5" t="e">
        <f t="shared" ca="1" si="13"/>
        <v>#REF!</v>
      </c>
    </row>
    <row r="40" spans="1:39" x14ac:dyDescent="0.25">
      <c r="A40" s="5" t="s">
        <v>27</v>
      </c>
      <c r="B40" s="5">
        <v>50</v>
      </c>
      <c r="C40" s="5">
        <v>0.4</v>
      </c>
      <c r="D40" s="5">
        <v>491.35005000000001</v>
      </c>
      <c r="E40" s="5">
        <v>1.2097199999999999</v>
      </c>
      <c r="F40" s="5">
        <v>16</v>
      </c>
      <c r="H40" s="5" t="s">
        <v>28</v>
      </c>
      <c r="I40" s="5">
        <v>29</v>
      </c>
      <c r="J40" s="5">
        <v>1</v>
      </c>
      <c r="L40" s="5">
        <f t="shared" ca="1" si="11"/>
        <v>1469.6411000000001</v>
      </c>
      <c r="M40" s="5">
        <f t="shared" ca="1" si="11"/>
        <v>1469.6411000000001</v>
      </c>
      <c r="N40" s="5">
        <f t="shared" ca="1" si="11"/>
        <v>1469.6411000000001</v>
      </c>
      <c r="O40" s="5">
        <f t="shared" ca="1" si="11"/>
        <v>1469.6411000000001</v>
      </c>
      <c r="P40" s="5">
        <f t="shared" ca="1" si="11"/>
        <v>1469.6411000000001</v>
      </c>
      <c r="Q40" s="5">
        <f t="shared" ca="1" si="11"/>
        <v>1469.6411000000001</v>
      </c>
      <c r="R40" s="5">
        <f t="shared" ca="1" si="11"/>
        <v>1469.6411000000001</v>
      </c>
      <c r="S40" s="5">
        <f t="shared" ca="1" si="11"/>
        <v>1469.6411000000001</v>
      </c>
      <c r="T40" s="5">
        <f t="shared" ca="1" si="11"/>
        <v>1469.6411000000001</v>
      </c>
      <c r="U40" s="5">
        <f t="shared" ca="1" si="11"/>
        <v>1469.6411000000001</v>
      </c>
      <c r="W40" s="5">
        <f t="shared" ca="1" si="12"/>
        <v>1469.6411000000003</v>
      </c>
      <c r="Y40" s="5" t="e">
        <f>Total!#REF!</f>
        <v>#REF!</v>
      </c>
      <c r="AB40" s="5" t="e">
        <f t="shared" ca="1" si="1"/>
        <v>#REF!</v>
      </c>
      <c r="AC40" s="5" t="e">
        <f t="shared" ca="1" si="2"/>
        <v>#REF!</v>
      </c>
      <c r="AD40" s="5" t="e">
        <f t="shared" ca="1" si="3"/>
        <v>#REF!</v>
      </c>
      <c r="AE40" s="5" t="e">
        <f t="shared" ca="1" si="4"/>
        <v>#REF!</v>
      </c>
      <c r="AF40" s="5" t="e">
        <f t="shared" ca="1" si="5"/>
        <v>#REF!</v>
      </c>
      <c r="AG40" s="5" t="e">
        <f t="shared" ca="1" si="6"/>
        <v>#REF!</v>
      </c>
      <c r="AH40" s="5" t="e">
        <f t="shared" ca="1" si="7"/>
        <v>#REF!</v>
      </c>
      <c r="AI40" s="5" t="e">
        <f t="shared" ca="1" si="8"/>
        <v>#REF!</v>
      </c>
      <c r="AJ40" s="5" t="e">
        <f t="shared" ca="1" si="9"/>
        <v>#REF!</v>
      </c>
      <c r="AK40" s="5" t="e">
        <f t="shared" ca="1" si="10"/>
        <v>#REF!</v>
      </c>
      <c r="AM40" s="5" t="e">
        <f t="shared" ca="1" si="13"/>
        <v>#REF!</v>
      </c>
    </row>
    <row r="41" spans="1:39" x14ac:dyDescent="0.25">
      <c r="A41" s="5" t="s">
        <v>27</v>
      </c>
      <c r="B41" s="5">
        <v>50</v>
      </c>
      <c r="C41" s="5">
        <v>0.7</v>
      </c>
      <c r="D41" s="5">
        <v>203.32952</v>
      </c>
      <c r="E41" s="5">
        <v>2.8942999999999999</v>
      </c>
      <c r="F41" s="5">
        <v>52</v>
      </c>
      <c r="H41" s="5" t="s">
        <v>28</v>
      </c>
      <c r="I41" s="5">
        <v>58</v>
      </c>
      <c r="J41" s="5">
        <v>0.4</v>
      </c>
      <c r="L41" s="5">
        <f t="shared" ca="1" si="11"/>
        <v>3085.9724099999999</v>
      </c>
      <c r="M41" s="5">
        <f t="shared" ca="1" si="11"/>
        <v>3085.9724099999999</v>
      </c>
      <c r="N41" s="5">
        <f t="shared" ca="1" si="11"/>
        <v>3085.9724099999999</v>
      </c>
      <c r="O41" s="5">
        <f t="shared" ca="1" si="11"/>
        <v>3085.9724099999999</v>
      </c>
      <c r="P41" s="5">
        <f t="shared" ca="1" si="11"/>
        <v>3085.9724099999999</v>
      </c>
      <c r="Q41" s="5">
        <f t="shared" ca="1" si="11"/>
        <v>3085.9724099999999</v>
      </c>
      <c r="R41" s="5">
        <f t="shared" ca="1" si="11"/>
        <v>3085.9724099999999</v>
      </c>
      <c r="S41" s="5">
        <f t="shared" ca="1" si="11"/>
        <v>3085.9724099999999</v>
      </c>
      <c r="T41" s="5">
        <f t="shared" ca="1" si="11"/>
        <v>3085.9724099999999</v>
      </c>
      <c r="U41" s="5">
        <f t="shared" ca="1" si="11"/>
        <v>3085.9724099999999</v>
      </c>
      <c r="W41" s="5">
        <f t="shared" ca="1" si="12"/>
        <v>3085.9724099999994</v>
      </c>
      <c r="Y41" s="5" t="e">
        <f>Total!#REF!</f>
        <v>#REF!</v>
      </c>
      <c r="AB41" s="5" t="e">
        <f t="shared" ca="1" si="1"/>
        <v>#REF!</v>
      </c>
      <c r="AC41" s="5" t="e">
        <f t="shared" ca="1" si="2"/>
        <v>#REF!</v>
      </c>
      <c r="AD41" s="5" t="e">
        <f t="shared" ca="1" si="3"/>
        <v>#REF!</v>
      </c>
      <c r="AE41" s="5" t="e">
        <f t="shared" ca="1" si="4"/>
        <v>#REF!</v>
      </c>
      <c r="AF41" s="5" t="e">
        <f t="shared" ca="1" si="5"/>
        <v>#REF!</v>
      </c>
      <c r="AG41" s="5" t="e">
        <f t="shared" ca="1" si="6"/>
        <v>#REF!</v>
      </c>
      <c r="AH41" s="5" t="e">
        <f t="shared" ca="1" si="7"/>
        <v>#REF!</v>
      </c>
      <c r="AI41" s="5" t="e">
        <f t="shared" ca="1" si="8"/>
        <v>#REF!</v>
      </c>
      <c r="AJ41" s="5" t="e">
        <f t="shared" ca="1" si="9"/>
        <v>#REF!</v>
      </c>
      <c r="AK41" s="5" t="e">
        <f t="shared" ca="1" si="10"/>
        <v>#REF!</v>
      </c>
      <c r="AM41" s="5" t="e">
        <f t="shared" ca="1" si="13"/>
        <v>#REF!</v>
      </c>
    </row>
    <row r="42" spans="1:39" x14ac:dyDescent="0.25">
      <c r="A42" s="5" t="s">
        <v>27</v>
      </c>
      <c r="B42" s="5">
        <v>50</v>
      </c>
      <c r="C42" s="5">
        <v>0.7</v>
      </c>
      <c r="D42" s="5">
        <v>203.32952</v>
      </c>
      <c r="E42" s="5">
        <v>2.9172500000000001</v>
      </c>
      <c r="F42" s="5">
        <v>53</v>
      </c>
      <c r="H42" s="5" t="s">
        <v>28</v>
      </c>
      <c r="I42" s="5">
        <v>58</v>
      </c>
      <c r="J42" s="5">
        <v>0.7</v>
      </c>
      <c r="L42" s="5">
        <f t="shared" ref="L42:U46" ca="1" si="14">INDIRECT("D"&amp;1+(ROW(D41)-1)*10+COLUMN(A41)-1)</f>
        <v>1547.1361300000001</v>
      </c>
      <c r="M42" s="5">
        <f t="shared" ca="1" si="14"/>
        <v>1547.1361300000001</v>
      </c>
      <c r="N42" s="5">
        <f t="shared" ca="1" si="14"/>
        <v>1547.1361300000001</v>
      </c>
      <c r="O42" s="5">
        <f t="shared" ca="1" si="14"/>
        <v>1547.1361300000001</v>
      </c>
      <c r="P42" s="5">
        <f t="shared" ca="1" si="14"/>
        <v>1547.1361300000001</v>
      </c>
      <c r="Q42" s="5">
        <f t="shared" ca="1" si="14"/>
        <v>1547.1361300000001</v>
      </c>
      <c r="R42" s="5">
        <f t="shared" ca="1" si="14"/>
        <v>1547.1361300000001</v>
      </c>
      <c r="S42" s="5">
        <f t="shared" ca="1" si="14"/>
        <v>1547.1361300000001</v>
      </c>
      <c r="T42" s="5">
        <f t="shared" ca="1" si="14"/>
        <v>1547.1361300000001</v>
      </c>
      <c r="U42" s="5">
        <f t="shared" ca="1" si="14"/>
        <v>1547.1361300000001</v>
      </c>
      <c r="W42" s="5">
        <f t="shared" ca="1" si="12"/>
        <v>1547.1361300000003</v>
      </c>
      <c r="Y42" s="5" t="e">
        <f>Total!#REF!</f>
        <v>#REF!</v>
      </c>
      <c r="AB42" s="5" t="e">
        <f t="shared" ca="1" si="1"/>
        <v>#REF!</v>
      </c>
      <c r="AC42" s="5" t="e">
        <f t="shared" ca="1" si="2"/>
        <v>#REF!</v>
      </c>
      <c r="AD42" s="5" t="e">
        <f t="shared" ca="1" si="3"/>
        <v>#REF!</v>
      </c>
      <c r="AE42" s="5" t="e">
        <f t="shared" ca="1" si="4"/>
        <v>#REF!</v>
      </c>
      <c r="AF42" s="5" t="e">
        <f t="shared" ca="1" si="5"/>
        <v>#REF!</v>
      </c>
      <c r="AG42" s="5" t="e">
        <f t="shared" ca="1" si="6"/>
        <v>#REF!</v>
      </c>
      <c r="AH42" s="5" t="e">
        <f t="shared" ca="1" si="7"/>
        <v>#REF!</v>
      </c>
      <c r="AI42" s="5" t="e">
        <f t="shared" ca="1" si="8"/>
        <v>#REF!</v>
      </c>
      <c r="AJ42" s="5" t="e">
        <f t="shared" ca="1" si="9"/>
        <v>#REF!</v>
      </c>
      <c r="AK42" s="5" t="e">
        <f t="shared" ca="1" si="10"/>
        <v>#REF!</v>
      </c>
      <c r="AM42" s="5" t="e">
        <f t="shared" ca="1" si="13"/>
        <v>#REF!</v>
      </c>
    </row>
    <row r="43" spans="1:39" x14ac:dyDescent="0.25">
      <c r="A43" s="5" t="s">
        <v>27</v>
      </c>
      <c r="B43" s="5">
        <v>50</v>
      </c>
      <c r="C43" s="5">
        <v>0.7</v>
      </c>
      <c r="D43" s="5">
        <v>203.32952</v>
      </c>
      <c r="E43" s="5">
        <v>2.92076</v>
      </c>
      <c r="F43" s="5">
        <v>54</v>
      </c>
      <c r="H43" s="5" t="s">
        <v>28</v>
      </c>
      <c r="I43" s="5">
        <v>58</v>
      </c>
      <c r="J43" s="5">
        <v>1</v>
      </c>
      <c r="L43" s="5">
        <f t="shared" ca="1" si="14"/>
        <v>1546.5742299999999</v>
      </c>
      <c r="M43" s="5">
        <f t="shared" ca="1" si="14"/>
        <v>1546.5742299999999</v>
      </c>
      <c r="N43" s="5">
        <f t="shared" ca="1" si="14"/>
        <v>1546.5742299999999</v>
      </c>
      <c r="O43" s="5">
        <f t="shared" ca="1" si="14"/>
        <v>1546.5742299999999</v>
      </c>
      <c r="P43" s="5">
        <f t="shared" ca="1" si="14"/>
        <v>1546.5742299999999</v>
      </c>
      <c r="Q43" s="5">
        <f t="shared" ca="1" si="14"/>
        <v>1546.5742299999999</v>
      </c>
      <c r="R43" s="5">
        <f t="shared" ca="1" si="14"/>
        <v>1546.5742299999999</v>
      </c>
      <c r="S43" s="5">
        <f t="shared" ca="1" si="14"/>
        <v>1546.5742299999999</v>
      </c>
      <c r="T43" s="5">
        <f t="shared" ca="1" si="14"/>
        <v>1546.5742299999999</v>
      </c>
      <c r="U43" s="5">
        <f t="shared" ca="1" si="14"/>
        <v>1546.5742299999999</v>
      </c>
      <c r="W43" s="5">
        <f t="shared" ca="1" si="12"/>
        <v>1546.5742299999999</v>
      </c>
      <c r="Y43" s="5" t="e">
        <f>Total!#REF!</f>
        <v>#REF!</v>
      </c>
      <c r="AB43" s="5" t="e">
        <f t="shared" ca="1" si="1"/>
        <v>#REF!</v>
      </c>
      <c r="AC43" s="5" t="e">
        <f t="shared" ca="1" si="2"/>
        <v>#REF!</v>
      </c>
      <c r="AD43" s="5" t="e">
        <f t="shared" ca="1" si="3"/>
        <v>#REF!</v>
      </c>
      <c r="AE43" s="5" t="e">
        <f t="shared" ca="1" si="4"/>
        <v>#REF!</v>
      </c>
      <c r="AF43" s="5" t="e">
        <f t="shared" ca="1" si="5"/>
        <v>#REF!</v>
      </c>
      <c r="AG43" s="5" t="e">
        <f t="shared" ca="1" si="6"/>
        <v>#REF!</v>
      </c>
      <c r="AH43" s="5" t="e">
        <f t="shared" ca="1" si="7"/>
        <v>#REF!</v>
      </c>
      <c r="AI43" s="5" t="e">
        <f t="shared" ca="1" si="8"/>
        <v>#REF!</v>
      </c>
      <c r="AJ43" s="5" t="e">
        <f t="shared" ca="1" si="9"/>
        <v>#REF!</v>
      </c>
      <c r="AK43" s="5" t="e">
        <f t="shared" ca="1" si="10"/>
        <v>#REF!</v>
      </c>
      <c r="AM43" s="5" t="e">
        <f t="shared" ca="1" si="13"/>
        <v>#REF!</v>
      </c>
    </row>
    <row r="44" spans="1:39" x14ac:dyDescent="0.25">
      <c r="A44" s="5" t="s">
        <v>27</v>
      </c>
      <c r="B44" s="5">
        <v>50</v>
      </c>
      <c r="C44" s="5">
        <v>0.7</v>
      </c>
      <c r="D44" s="5">
        <v>203.32952</v>
      </c>
      <c r="E44" s="5">
        <v>2.9144600000000001</v>
      </c>
      <c r="F44" s="5">
        <v>52</v>
      </c>
      <c r="H44" s="5" t="s">
        <v>28</v>
      </c>
      <c r="I44" s="5">
        <v>97</v>
      </c>
      <c r="J44" s="5">
        <v>0.4</v>
      </c>
      <c r="L44" s="5">
        <f t="shared" ca="1" si="14"/>
        <v>2521.7109399999999</v>
      </c>
      <c r="M44" s="5">
        <f t="shared" ca="1" si="14"/>
        <v>2521.7109399999999</v>
      </c>
      <c r="N44" s="5">
        <f t="shared" ca="1" si="14"/>
        <v>2521.7109399999999</v>
      </c>
      <c r="O44" s="5">
        <f t="shared" ca="1" si="14"/>
        <v>2521.7109399999999</v>
      </c>
      <c r="P44" s="5">
        <f t="shared" ca="1" si="14"/>
        <v>2521.7109399999999</v>
      </c>
      <c r="Q44" s="5">
        <f t="shared" ca="1" si="14"/>
        <v>2521.7109399999999</v>
      </c>
      <c r="R44" s="5">
        <f t="shared" ca="1" si="14"/>
        <v>2521.7109399999999</v>
      </c>
      <c r="S44" s="5">
        <f t="shared" ca="1" si="14"/>
        <v>2521.7109399999999</v>
      </c>
      <c r="T44" s="5">
        <f t="shared" ca="1" si="14"/>
        <v>2521.7109399999999</v>
      </c>
      <c r="U44" s="5">
        <f t="shared" ca="1" si="14"/>
        <v>2521.7109399999999</v>
      </c>
      <c r="W44" s="5">
        <f t="shared" ca="1" si="12"/>
        <v>2521.7109400000004</v>
      </c>
      <c r="Y44" s="5" t="e">
        <f>Total!#REF!</f>
        <v>#REF!</v>
      </c>
      <c r="AB44" s="5" t="e">
        <f t="shared" ca="1" si="1"/>
        <v>#REF!</v>
      </c>
      <c r="AC44" s="5" t="e">
        <f t="shared" ca="1" si="2"/>
        <v>#REF!</v>
      </c>
      <c r="AD44" s="5" t="e">
        <f t="shared" ca="1" si="3"/>
        <v>#REF!</v>
      </c>
      <c r="AE44" s="5" t="e">
        <f t="shared" ca="1" si="4"/>
        <v>#REF!</v>
      </c>
      <c r="AF44" s="5" t="e">
        <f t="shared" ca="1" si="5"/>
        <v>#REF!</v>
      </c>
      <c r="AG44" s="5" t="e">
        <f t="shared" ca="1" si="6"/>
        <v>#REF!</v>
      </c>
      <c r="AH44" s="5" t="e">
        <f t="shared" ca="1" si="7"/>
        <v>#REF!</v>
      </c>
      <c r="AI44" s="5" t="e">
        <f t="shared" ca="1" si="8"/>
        <v>#REF!</v>
      </c>
      <c r="AJ44" s="5" t="e">
        <f t="shared" ca="1" si="9"/>
        <v>#REF!</v>
      </c>
      <c r="AK44" s="5" t="e">
        <f t="shared" ca="1" si="10"/>
        <v>#REF!</v>
      </c>
      <c r="AM44" s="5" t="e">
        <f t="shared" ca="1" si="13"/>
        <v>#REF!</v>
      </c>
    </row>
    <row r="45" spans="1:39" x14ac:dyDescent="0.25">
      <c r="A45" s="5" t="s">
        <v>27</v>
      </c>
      <c r="B45" s="5">
        <v>50</v>
      </c>
      <c r="C45" s="5">
        <v>0.7</v>
      </c>
      <c r="D45" s="5">
        <v>203.32952</v>
      </c>
      <c r="E45" s="5">
        <v>2.9148999999999998</v>
      </c>
      <c r="F45" s="5">
        <v>53</v>
      </c>
      <c r="H45" s="5" t="s">
        <v>28</v>
      </c>
      <c r="I45" s="5">
        <v>97</v>
      </c>
      <c r="J45" s="5">
        <v>0.7</v>
      </c>
      <c r="L45" s="5">
        <f t="shared" ca="1" si="14"/>
        <v>2068.0263799999998</v>
      </c>
      <c r="M45" s="5">
        <f t="shared" ca="1" si="14"/>
        <v>2068.0263799999998</v>
      </c>
      <c r="N45" s="5">
        <f t="shared" ca="1" si="14"/>
        <v>2068.0263799999998</v>
      </c>
      <c r="O45" s="5">
        <f t="shared" ca="1" si="14"/>
        <v>2068.0263799999998</v>
      </c>
      <c r="P45" s="5">
        <f t="shared" ca="1" si="14"/>
        <v>2068.0263799999998</v>
      </c>
      <c r="Q45" s="5">
        <f t="shared" ca="1" si="14"/>
        <v>2068.0263799999998</v>
      </c>
      <c r="R45" s="5">
        <f t="shared" ca="1" si="14"/>
        <v>2068.0263799999998</v>
      </c>
      <c r="S45" s="5">
        <f t="shared" ca="1" si="14"/>
        <v>2068.0263799999998</v>
      </c>
      <c r="T45" s="5">
        <f t="shared" ca="1" si="14"/>
        <v>2068.0263799999998</v>
      </c>
      <c r="U45" s="5">
        <f t="shared" ca="1" si="14"/>
        <v>2068.0263799999998</v>
      </c>
      <c r="W45" s="5">
        <f t="shared" ca="1" si="12"/>
        <v>2068.0263799999998</v>
      </c>
      <c r="Y45" s="5" t="e">
        <f>Total!#REF!</f>
        <v>#REF!</v>
      </c>
      <c r="AB45" s="5" t="e">
        <f t="shared" ca="1" si="1"/>
        <v>#REF!</v>
      </c>
      <c r="AC45" s="5" t="e">
        <f t="shared" ca="1" si="2"/>
        <v>#REF!</v>
      </c>
      <c r="AD45" s="5" t="e">
        <f t="shared" ca="1" si="3"/>
        <v>#REF!</v>
      </c>
      <c r="AE45" s="5" t="e">
        <f t="shared" ca="1" si="4"/>
        <v>#REF!</v>
      </c>
      <c r="AF45" s="5" t="e">
        <f t="shared" ca="1" si="5"/>
        <v>#REF!</v>
      </c>
      <c r="AG45" s="5" t="e">
        <f t="shared" ca="1" si="6"/>
        <v>#REF!</v>
      </c>
      <c r="AH45" s="5" t="e">
        <f t="shared" ca="1" si="7"/>
        <v>#REF!</v>
      </c>
      <c r="AI45" s="5" t="e">
        <f t="shared" ca="1" si="8"/>
        <v>#REF!</v>
      </c>
      <c r="AJ45" s="5" t="e">
        <f t="shared" ca="1" si="9"/>
        <v>#REF!</v>
      </c>
      <c r="AK45" s="5" t="e">
        <f t="shared" ca="1" si="10"/>
        <v>#REF!</v>
      </c>
      <c r="AM45" s="5" t="e">
        <f t="shared" ca="1" si="13"/>
        <v>#REF!</v>
      </c>
    </row>
    <row r="46" spans="1:39" x14ac:dyDescent="0.25">
      <c r="A46" s="5" t="s">
        <v>27</v>
      </c>
      <c r="B46" s="5">
        <v>50</v>
      </c>
      <c r="C46" s="5">
        <v>0.7</v>
      </c>
      <c r="D46" s="5">
        <v>203.32952</v>
      </c>
      <c r="E46" s="5">
        <v>2.90076</v>
      </c>
      <c r="F46" s="5">
        <v>53</v>
      </c>
      <c r="H46" s="5" t="s">
        <v>28</v>
      </c>
      <c r="I46" s="5">
        <v>97</v>
      </c>
      <c r="J46" s="5">
        <v>1</v>
      </c>
      <c r="L46" s="5">
        <f t="shared" ca="1" si="14"/>
        <v>1960.05636</v>
      </c>
      <c r="M46" s="5">
        <f t="shared" ca="1" si="14"/>
        <v>1960.05636</v>
      </c>
      <c r="N46" s="5">
        <f t="shared" ca="1" si="14"/>
        <v>1960.05636</v>
      </c>
      <c r="O46" s="5">
        <f t="shared" ca="1" si="14"/>
        <v>1960.05636</v>
      </c>
      <c r="P46" s="5">
        <f t="shared" ca="1" si="14"/>
        <v>1960.05636</v>
      </c>
      <c r="Q46" s="5">
        <f t="shared" ca="1" si="14"/>
        <v>1960.05636</v>
      </c>
      <c r="R46" s="5">
        <f t="shared" ca="1" si="14"/>
        <v>1960.05636</v>
      </c>
      <c r="S46" s="5">
        <f t="shared" ca="1" si="14"/>
        <v>1960.05636</v>
      </c>
      <c r="T46" s="5">
        <f t="shared" ca="1" si="14"/>
        <v>1960.05636</v>
      </c>
      <c r="U46" s="5">
        <f t="shared" ca="1" si="14"/>
        <v>1960.05636</v>
      </c>
      <c r="W46" s="5">
        <f t="shared" ca="1" si="12"/>
        <v>1960.05636</v>
      </c>
      <c r="Y46" s="5" t="e">
        <f>Total!#REF!</f>
        <v>#REF!</v>
      </c>
      <c r="AB46" s="5" t="e">
        <f t="shared" ca="1" si="1"/>
        <v>#REF!</v>
      </c>
      <c r="AC46" s="5" t="e">
        <f t="shared" ca="1" si="2"/>
        <v>#REF!</v>
      </c>
      <c r="AD46" s="5" t="e">
        <f t="shared" ca="1" si="3"/>
        <v>#REF!</v>
      </c>
      <c r="AE46" s="5" t="e">
        <f t="shared" ca="1" si="4"/>
        <v>#REF!</v>
      </c>
      <c r="AF46" s="5" t="e">
        <f t="shared" ca="1" si="5"/>
        <v>#REF!</v>
      </c>
      <c r="AG46" s="5" t="e">
        <f t="shared" ca="1" si="6"/>
        <v>#REF!</v>
      </c>
      <c r="AH46" s="5" t="e">
        <f t="shared" ca="1" si="7"/>
        <v>#REF!</v>
      </c>
      <c r="AI46" s="5" t="e">
        <f t="shared" ca="1" si="8"/>
        <v>#REF!</v>
      </c>
      <c r="AJ46" s="5" t="e">
        <f t="shared" ca="1" si="9"/>
        <v>#REF!</v>
      </c>
      <c r="AK46" s="5" t="e">
        <f t="shared" ca="1" si="10"/>
        <v>#REF!</v>
      </c>
      <c r="AM46" s="5" t="e">
        <f t="shared" ca="1" si="13"/>
        <v>#REF!</v>
      </c>
    </row>
    <row r="47" spans="1:39" x14ac:dyDescent="0.25">
      <c r="A47" s="5" t="s">
        <v>27</v>
      </c>
      <c r="B47" s="5">
        <v>50</v>
      </c>
      <c r="C47" s="5">
        <v>0.7</v>
      </c>
      <c r="D47" s="5">
        <v>203.32952</v>
      </c>
      <c r="E47" s="5">
        <v>2.92136</v>
      </c>
      <c r="F47" s="5">
        <v>53</v>
      </c>
    </row>
    <row r="48" spans="1:39" x14ac:dyDescent="0.25">
      <c r="A48" s="5" t="s">
        <v>27</v>
      </c>
      <c r="B48" s="5">
        <v>50</v>
      </c>
      <c r="C48" s="5">
        <v>0.7</v>
      </c>
      <c r="D48" s="5">
        <v>203.32952</v>
      </c>
      <c r="E48" s="5">
        <v>2.9271400000000001</v>
      </c>
      <c r="F48" s="5">
        <v>53</v>
      </c>
    </row>
    <row r="49" spans="1:6" x14ac:dyDescent="0.25">
      <c r="A49" s="5" t="s">
        <v>27</v>
      </c>
      <c r="B49" s="5">
        <v>50</v>
      </c>
      <c r="C49" s="5">
        <v>0.7</v>
      </c>
      <c r="D49" s="5">
        <v>203.32952</v>
      </c>
      <c r="E49" s="5">
        <v>2.9206300000000001</v>
      </c>
      <c r="F49" s="5">
        <v>53</v>
      </c>
    </row>
    <row r="50" spans="1:6" x14ac:dyDescent="0.25">
      <c r="A50" s="5" t="s">
        <v>27</v>
      </c>
      <c r="B50" s="5">
        <v>50</v>
      </c>
      <c r="C50" s="5">
        <v>0.7</v>
      </c>
      <c r="D50" s="5">
        <v>203.32952</v>
      </c>
      <c r="E50" s="5">
        <v>2.9175900000000001</v>
      </c>
      <c r="F50" s="5">
        <v>54</v>
      </c>
    </row>
    <row r="51" spans="1:6" x14ac:dyDescent="0.25">
      <c r="A51" s="5" t="s">
        <v>27</v>
      </c>
      <c r="B51" s="5">
        <v>50</v>
      </c>
      <c r="C51" s="5">
        <v>1</v>
      </c>
      <c r="D51" s="5">
        <v>180.68769</v>
      </c>
      <c r="E51" s="5">
        <v>4.6274699999999998</v>
      </c>
      <c r="F51" s="5">
        <v>90</v>
      </c>
    </row>
    <row r="52" spans="1:6" x14ac:dyDescent="0.25">
      <c r="A52" s="5" t="s">
        <v>27</v>
      </c>
      <c r="B52" s="5">
        <v>50</v>
      </c>
      <c r="C52" s="5">
        <v>1</v>
      </c>
      <c r="D52" s="5">
        <v>182.34583000000001</v>
      </c>
      <c r="E52" s="5">
        <v>4.60717</v>
      </c>
      <c r="F52" s="5">
        <v>90</v>
      </c>
    </row>
    <row r="53" spans="1:6" x14ac:dyDescent="0.25">
      <c r="A53" s="5" t="s">
        <v>27</v>
      </c>
      <c r="B53" s="5">
        <v>50</v>
      </c>
      <c r="C53" s="5">
        <v>1</v>
      </c>
      <c r="D53" s="5">
        <v>182.34583000000001</v>
      </c>
      <c r="E53" s="5">
        <v>4.6262499999999998</v>
      </c>
      <c r="F53" s="5">
        <v>91</v>
      </c>
    </row>
    <row r="54" spans="1:6" x14ac:dyDescent="0.25">
      <c r="A54" s="5" t="s">
        <v>27</v>
      </c>
      <c r="B54" s="5">
        <v>50</v>
      </c>
      <c r="C54" s="5">
        <v>1</v>
      </c>
      <c r="D54" s="5">
        <v>180.39138</v>
      </c>
      <c r="E54" s="5">
        <v>4.6131700000000002</v>
      </c>
      <c r="F54" s="5">
        <v>91</v>
      </c>
    </row>
    <row r="55" spans="1:6" x14ac:dyDescent="0.25">
      <c r="A55" s="5" t="s">
        <v>27</v>
      </c>
      <c r="B55" s="5">
        <v>50</v>
      </c>
      <c r="C55" s="5">
        <v>1</v>
      </c>
      <c r="D55" s="5">
        <v>180.52</v>
      </c>
      <c r="E55" s="5">
        <v>4.6235900000000001</v>
      </c>
      <c r="F55" s="5">
        <v>91</v>
      </c>
    </row>
    <row r="56" spans="1:6" x14ac:dyDescent="0.25">
      <c r="A56" s="5" t="s">
        <v>27</v>
      </c>
      <c r="B56" s="5">
        <v>50</v>
      </c>
      <c r="C56" s="5">
        <v>1</v>
      </c>
      <c r="D56" s="5">
        <v>180.05332999999999</v>
      </c>
      <c r="E56" s="5">
        <v>4.6110800000000003</v>
      </c>
      <c r="F56" s="5">
        <v>90</v>
      </c>
    </row>
    <row r="57" spans="1:6" x14ac:dyDescent="0.25">
      <c r="A57" s="5" t="s">
        <v>27</v>
      </c>
      <c r="B57" s="5">
        <v>50</v>
      </c>
      <c r="C57" s="5">
        <v>1</v>
      </c>
      <c r="D57" s="5">
        <v>181.92667</v>
      </c>
      <c r="E57" s="5">
        <v>4.6207799999999999</v>
      </c>
      <c r="F57" s="5">
        <v>90</v>
      </c>
    </row>
    <row r="58" spans="1:6" x14ac:dyDescent="0.25">
      <c r="A58" s="5" t="s">
        <v>27</v>
      </c>
      <c r="B58" s="5">
        <v>50</v>
      </c>
      <c r="C58" s="5">
        <v>1</v>
      </c>
      <c r="D58" s="5">
        <v>182.34583000000001</v>
      </c>
      <c r="E58" s="5">
        <v>4.62751</v>
      </c>
      <c r="F58" s="5">
        <v>90</v>
      </c>
    </row>
    <row r="59" spans="1:6" x14ac:dyDescent="0.25">
      <c r="A59" s="5" t="s">
        <v>27</v>
      </c>
      <c r="B59" s="5">
        <v>50</v>
      </c>
      <c r="C59" s="5">
        <v>1</v>
      </c>
      <c r="D59" s="5">
        <v>182.34583000000001</v>
      </c>
      <c r="E59" s="5">
        <v>4.6024000000000003</v>
      </c>
      <c r="F59" s="5">
        <v>90</v>
      </c>
    </row>
    <row r="60" spans="1:6" x14ac:dyDescent="0.25">
      <c r="A60" s="5" t="s">
        <v>27</v>
      </c>
      <c r="B60" s="5">
        <v>50</v>
      </c>
      <c r="C60" s="5">
        <v>1</v>
      </c>
      <c r="D60" s="5">
        <v>181.5967</v>
      </c>
      <c r="E60" s="5">
        <v>4.6171499999999996</v>
      </c>
      <c r="F60" s="5">
        <v>90</v>
      </c>
    </row>
    <row r="61" spans="1:6" x14ac:dyDescent="0.25">
      <c r="A61" s="5" t="s">
        <v>27</v>
      </c>
      <c r="B61" s="5">
        <v>100</v>
      </c>
      <c r="C61" s="5">
        <v>0.4</v>
      </c>
      <c r="D61" s="5">
        <v>282.75520999999998</v>
      </c>
      <c r="E61" s="5">
        <v>5.6492899999999997</v>
      </c>
      <c r="F61" s="5">
        <v>36</v>
      </c>
    </row>
    <row r="62" spans="1:6" x14ac:dyDescent="0.25">
      <c r="A62" s="5" t="s">
        <v>27</v>
      </c>
      <c r="B62" s="5">
        <v>100</v>
      </c>
      <c r="C62" s="5">
        <v>0.4</v>
      </c>
      <c r="D62" s="5">
        <v>282.75520999999998</v>
      </c>
      <c r="E62" s="5">
        <v>5.6104900000000004</v>
      </c>
      <c r="F62" s="5">
        <v>36</v>
      </c>
    </row>
    <row r="63" spans="1:6" x14ac:dyDescent="0.25">
      <c r="A63" s="5" t="s">
        <v>27</v>
      </c>
      <c r="B63" s="5">
        <v>100</v>
      </c>
      <c r="C63" s="5">
        <v>0.4</v>
      </c>
      <c r="D63" s="5">
        <v>282.75520999999998</v>
      </c>
      <c r="E63" s="5">
        <v>5.6178499999999998</v>
      </c>
      <c r="F63" s="5">
        <v>36</v>
      </c>
    </row>
    <row r="64" spans="1:6" x14ac:dyDescent="0.25">
      <c r="A64" s="5" t="s">
        <v>27</v>
      </c>
      <c r="B64" s="5">
        <v>100</v>
      </c>
      <c r="C64" s="5">
        <v>0.4</v>
      </c>
      <c r="D64" s="5">
        <v>282.75520999999998</v>
      </c>
      <c r="E64" s="5">
        <v>5.5950499999999996</v>
      </c>
      <c r="F64" s="5">
        <v>36</v>
      </c>
    </row>
    <row r="65" spans="1:6" x14ac:dyDescent="0.25">
      <c r="A65" s="5" t="s">
        <v>27</v>
      </c>
      <c r="B65" s="5">
        <v>100</v>
      </c>
      <c r="C65" s="5">
        <v>0.4</v>
      </c>
      <c r="D65" s="5">
        <v>282.75520999999998</v>
      </c>
      <c r="E65" s="5">
        <v>5.6421799999999998</v>
      </c>
      <c r="F65" s="5">
        <v>36</v>
      </c>
    </row>
    <row r="66" spans="1:6" x14ac:dyDescent="0.25">
      <c r="A66" s="5" t="s">
        <v>27</v>
      </c>
      <c r="B66" s="5">
        <v>100</v>
      </c>
      <c r="C66" s="5">
        <v>0.4</v>
      </c>
      <c r="D66" s="5">
        <v>282.75520999999998</v>
      </c>
      <c r="E66" s="5">
        <v>5.6087899999999999</v>
      </c>
      <c r="F66" s="5">
        <v>36</v>
      </c>
    </row>
    <row r="67" spans="1:6" x14ac:dyDescent="0.25">
      <c r="A67" s="5" t="s">
        <v>27</v>
      </c>
      <c r="B67" s="5">
        <v>100</v>
      </c>
      <c r="C67" s="5">
        <v>0.4</v>
      </c>
      <c r="D67" s="5">
        <v>282.75520999999998</v>
      </c>
      <c r="E67" s="5">
        <v>5.6333399999999996</v>
      </c>
      <c r="F67" s="5">
        <v>36</v>
      </c>
    </row>
    <row r="68" spans="1:6" x14ac:dyDescent="0.25">
      <c r="A68" s="5" t="s">
        <v>27</v>
      </c>
      <c r="B68" s="5">
        <v>100</v>
      </c>
      <c r="C68" s="5">
        <v>0.4</v>
      </c>
      <c r="D68" s="5">
        <v>282.75520999999998</v>
      </c>
      <c r="E68" s="5">
        <v>5.6475799999999996</v>
      </c>
      <c r="F68" s="5">
        <v>36</v>
      </c>
    </row>
    <row r="69" spans="1:6" x14ac:dyDescent="0.25">
      <c r="A69" s="5" t="s">
        <v>27</v>
      </c>
      <c r="B69" s="5">
        <v>100</v>
      </c>
      <c r="C69" s="5">
        <v>0.4</v>
      </c>
      <c r="D69" s="5">
        <v>282.75520999999998</v>
      </c>
      <c r="E69" s="5">
        <v>5.6353299999999997</v>
      </c>
      <c r="F69" s="5">
        <v>36</v>
      </c>
    </row>
    <row r="70" spans="1:6" x14ac:dyDescent="0.25">
      <c r="A70" s="5" t="s">
        <v>27</v>
      </c>
      <c r="B70" s="5">
        <v>100</v>
      </c>
      <c r="C70" s="5">
        <v>0.4</v>
      </c>
      <c r="D70" s="5">
        <v>282.75520999999998</v>
      </c>
      <c r="E70" s="5">
        <v>5.5984499999999997</v>
      </c>
      <c r="F70" s="5">
        <v>36</v>
      </c>
    </row>
    <row r="71" spans="1:6" x14ac:dyDescent="0.25">
      <c r="A71" s="5" t="s">
        <v>27</v>
      </c>
      <c r="B71" s="5">
        <v>100</v>
      </c>
      <c r="C71" s="5">
        <v>0.7</v>
      </c>
      <c r="D71" s="5">
        <v>258.87831</v>
      </c>
      <c r="E71" s="5">
        <v>11.74044</v>
      </c>
      <c r="F71" s="5">
        <v>71</v>
      </c>
    </row>
    <row r="72" spans="1:6" x14ac:dyDescent="0.25">
      <c r="A72" s="5" t="s">
        <v>27</v>
      </c>
      <c r="B72" s="5">
        <v>100</v>
      </c>
      <c r="C72" s="5">
        <v>0.7</v>
      </c>
      <c r="D72" s="5">
        <v>259.85129000000001</v>
      </c>
      <c r="E72" s="5">
        <v>11.775550000000001</v>
      </c>
      <c r="F72" s="5">
        <v>71</v>
      </c>
    </row>
    <row r="73" spans="1:6" x14ac:dyDescent="0.25">
      <c r="A73" s="5" t="s">
        <v>27</v>
      </c>
      <c r="B73" s="5">
        <v>100</v>
      </c>
      <c r="C73" s="5">
        <v>0.7</v>
      </c>
      <c r="D73" s="5">
        <v>256.30493999999999</v>
      </c>
      <c r="E73" s="5">
        <v>11.77797</v>
      </c>
      <c r="F73" s="5">
        <v>71</v>
      </c>
    </row>
    <row r="74" spans="1:6" x14ac:dyDescent="0.25">
      <c r="A74" s="5" t="s">
        <v>27</v>
      </c>
      <c r="B74" s="5">
        <v>100</v>
      </c>
      <c r="C74" s="5">
        <v>0.7</v>
      </c>
      <c r="D74" s="5">
        <v>258.33494000000002</v>
      </c>
      <c r="E74" s="5">
        <v>11.71228</v>
      </c>
      <c r="F74" s="5">
        <v>71</v>
      </c>
    </row>
    <row r="75" spans="1:6" x14ac:dyDescent="0.25">
      <c r="A75" s="5" t="s">
        <v>27</v>
      </c>
      <c r="B75" s="5">
        <v>100</v>
      </c>
      <c r="C75" s="5">
        <v>0.7</v>
      </c>
      <c r="D75" s="5">
        <v>257.15320000000003</v>
      </c>
      <c r="E75" s="5">
        <v>11.71691</v>
      </c>
      <c r="F75" s="5">
        <v>70</v>
      </c>
    </row>
    <row r="76" spans="1:6" x14ac:dyDescent="0.25">
      <c r="A76" s="5" t="s">
        <v>27</v>
      </c>
      <c r="B76" s="5">
        <v>100</v>
      </c>
      <c r="C76" s="5">
        <v>0.7</v>
      </c>
      <c r="D76" s="5">
        <v>257.98295000000002</v>
      </c>
      <c r="E76" s="5">
        <v>11.70689</v>
      </c>
      <c r="F76" s="5">
        <v>70</v>
      </c>
    </row>
    <row r="77" spans="1:6" x14ac:dyDescent="0.25">
      <c r="A77" s="5" t="s">
        <v>27</v>
      </c>
      <c r="B77" s="5">
        <v>100</v>
      </c>
      <c r="C77" s="5">
        <v>0.7</v>
      </c>
      <c r="D77" s="5">
        <v>258.12637000000001</v>
      </c>
      <c r="E77" s="5">
        <v>11.70238</v>
      </c>
      <c r="F77" s="5">
        <v>70</v>
      </c>
    </row>
    <row r="78" spans="1:6" x14ac:dyDescent="0.25">
      <c r="A78" s="5" t="s">
        <v>27</v>
      </c>
      <c r="B78" s="5">
        <v>100</v>
      </c>
      <c r="C78" s="5">
        <v>0.7</v>
      </c>
      <c r="D78" s="5">
        <v>258.04052999999999</v>
      </c>
      <c r="E78" s="5">
        <v>11.70637</v>
      </c>
      <c r="F78" s="5">
        <v>70</v>
      </c>
    </row>
    <row r="79" spans="1:6" x14ac:dyDescent="0.25">
      <c r="A79" s="5" t="s">
        <v>27</v>
      </c>
      <c r="B79" s="5">
        <v>100</v>
      </c>
      <c r="C79" s="5">
        <v>0.7</v>
      </c>
      <c r="D79" s="5">
        <v>258.76731999999998</v>
      </c>
      <c r="E79" s="5">
        <v>11.711320000000001</v>
      </c>
      <c r="F79" s="5">
        <v>72</v>
      </c>
    </row>
    <row r="80" spans="1:6" x14ac:dyDescent="0.25">
      <c r="A80" s="5" t="s">
        <v>27</v>
      </c>
      <c r="B80" s="5">
        <v>100</v>
      </c>
      <c r="C80" s="5">
        <v>0.7</v>
      </c>
      <c r="D80" s="5">
        <v>256.76004</v>
      </c>
      <c r="E80" s="5">
        <v>11.7295</v>
      </c>
      <c r="F80" s="5">
        <v>71</v>
      </c>
    </row>
    <row r="81" spans="1:6" x14ac:dyDescent="0.25">
      <c r="A81" s="5" t="s">
        <v>27</v>
      </c>
      <c r="B81" s="5">
        <v>100</v>
      </c>
      <c r="C81" s="5">
        <v>1</v>
      </c>
      <c r="D81" s="5">
        <v>239.09255999999999</v>
      </c>
      <c r="E81" s="5">
        <v>30.168399999999998</v>
      </c>
      <c r="F81" s="5">
        <v>174</v>
      </c>
    </row>
    <row r="82" spans="1:6" x14ac:dyDescent="0.25">
      <c r="A82" s="5" t="s">
        <v>27</v>
      </c>
      <c r="B82" s="5">
        <v>100</v>
      </c>
      <c r="C82" s="5">
        <v>1</v>
      </c>
      <c r="D82" s="5">
        <v>240.07485</v>
      </c>
      <c r="E82" s="5">
        <v>30.261839999999999</v>
      </c>
      <c r="F82" s="5">
        <v>177</v>
      </c>
    </row>
    <row r="83" spans="1:6" x14ac:dyDescent="0.25">
      <c r="A83" s="5" t="s">
        <v>27</v>
      </c>
      <c r="B83" s="5">
        <v>100</v>
      </c>
      <c r="C83" s="5">
        <v>1</v>
      </c>
      <c r="D83" s="5">
        <v>239.3689</v>
      </c>
      <c r="E83" s="5">
        <v>30.172409999999999</v>
      </c>
      <c r="F83" s="5">
        <v>175</v>
      </c>
    </row>
    <row r="84" spans="1:6" x14ac:dyDescent="0.25">
      <c r="A84" s="5" t="s">
        <v>27</v>
      </c>
      <c r="B84" s="5">
        <v>100</v>
      </c>
      <c r="C84" s="5">
        <v>1</v>
      </c>
      <c r="D84" s="5">
        <v>241.52393000000001</v>
      </c>
      <c r="E84" s="5">
        <v>30.205290000000002</v>
      </c>
      <c r="F84" s="5">
        <v>175</v>
      </c>
    </row>
    <row r="85" spans="1:6" x14ac:dyDescent="0.25">
      <c r="A85" s="5" t="s">
        <v>27</v>
      </c>
      <c r="B85" s="5">
        <v>100</v>
      </c>
      <c r="C85" s="5">
        <v>1</v>
      </c>
      <c r="D85" s="5">
        <v>239.29337000000001</v>
      </c>
      <c r="E85" s="5">
        <v>30.24343</v>
      </c>
      <c r="F85" s="5">
        <v>176</v>
      </c>
    </row>
    <row r="86" spans="1:6" x14ac:dyDescent="0.25">
      <c r="A86" s="5" t="s">
        <v>27</v>
      </c>
      <c r="B86" s="5">
        <v>100</v>
      </c>
      <c r="C86" s="5">
        <v>1</v>
      </c>
      <c r="D86" s="5">
        <v>239.57437999999999</v>
      </c>
      <c r="E86" s="5">
        <v>30.142700000000001</v>
      </c>
      <c r="F86" s="5">
        <v>175</v>
      </c>
    </row>
    <row r="87" spans="1:6" x14ac:dyDescent="0.25">
      <c r="A87" s="5" t="s">
        <v>27</v>
      </c>
      <c r="B87" s="5">
        <v>100</v>
      </c>
      <c r="C87" s="5">
        <v>1</v>
      </c>
      <c r="D87" s="5">
        <v>239.34020000000001</v>
      </c>
      <c r="E87" s="5">
        <v>30.221589999999999</v>
      </c>
      <c r="F87" s="5">
        <v>174</v>
      </c>
    </row>
    <row r="88" spans="1:6" x14ac:dyDescent="0.25">
      <c r="A88" s="5" t="s">
        <v>27</v>
      </c>
      <c r="B88" s="5">
        <v>100</v>
      </c>
      <c r="C88" s="5">
        <v>1</v>
      </c>
      <c r="D88" s="5">
        <v>239.4</v>
      </c>
      <c r="E88" s="5">
        <v>30.232500000000002</v>
      </c>
      <c r="F88" s="5">
        <v>175</v>
      </c>
    </row>
    <row r="89" spans="1:6" x14ac:dyDescent="0.25">
      <c r="A89" s="5" t="s">
        <v>27</v>
      </c>
      <c r="B89" s="5">
        <v>100</v>
      </c>
      <c r="C89" s="5">
        <v>1</v>
      </c>
      <c r="D89" s="5">
        <v>240.74379999999999</v>
      </c>
      <c r="E89" s="5">
        <v>30.169309999999999</v>
      </c>
      <c r="F89" s="5">
        <v>175</v>
      </c>
    </row>
    <row r="90" spans="1:6" x14ac:dyDescent="0.25">
      <c r="A90" s="5" t="s">
        <v>27</v>
      </c>
      <c r="B90" s="5">
        <v>100</v>
      </c>
      <c r="C90" s="5">
        <v>1</v>
      </c>
      <c r="D90" s="5">
        <v>240.30340000000001</v>
      </c>
      <c r="E90" s="5">
        <v>30.151610000000002</v>
      </c>
      <c r="F90" s="5">
        <v>176</v>
      </c>
    </row>
    <row r="91" spans="1:6" x14ac:dyDescent="0.25">
      <c r="A91" s="5" t="s">
        <v>2</v>
      </c>
      <c r="B91" s="5">
        <v>24</v>
      </c>
      <c r="C91" s="5">
        <v>0.4</v>
      </c>
      <c r="D91" s="5">
        <v>3177.6379999999999</v>
      </c>
      <c r="E91" s="5">
        <v>0.58692999999999995</v>
      </c>
      <c r="F91" s="5">
        <v>48</v>
      </c>
    </row>
    <row r="92" spans="1:6" x14ac:dyDescent="0.25">
      <c r="A92" s="5" t="s">
        <v>2</v>
      </c>
      <c r="B92" s="5">
        <v>24</v>
      </c>
      <c r="C92" s="5">
        <v>0.4</v>
      </c>
      <c r="D92" s="5">
        <v>3177.6379999999999</v>
      </c>
      <c r="E92" s="5">
        <v>0.58628999999999998</v>
      </c>
      <c r="F92" s="5">
        <v>44</v>
      </c>
    </row>
    <row r="93" spans="1:6" x14ac:dyDescent="0.25">
      <c r="A93" s="5" t="s">
        <v>2</v>
      </c>
      <c r="B93" s="5">
        <v>24</v>
      </c>
      <c r="C93" s="5">
        <v>0.4</v>
      </c>
      <c r="D93" s="5">
        <v>3177.6379999999999</v>
      </c>
      <c r="E93" s="5">
        <v>0.58531999999999995</v>
      </c>
      <c r="F93" s="5">
        <v>43</v>
      </c>
    </row>
    <row r="94" spans="1:6" x14ac:dyDescent="0.25">
      <c r="A94" s="5" t="s">
        <v>2</v>
      </c>
      <c r="B94" s="5">
        <v>24</v>
      </c>
      <c r="C94" s="5">
        <v>0.4</v>
      </c>
      <c r="D94" s="5">
        <v>3177.6379999999999</v>
      </c>
      <c r="E94" s="5">
        <v>0.58138000000000001</v>
      </c>
      <c r="F94" s="5">
        <v>47</v>
      </c>
    </row>
    <row r="95" spans="1:6" x14ac:dyDescent="0.25">
      <c r="A95" s="5" t="s">
        <v>2</v>
      </c>
      <c r="B95" s="5">
        <v>24</v>
      </c>
      <c r="C95" s="5">
        <v>0.4</v>
      </c>
      <c r="D95" s="5">
        <v>3177.6379999999999</v>
      </c>
      <c r="E95" s="5">
        <v>0.58574999999999999</v>
      </c>
      <c r="F95" s="5">
        <v>47</v>
      </c>
    </row>
    <row r="96" spans="1:6" x14ac:dyDescent="0.25">
      <c r="A96" s="5" t="s">
        <v>2</v>
      </c>
      <c r="B96" s="5">
        <v>24</v>
      </c>
      <c r="C96" s="5">
        <v>0.4</v>
      </c>
      <c r="D96" s="5">
        <v>3177.6379999999999</v>
      </c>
      <c r="E96" s="5">
        <v>0.58747000000000005</v>
      </c>
      <c r="F96" s="5">
        <v>48</v>
      </c>
    </row>
    <row r="97" spans="1:6" x14ac:dyDescent="0.25">
      <c r="A97" s="5" t="s">
        <v>2</v>
      </c>
      <c r="B97" s="5">
        <v>24</v>
      </c>
      <c r="C97" s="5">
        <v>0.4</v>
      </c>
      <c r="D97" s="5">
        <v>3177.6379999999999</v>
      </c>
      <c r="E97" s="5">
        <v>0.58645999999999998</v>
      </c>
      <c r="F97" s="5">
        <v>47</v>
      </c>
    </row>
    <row r="98" spans="1:6" x14ac:dyDescent="0.25">
      <c r="A98" s="5" t="s">
        <v>2</v>
      </c>
      <c r="B98" s="5">
        <v>24</v>
      </c>
      <c r="C98" s="5">
        <v>0.4</v>
      </c>
      <c r="D98" s="5">
        <v>3177.6379999999999</v>
      </c>
      <c r="E98" s="5">
        <v>0.58764000000000005</v>
      </c>
      <c r="F98" s="5">
        <v>48</v>
      </c>
    </row>
    <row r="99" spans="1:6" x14ac:dyDescent="0.25">
      <c r="A99" s="5" t="s">
        <v>2</v>
      </c>
      <c r="B99" s="5">
        <v>24</v>
      </c>
      <c r="C99" s="5">
        <v>0.4</v>
      </c>
      <c r="D99" s="5">
        <v>3177.6379999999999</v>
      </c>
      <c r="E99" s="5">
        <v>0.58306999999999998</v>
      </c>
      <c r="F99" s="5">
        <v>48</v>
      </c>
    </row>
    <row r="100" spans="1:6" x14ac:dyDescent="0.25">
      <c r="A100" s="5" t="s">
        <v>2</v>
      </c>
      <c r="B100" s="5">
        <v>24</v>
      </c>
      <c r="C100" s="5">
        <v>0.4</v>
      </c>
      <c r="D100" s="5">
        <v>3177.6379999999999</v>
      </c>
      <c r="E100" s="5">
        <v>0.58279000000000003</v>
      </c>
      <c r="F100" s="5">
        <v>41</v>
      </c>
    </row>
    <row r="101" spans="1:6" x14ac:dyDescent="0.25">
      <c r="A101" s="5" t="s">
        <v>2</v>
      </c>
      <c r="B101" s="5">
        <v>24</v>
      </c>
      <c r="C101" s="5">
        <v>0.7</v>
      </c>
      <c r="D101" s="5">
        <v>2321.03586</v>
      </c>
      <c r="E101" s="5">
        <v>0.73587999999999998</v>
      </c>
      <c r="F101" s="5">
        <v>57</v>
      </c>
    </row>
    <row r="102" spans="1:6" x14ac:dyDescent="0.25">
      <c r="A102" s="5" t="s">
        <v>2</v>
      </c>
      <c r="B102" s="5">
        <v>24</v>
      </c>
      <c r="C102" s="5">
        <v>0.7</v>
      </c>
      <c r="D102" s="5">
        <v>2321.03586</v>
      </c>
      <c r="E102" s="5">
        <v>0.73690999999999995</v>
      </c>
      <c r="F102" s="5">
        <v>60</v>
      </c>
    </row>
    <row r="103" spans="1:6" x14ac:dyDescent="0.25">
      <c r="A103" s="5" t="s">
        <v>2</v>
      </c>
      <c r="B103" s="5">
        <v>24</v>
      </c>
      <c r="C103" s="5">
        <v>0.7</v>
      </c>
      <c r="D103" s="5">
        <v>2321.03586</v>
      </c>
      <c r="E103" s="5">
        <v>0.74106000000000005</v>
      </c>
      <c r="F103" s="5">
        <v>56</v>
      </c>
    </row>
    <row r="104" spans="1:6" x14ac:dyDescent="0.25">
      <c r="A104" s="5" t="s">
        <v>2</v>
      </c>
      <c r="B104" s="5">
        <v>24</v>
      </c>
      <c r="C104" s="5">
        <v>0.7</v>
      </c>
      <c r="D104" s="5">
        <v>2321.03586</v>
      </c>
      <c r="E104" s="5">
        <v>0.73829</v>
      </c>
      <c r="F104" s="5">
        <v>60</v>
      </c>
    </row>
    <row r="105" spans="1:6" x14ac:dyDescent="0.25">
      <c r="A105" s="5" t="s">
        <v>2</v>
      </c>
      <c r="B105" s="5">
        <v>24</v>
      </c>
      <c r="C105" s="5">
        <v>0.7</v>
      </c>
      <c r="D105" s="5">
        <v>2321.03586</v>
      </c>
      <c r="E105" s="5">
        <v>0.73402000000000001</v>
      </c>
      <c r="F105" s="5">
        <v>59</v>
      </c>
    </row>
    <row r="106" spans="1:6" x14ac:dyDescent="0.25">
      <c r="A106" s="5" t="s">
        <v>2</v>
      </c>
      <c r="B106" s="5">
        <v>24</v>
      </c>
      <c r="C106" s="5">
        <v>0.7</v>
      </c>
      <c r="D106" s="5">
        <v>2321.03586</v>
      </c>
      <c r="E106" s="5">
        <v>0.73592000000000002</v>
      </c>
      <c r="F106" s="5">
        <v>58</v>
      </c>
    </row>
    <row r="107" spans="1:6" x14ac:dyDescent="0.25">
      <c r="A107" s="5" t="s">
        <v>2</v>
      </c>
      <c r="B107" s="5">
        <v>24</v>
      </c>
      <c r="C107" s="5">
        <v>0.7</v>
      </c>
      <c r="D107" s="5">
        <v>2321.03586</v>
      </c>
      <c r="E107" s="5">
        <v>0.73477999999999999</v>
      </c>
      <c r="F107" s="5">
        <v>59</v>
      </c>
    </row>
    <row r="108" spans="1:6" x14ac:dyDescent="0.25">
      <c r="A108" s="5" t="s">
        <v>2</v>
      </c>
      <c r="B108" s="5">
        <v>24</v>
      </c>
      <c r="C108" s="5">
        <v>0.7</v>
      </c>
      <c r="D108" s="5">
        <v>2321.03586</v>
      </c>
      <c r="E108" s="5">
        <v>0.74150000000000005</v>
      </c>
      <c r="F108" s="5">
        <v>59</v>
      </c>
    </row>
    <row r="109" spans="1:6" x14ac:dyDescent="0.25">
      <c r="A109" s="5" t="s">
        <v>2</v>
      </c>
      <c r="B109" s="5">
        <v>24</v>
      </c>
      <c r="C109" s="5">
        <v>0.7</v>
      </c>
      <c r="D109" s="5">
        <v>2321.03586</v>
      </c>
      <c r="E109" s="5">
        <v>0.73633000000000004</v>
      </c>
      <c r="F109" s="5">
        <v>52</v>
      </c>
    </row>
    <row r="110" spans="1:6" x14ac:dyDescent="0.25">
      <c r="A110" s="5" t="s">
        <v>2</v>
      </c>
      <c r="B110" s="5">
        <v>24</v>
      </c>
      <c r="C110" s="5">
        <v>0.7</v>
      </c>
      <c r="D110" s="5">
        <v>2321.03586</v>
      </c>
      <c r="E110" s="5">
        <v>0.73453000000000002</v>
      </c>
      <c r="F110" s="5">
        <v>58</v>
      </c>
    </row>
    <row r="111" spans="1:6" x14ac:dyDescent="0.25">
      <c r="A111" s="5" t="s">
        <v>2</v>
      </c>
      <c r="B111" s="5">
        <v>24</v>
      </c>
      <c r="C111" s="5">
        <v>1</v>
      </c>
      <c r="D111" s="5">
        <v>2320.9075499999999</v>
      </c>
      <c r="E111" s="5">
        <v>1.2807299999999999</v>
      </c>
      <c r="F111" s="5">
        <v>97</v>
      </c>
    </row>
    <row r="112" spans="1:6" x14ac:dyDescent="0.25">
      <c r="A112" s="5" t="s">
        <v>2</v>
      </c>
      <c r="B112" s="5">
        <v>24</v>
      </c>
      <c r="C112" s="5">
        <v>1</v>
      </c>
      <c r="D112" s="5">
        <v>2320.9075499999999</v>
      </c>
      <c r="E112" s="5">
        <v>1.2806599999999999</v>
      </c>
      <c r="F112" s="5">
        <v>100</v>
      </c>
    </row>
    <row r="113" spans="1:6" x14ac:dyDescent="0.25">
      <c r="A113" s="5" t="s">
        <v>2</v>
      </c>
      <c r="B113" s="5">
        <v>24</v>
      </c>
      <c r="C113" s="5">
        <v>1</v>
      </c>
      <c r="D113" s="5">
        <v>2320.9075499999999</v>
      </c>
      <c r="E113" s="5">
        <v>1.2801899999999999</v>
      </c>
      <c r="F113" s="5">
        <v>98</v>
      </c>
    </row>
    <row r="114" spans="1:6" x14ac:dyDescent="0.25">
      <c r="A114" s="5" t="s">
        <v>2</v>
      </c>
      <c r="B114" s="5">
        <v>24</v>
      </c>
      <c r="C114" s="5">
        <v>1</v>
      </c>
      <c r="D114" s="5">
        <v>2320.9075499999999</v>
      </c>
      <c r="E114" s="5">
        <v>1.28163</v>
      </c>
      <c r="F114" s="5">
        <v>95</v>
      </c>
    </row>
    <row r="115" spans="1:6" x14ac:dyDescent="0.25">
      <c r="A115" s="5" t="s">
        <v>2</v>
      </c>
      <c r="B115" s="5">
        <v>24</v>
      </c>
      <c r="C115" s="5">
        <v>1</v>
      </c>
      <c r="D115" s="5">
        <v>2320.9075499999999</v>
      </c>
      <c r="E115" s="5">
        <v>1.27752</v>
      </c>
      <c r="F115" s="5">
        <v>99</v>
      </c>
    </row>
    <row r="116" spans="1:6" x14ac:dyDescent="0.25">
      <c r="A116" s="5" t="s">
        <v>2</v>
      </c>
      <c r="B116" s="5">
        <v>24</v>
      </c>
      <c r="C116" s="5">
        <v>1</v>
      </c>
      <c r="D116" s="5">
        <v>2320.9075499999999</v>
      </c>
      <c r="E116" s="5">
        <v>1.2742500000000001</v>
      </c>
      <c r="F116" s="5">
        <v>97</v>
      </c>
    </row>
    <row r="117" spans="1:6" x14ac:dyDescent="0.25">
      <c r="A117" s="5" t="s">
        <v>2</v>
      </c>
      <c r="B117" s="5">
        <v>24</v>
      </c>
      <c r="C117" s="5">
        <v>1</v>
      </c>
      <c r="D117" s="5">
        <v>2320.9075499999999</v>
      </c>
      <c r="E117" s="5">
        <v>1.2796400000000001</v>
      </c>
      <c r="F117" s="5">
        <v>92</v>
      </c>
    </row>
    <row r="118" spans="1:6" x14ac:dyDescent="0.25">
      <c r="A118" s="5" t="s">
        <v>2</v>
      </c>
      <c r="B118" s="5">
        <v>24</v>
      </c>
      <c r="C118" s="5">
        <v>1</v>
      </c>
      <c r="D118" s="5">
        <v>2320.9075499999999</v>
      </c>
      <c r="E118" s="5">
        <v>1.2762500000000001</v>
      </c>
      <c r="F118" s="5">
        <v>98</v>
      </c>
    </row>
    <row r="119" spans="1:6" x14ac:dyDescent="0.25">
      <c r="A119" s="5" t="s">
        <v>2</v>
      </c>
      <c r="B119" s="5">
        <v>24</v>
      </c>
      <c r="C119" s="5">
        <v>1</v>
      </c>
      <c r="D119" s="5">
        <v>2320.9075499999999</v>
      </c>
      <c r="E119" s="5">
        <v>1.2808299999999999</v>
      </c>
      <c r="F119" s="5">
        <v>96</v>
      </c>
    </row>
    <row r="120" spans="1:6" x14ac:dyDescent="0.25">
      <c r="A120" s="5" t="s">
        <v>2</v>
      </c>
      <c r="B120" s="5">
        <v>24</v>
      </c>
      <c r="C120" s="5">
        <v>1</v>
      </c>
      <c r="D120" s="5">
        <v>2320.9075499999999</v>
      </c>
      <c r="E120" s="5">
        <v>1.28017</v>
      </c>
      <c r="F120" s="5">
        <v>91</v>
      </c>
    </row>
    <row r="121" spans="1:6" x14ac:dyDescent="0.25">
      <c r="A121" s="5" t="s">
        <v>2</v>
      </c>
      <c r="B121" s="5">
        <v>47</v>
      </c>
      <c r="C121" s="5">
        <v>0.4</v>
      </c>
      <c r="D121" s="5">
        <v>4348.0289499999999</v>
      </c>
      <c r="E121" s="5">
        <v>1.99241</v>
      </c>
      <c r="F121" s="5">
        <v>52</v>
      </c>
    </row>
    <row r="122" spans="1:6" x14ac:dyDescent="0.25">
      <c r="A122" s="5" t="s">
        <v>2</v>
      </c>
      <c r="B122" s="5">
        <v>47</v>
      </c>
      <c r="C122" s="5">
        <v>0.4</v>
      </c>
      <c r="D122" s="5">
        <v>4348.0289499999999</v>
      </c>
      <c r="E122" s="5">
        <v>2.0024000000000002</v>
      </c>
      <c r="F122" s="5">
        <v>52</v>
      </c>
    </row>
    <row r="123" spans="1:6" x14ac:dyDescent="0.25">
      <c r="A123" s="5" t="s">
        <v>2</v>
      </c>
      <c r="B123" s="5">
        <v>47</v>
      </c>
      <c r="C123" s="5">
        <v>0.4</v>
      </c>
      <c r="D123" s="5">
        <v>4350.8413700000001</v>
      </c>
      <c r="E123" s="5">
        <v>2.0106099999999998</v>
      </c>
      <c r="F123" s="5">
        <v>54</v>
      </c>
    </row>
    <row r="124" spans="1:6" x14ac:dyDescent="0.25">
      <c r="A124" s="5" t="s">
        <v>2</v>
      </c>
      <c r="B124" s="5">
        <v>47</v>
      </c>
      <c r="C124" s="5">
        <v>0.4</v>
      </c>
      <c r="D124" s="5">
        <v>4350.8413700000001</v>
      </c>
      <c r="E124" s="5">
        <v>2.0306299999999999</v>
      </c>
      <c r="F124" s="5">
        <v>53</v>
      </c>
    </row>
    <row r="125" spans="1:6" x14ac:dyDescent="0.25">
      <c r="A125" s="5" t="s">
        <v>2</v>
      </c>
      <c r="B125" s="5">
        <v>47</v>
      </c>
      <c r="C125" s="5">
        <v>0.4</v>
      </c>
      <c r="D125" s="5">
        <v>4350.8413700000001</v>
      </c>
      <c r="E125" s="5">
        <v>2.0049899999999998</v>
      </c>
      <c r="F125" s="5">
        <v>54</v>
      </c>
    </row>
    <row r="126" spans="1:6" x14ac:dyDescent="0.25">
      <c r="A126" s="5" t="s">
        <v>2</v>
      </c>
      <c r="B126" s="5">
        <v>47</v>
      </c>
      <c r="C126" s="5">
        <v>0.4</v>
      </c>
      <c r="D126" s="5">
        <v>4350.8413700000001</v>
      </c>
      <c r="E126" s="5">
        <v>2.0110299999999999</v>
      </c>
      <c r="F126" s="5">
        <v>54</v>
      </c>
    </row>
    <row r="127" spans="1:6" x14ac:dyDescent="0.25">
      <c r="A127" s="5" t="s">
        <v>2</v>
      </c>
      <c r="B127" s="5">
        <v>47</v>
      </c>
      <c r="C127" s="5">
        <v>0.4</v>
      </c>
      <c r="D127" s="5">
        <v>4348.0289499999999</v>
      </c>
      <c r="E127" s="5">
        <v>2.0173299999999998</v>
      </c>
      <c r="F127" s="5">
        <v>53</v>
      </c>
    </row>
    <row r="128" spans="1:6" x14ac:dyDescent="0.25">
      <c r="A128" s="5" t="s">
        <v>2</v>
      </c>
      <c r="B128" s="5">
        <v>47</v>
      </c>
      <c r="C128" s="5">
        <v>0.4</v>
      </c>
      <c r="D128" s="5">
        <v>4348.0289499999999</v>
      </c>
      <c r="E128" s="5">
        <v>2.0220899999999999</v>
      </c>
      <c r="F128" s="5">
        <v>54</v>
      </c>
    </row>
    <row r="129" spans="1:6" x14ac:dyDescent="0.25">
      <c r="A129" s="5" t="s">
        <v>2</v>
      </c>
      <c r="B129" s="5">
        <v>47</v>
      </c>
      <c r="C129" s="5">
        <v>0.4</v>
      </c>
      <c r="D129" s="5">
        <v>4348.0289499999999</v>
      </c>
      <c r="E129" s="5">
        <v>1.99275</v>
      </c>
      <c r="F129" s="5">
        <v>53</v>
      </c>
    </row>
    <row r="130" spans="1:6" x14ac:dyDescent="0.25">
      <c r="A130" s="5" t="s">
        <v>2</v>
      </c>
      <c r="B130" s="5">
        <v>47</v>
      </c>
      <c r="C130" s="5">
        <v>0.4</v>
      </c>
      <c r="D130" s="5">
        <v>4350.8413700000001</v>
      </c>
      <c r="E130" s="5">
        <v>2.0126900000000001</v>
      </c>
      <c r="F130" s="5">
        <v>54</v>
      </c>
    </row>
    <row r="131" spans="1:6" x14ac:dyDescent="0.25">
      <c r="A131" s="5" t="s">
        <v>2</v>
      </c>
      <c r="B131" s="5">
        <v>47</v>
      </c>
      <c r="C131" s="5">
        <v>0.7</v>
      </c>
      <c r="D131" s="5">
        <v>4325.26836</v>
      </c>
      <c r="E131" s="5">
        <v>2.88191</v>
      </c>
      <c r="F131" s="5">
        <v>70</v>
      </c>
    </row>
    <row r="132" spans="1:6" x14ac:dyDescent="0.25">
      <c r="A132" s="5" t="s">
        <v>2</v>
      </c>
      <c r="B132" s="5">
        <v>47</v>
      </c>
      <c r="C132" s="5">
        <v>0.7</v>
      </c>
      <c r="D132" s="5">
        <v>4325.26836</v>
      </c>
      <c r="E132" s="5">
        <v>2.8623500000000002</v>
      </c>
      <c r="F132" s="5">
        <v>71</v>
      </c>
    </row>
    <row r="133" spans="1:6" x14ac:dyDescent="0.25">
      <c r="A133" s="5" t="s">
        <v>2</v>
      </c>
      <c r="B133" s="5">
        <v>47</v>
      </c>
      <c r="C133" s="5">
        <v>0.7</v>
      </c>
      <c r="D133" s="5">
        <v>4325.26836</v>
      </c>
      <c r="E133" s="5">
        <v>2.8826000000000001</v>
      </c>
      <c r="F133" s="5">
        <v>73</v>
      </c>
    </row>
    <row r="134" spans="1:6" x14ac:dyDescent="0.25">
      <c r="A134" s="5" t="s">
        <v>2</v>
      </c>
      <c r="B134" s="5">
        <v>47</v>
      </c>
      <c r="C134" s="5">
        <v>0.7</v>
      </c>
      <c r="D134" s="5">
        <v>4325.26836</v>
      </c>
      <c r="E134" s="5">
        <v>2.87554</v>
      </c>
      <c r="F134" s="5">
        <v>71</v>
      </c>
    </row>
    <row r="135" spans="1:6" x14ac:dyDescent="0.25">
      <c r="A135" s="5" t="s">
        <v>2</v>
      </c>
      <c r="B135" s="5">
        <v>47</v>
      </c>
      <c r="C135" s="5">
        <v>0.7</v>
      </c>
      <c r="D135" s="5">
        <v>4325.26836</v>
      </c>
      <c r="E135" s="5">
        <v>2.8761399999999999</v>
      </c>
      <c r="F135" s="5">
        <v>71</v>
      </c>
    </row>
    <row r="136" spans="1:6" x14ac:dyDescent="0.25">
      <c r="A136" s="5" t="s">
        <v>2</v>
      </c>
      <c r="B136" s="5">
        <v>47</v>
      </c>
      <c r="C136" s="5">
        <v>0.7</v>
      </c>
      <c r="D136" s="5">
        <v>4325.26836</v>
      </c>
      <c r="E136" s="5">
        <v>2.88713</v>
      </c>
      <c r="F136" s="5">
        <v>73</v>
      </c>
    </row>
    <row r="137" spans="1:6" x14ac:dyDescent="0.25">
      <c r="A137" s="5" t="s">
        <v>2</v>
      </c>
      <c r="B137" s="5">
        <v>47</v>
      </c>
      <c r="C137" s="5">
        <v>0.7</v>
      </c>
      <c r="D137" s="5">
        <v>4325.26836</v>
      </c>
      <c r="E137" s="5">
        <v>2.8804099999999999</v>
      </c>
      <c r="F137" s="5">
        <v>72</v>
      </c>
    </row>
    <row r="138" spans="1:6" x14ac:dyDescent="0.25">
      <c r="A138" s="5" t="s">
        <v>2</v>
      </c>
      <c r="B138" s="5">
        <v>47</v>
      </c>
      <c r="C138" s="5">
        <v>0.7</v>
      </c>
      <c r="D138" s="5">
        <v>4325.26836</v>
      </c>
      <c r="E138" s="5">
        <v>2.8771900000000001</v>
      </c>
      <c r="F138" s="5">
        <v>71</v>
      </c>
    </row>
    <row r="139" spans="1:6" x14ac:dyDescent="0.25">
      <c r="A139" s="5" t="s">
        <v>2</v>
      </c>
      <c r="B139" s="5">
        <v>47</v>
      </c>
      <c r="C139" s="5">
        <v>0.7</v>
      </c>
      <c r="D139" s="5">
        <v>4325.26836</v>
      </c>
      <c r="E139" s="5">
        <v>2.8660299999999999</v>
      </c>
      <c r="F139" s="5">
        <v>72</v>
      </c>
    </row>
    <row r="140" spans="1:6" x14ac:dyDescent="0.25">
      <c r="A140" s="5" t="s">
        <v>2</v>
      </c>
      <c r="B140" s="5">
        <v>47</v>
      </c>
      <c r="C140" s="5">
        <v>0.7</v>
      </c>
      <c r="D140" s="5">
        <v>4325.26836</v>
      </c>
      <c r="E140" s="5">
        <v>2.8769900000000002</v>
      </c>
      <c r="F140" s="5">
        <v>71</v>
      </c>
    </row>
    <row r="141" spans="1:6" x14ac:dyDescent="0.25">
      <c r="A141" s="5" t="s">
        <v>2</v>
      </c>
      <c r="B141" s="5">
        <v>47</v>
      </c>
      <c r="C141" s="5">
        <v>1</v>
      </c>
      <c r="D141" s="5">
        <v>4313.60977</v>
      </c>
      <c r="E141" s="5">
        <v>3.5195099999999999</v>
      </c>
      <c r="F141" s="5">
        <v>85</v>
      </c>
    </row>
    <row r="142" spans="1:6" x14ac:dyDescent="0.25">
      <c r="A142" s="5" t="s">
        <v>2</v>
      </c>
      <c r="B142" s="5">
        <v>47</v>
      </c>
      <c r="C142" s="5">
        <v>1</v>
      </c>
      <c r="D142" s="5">
        <v>4313.60977</v>
      </c>
      <c r="E142" s="5">
        <v>3.5312100000000002</v>
      </c>
      <c r="F142" s="5">
        <v>88</v>
      </c>
    </row>
    <row r="143" spans="1:6" x14ac:dyDescent="0.25">
      <c r="A143" s="5" t="s">
        <v>2</v>
      </c>
      <c r="B143" s="5">
        <v>47</v>
      </c>
      <c r="C143" s="5">
        <v>1</v>
      </c>
      <c r="D143" s="5">
        <v>4313.60977</v>
      </c>
      <c r="E143" s="5">
        <v>3.5282800000000001</v>
      </c>
      <c r="F143" s="5">
        <v>88</v>
      </c>
    </row>
    <row r="144" spans="1:6" x14ac:dyDescent="0.25">
      <c r="A144" s="5" t="s">
        <v>2</v>
      </c>
      <c r="B144" s="5">
        <v>47</v>
      </c>
      <c r="C144" s="5">
        <v>1</v>
      </c>
      <c r="D144" s="5">
        <v>4313.60977</v>
      </c>
      <c r="E144" s="5">
        <v>3.5394299999999999</v>
      </c>
      <c r="F144" s="5">
        <v>88</v>
      </c>
    </row>
    <row r="145" spans="1:6" x14ac:dyDescent="0.25">
      <c r="A145" s="5" t="s">
        <v>2</v>
      </c>
      <c r="B145" s="5">
        <v>47</v>
      </c>
      <c r="C145" s="5">
        <v>1</v>
      </c>
      <c r="D145" s="5">
        <v>4313.60977</v>
      </c>
      <c r="E145" s="5">
        <v>3.5297999999999998</v>
      </c>
      <c r="F145" s="5">
        <v>86</v>
      </c>
    </row>
    <row r="146" spans="1:6" x14ac:dyDescent="0.25">
      <c r="A146" s="5" t="s">
        <v>2</v>
      </c>
      <c r="B146" s="5">
        <v>47</v>
      </c>
      <c r="C146" s="5">
        <v>1</v>
      </c>
      <c r="D146" s="5">
        <v>4313.60977</v>
      </c>
      <c r="E146" s="5">
        <v>3.5213100000000002</v>
      </c>
      <c r="F146" s="5">
        <v>87</v>
      </c>
    </row>
    <row r="147" spans="1:6" x14ac:dyDescent="0.25">
      <c r="A147" s="5" t="s">
        <v>2</v>
      </c>
      <c r="B147" s="5">
        <v>47</v>
      </c>
      <c r="C147" s="5">
        <v>1</v>
      </c>
      <c r="D147" s="5">
        <v>4313.60977</v>
      </c>
      <c r="E147" s="5">
        <v>3.5312399999999999</v>
      </c>
      <c r="F147" s="5">
        <v>87</v>
      </c>
    </row>
    <row r="148" spans="1:6" x14ac:dyDescent="0.25">
      <c r="A148" s="5" t="s">
        <v>2</v>
      </c>
      <c r="B148" s="5">
        <v>47</v>
      </c>
      <c r="C148" s="5">
        <v>1</v>
      </c>
      <c r="D148" s="5">
        <v>4313.60977</v>
      </c>
      <c r="E148" s="5">
        <v>3.53722</v>
      </c>
      <c r="F148" s="5">
        <v>86</v>
      </c>
    </row>
    <row r="149" spans="1:6" x14ac:dyDescent="0.25">
      <c r="A149" s="5" t="s">
        <v>2</v>
      </c>
      <c r="B149" s="5">
        <v>47</v>
      </c>
      <c r="C149" s="5">
        <v>1</v>
      </c>
      <c r="D149" s="5">
        <v>4313.60977</v>
      </c>
      <c r="E149" s="5">
        <v>3.53592</v>
      </c>
      <c r="F149" s="5">
        <v>88</v>
      </c>
    </row>
    <row r="150" spans="1:6" x14ac:dyDescent="0.25">
      <c r="A150" s="5" t="s">
        <v>2</v>
      </c>
      <c r="B150" s="5">
        <v>47</v>
      </c>
      <c r="C150" s="5">
        <v>1</v>
      </c>
      <c r="D150" s="5">
        <v>4313.60977</v>
      </c>
      <c r="E150" s="5">
        <v>3.5248200000000001</v>
      </c>
      <c r="F150" s="5">
        <v>87</v>
      </c>
    </row>
    <row r="151" spans="1:6" x14ac:dyDescent="0.25">
      <c r="A151" s="5" t="s">
        <v>2</v>
      </c>
      <c r="B151" s="5">
        <v>100</v>
      </c>
      <c r="C151" s="5">
        <v>0.4</v>
      </c>
      <c r="D151" s="5">
        <v>42988.218220000002</v>
      </c>
      <c r="E151" s="5">
        <v>4.9009</v>
      </c>
      <c r="F151" s="5">
        <v>33</v>
      </c>
    </row>
    <row r="152" spans="1:6" x14ac:dyDescent="0.25">
      <c r="A152" s="5" t="s">
        <v>2</v>
      </c>
      <c r="B152" s="5">
        <v>100</v>
      </c>
      <c r="C152" s="5">
        <v>0.4</v>
      </c>
      <c r="D152" s="5">
        <v>42986.727890000002</v>
      </c>
      <c r="E152" s="5">
        <v>5.0173199999999998</v>
      </c>
      <c r="F152" s="5">
        <v>34</v>
      </c>
    </row>
    <row r="153" spans="1:6" x14ac:dyDescent="0.25">
      <c r="A153" s="5" t="s">
        <v>2</v>
      </c>
      <c r="B153" s="5">
        <v>100</v>
      </c>
      <c r="C153" s="5">
        <v>0.4</v>
      </c>
      <c r="D153" s="5">
        <v>42986.403050000001</v>
      </c>
      <c r="E153" s="5">
        <v>4.9720000000000004</v>
      </c>
      <c r="F153" s="5">
        <v>34</v>
      </c>
    </row>
    <row r="154" spans="1:6" x14ac:dyDescent="0.25">
      <c r="A154" s="5" t="s">
        <v>2</v>
      </c>
      <c r="B154" s="5">
        <v>100</v>
      </c>
      <c r="C154" s="5">
        <v>0.4</v>
      </c>
      <c r="D154" s="5">
        <v>42986.403050000001</v>
      </c>
      <c r="E154" s="5">
        <v>4.8929</v>
      </c>
      <c r="F154" s="5">
        <v>33</v>
      </c>
    </row>
    <row r="155" spans="1:6" x14ac:dyDescent="0.25">
      <c r="A155" s="5" t="s">
        <v>2</v>
      </c>
      <c r="B155" s="5">
        <v>100</v>
      </c>
      <c r="C155" s="5">
        <v>0.4</v>
      </c>
      <c r="D155" s="5">
        <v>42986.853589999999</v>
      </c>
      <c r="E155" s="5">
        <v>4.9650100000000004</v>
      </c>
      <c r="F155" s="5">
        <v>34</v>
      </c>
    </row>
    <row r="156" spans="1:6" x14ac:dyDescent="0.25">
      <c r="A156" s="5" t="s">
        <v>2</v>
      </c>
      <c r="B156" s="5">
        <v>100</v>
      </c>
      <c r="C156" s="5">
        <v>0.4</v>
      </c>
      <c r="D156" s="5">
        <v>42986.802479999998</v>
      </c>
      <c r="E156" s="5">
        <v>4.91214</v>
      </c>
      <c r="F156" s="5">
        <v>33</v>
      </c>
    </row>
    <row r="157" spans="1:6" x14ac:dyDescent="0.25">
      <c r="A157" s="5" t="s">
        <v>2</v>
      </c>
      <c r="B157" s="5">
        <v>100</v>
      </c>
      <c r="C157" s="5">
        <v>0.4</v>
      </c>
      <c r="D157" s="5">
        <v>42986.802479999998</v>
      </c>
      <c r="E157" s="5">
        <v>4.9701599999999999</v>
      </c>
      <c r="F157" s="5">
        <v>34</v>
      </c>
    </row>
    <row r="158" spans="1:6" x14ac:dyDescent="0.25">
      <c r="A158" s="5" t="s">
        <v>2</v>
      </c>
      <c r="B158" s="5">
        <v>100</v>
      </c>
      <c r="C158" s="5">
        <v>0.4</v>
      </c>
      <c r="D158" s="5">
        <v>42986.193919999998</v>
      </c>
      <c r="E158" s="5">
        <v>4.9973000000000001</v>
      </c>
      <c r="F158" s="5">
        <v>34</v>
      </c>
    </row>
    <row r="159" spans="1:6" x14ac:dyDescent="0.25">
      <c r="A159" s="5" t="s">
        <v>2</v>
      </c>
      <c r="B159" s="5">
        <v>100</v>
      </c>
      <c r="C159" s="5">
        <v>0.4</v>
      </c>
      <c r="D159" s="5">
        <v>42986.853589999999</v>
      </c>
      <c r="E159" s="5">
        <v>4.8894000000000002</v>
      </c>
      <c r="F159" s="5">
        <v>33</v>
      </c>
    </row>
    <row r="160" spans="1:6" x14ac:dyDescent="0.25">
      <c r="A160" s="5" t="s">
        <v>2</v>
      </c>
      <c r="B160" s="5">
        <v>100</v>
      </c>
      <c r="C160" s="5">
        <v>0.4</v>
      </c>
      <c r="D160" s="5">
        <v>42986.673049999998</v>
      </c>
      <c r="E160" s="5">
        <v>5.0103400000000002</v>
      </c>
      <c r="F160" s="5">
        <v>34</v>
      </c>
    </row>
    <row r="161" spans="1:6" x14ac:dyDescent="0.25">
      <c r="A161" s="5" t="s">
        <v>2</v>
      </c>
      <c r="B161" s="5">
        <v>100</v>
      </c>
      <c r="C161" s="5">
        <v>0.7</v>
      </c>
      <c r="D161" s="5">
        <v>35455.702539999998</v>
      </c>
      <c r="E161" s="5">
        <v>12.802440000000001</v>
      </c>
      <c r="F161" s="5">
        <v>81</v>
      </c>
    </row>
    <row r="162" spans="1:6" x14ac:dyDescent="0.25">
      <c r="A162" s="5" t="s">
        <v>2</v>
      </c>
      <c r="B162" s="5">
        <v>100</v>
      </c>
      <c r="C162" s="5">
        <v>0.7</v>
      </c>
      <c r="D162" s="5">
        <v>35623.268060000002</v>
      </c>
      <c r="E162" s="5">
        <v>12.759639999999999</v>
      </c>
      <c r="F162" s="5">
        <v>81</v>
      </c>
    </row>
    <row r="163" spans="1:6" x14ac:dyDescent="0.25">
      <c r="A163" s="5" t="s">
        <v>2</v>
      </c>
      <c r="B163" s="5">
        <v>100</v>
      </c>
      <c r="C163" s="5">
        <v>0.7</v>
      </c>
      <c r="D163" s="5">
        <v>35652.211219999997</v>
      </c>
      <c r="E163" s="5">
        <v>12.792310000000001</v>
      </c>
      <c r="F163" s="5">
        <v>81</v>
      </c>
    </row>
    <row r="164" spans="1:6" x14ac:dyDescent="0.25">
      <c r="A164" s="5" t="s">
        <v>2</v>
      </c>
      <c r="B164" s="5">
        <v>100</v>
      </c>
      <c r="C164" s="5">
        <v>0.7</v>
      </c>
      <c r="D164" s="5">
        <v>35446.502</v>
      </c>
      <c r="E164" s="5">
        <v>12.69943</v>
      </c>
      <c r="F164" s="5">
        <v>81</v>
      </c>
    </row>
    <row r="165" spans="1:6" x14ac:dyDescent="0.25">
      <c r="A165" s="5" t="s">
        <v>2</v>
      </c>
      <c r="B165" s="5">
        <v>100</v>
      </c>
      <c r="C165" s="5">
        <v>0.7</v>
      </c>
      <c r="D165" s="5">
        <v>35538.55416</v>
      </c>
      <c r="E165" s="5">
        <v>12.76938</v>
      </c>
      <c r="F165" s="5">
        <v>81</v>
      </c>
    </row>
    <row r="166" spans="1:6" x14ac:dyDescent="0.25">
      <c r="A166" s="5" t="s">
        <v>2</v>
      </c>
      <c r="B166" s="5">
        <v>100</v>
      </c>
      <c r="C166" s="5">
        <v>0.7</v>
      </c>
      <c r="D166" s="5">
        <v>35462.301679999997</v>
      </c>
      <c r="E166" s="5">
        <v>12.81101</v>
      </c>
      <c r="F166" s="5">
        <v>81</v>
      </c>
    </row>
    <row r="167" spans="1:6" x14ac:dyDescent="0.25">
      <c r="A167" s="5" t="s">
        <v>2</v>
      </c>
      <c r="B167" s="5">
        <v>100</v>
      </c>
      <c r="C167" s="5">
        <v>0.7</v>
      </c>
      <c r="D167" s="5">
        <v>35630.762519999997</v>
      </c>
      <c r="E167" s="5">
        <v>12.80505</v>
      </c>
      <c r="F167" s="5">
        <v>81</v>
      </c>
    </row>
    <row r="168" spans="1:6" x14ac:dyDescent="0.25">
      <c r="A168" s="5" t="s">
        <v>2</v>
      </c>
      <c r="B168" s="5">
        <v>100</v>
      </c>
      <c r="C168" s="5">
        <v>0.7</v>
      </c>
      <c r="D168" s="5">
        <v>35601.256459999997</v>
      </c>
      <c r="E168" s="5">
        <v>12.76032</v>
      </c>
      <c r="F168" s="5">
        <v>82</v>
      </c>
    </row>
    <row r="169" spans="1:6" x14ac:dyDescent="0.25">
      <c r="A169" s="5" t="s">
        <v>2</v>
      </c>
      <c r="B169" s="5">
        <v>100</v>
      </c>
      <c r="C169" s="5">
        <v>0.7</v>
      </c>
      <c r="D169" s="5">
        <v>35511.696859999996</v>
      </c>
      <c r="E169" s="5">
        <v>12.74342</v>
      </c>
      <c r="F169" s="5">
        <v>81</v>
      </c>
    </row>
    <row r="170" spans="1:6" x14ac:dyDescent="0.25">
      <c r="A170" s="5" t="s">
        <v>2</v>
      </c>
      <c r="B170" s="5">
        <v>100</v>
      </c>
      <c r="C170" s="5">
        <v>0.7</v>
      </c>
      <c r="D170" s="5">
        <v>35515.115279999998</v>
      </c>
      <c r="E170" s="5">
        <v>12.75001</v>
      </c>
      <c r="F170" s="5">
        <v>81</v>
      </c>
    </row>
    <row r="171" spans="1:6" x14ac:dyDescent="0.25">
      <c r="A171" s="5" t="s">
        <v>2</v>
      </c>
      <c r="B171" s="5">
        <v>100</v>
      </c>
      <c r="C171" s="5">
        <v>1</v>
      </c>
      <c r="D171" s="5">
        <v>35273.297890000002</v>
      </c>
      <c r="E171" s="5">
        <v>28.503080000000001</v>
      </c>
      <c r="F171" s="5">
        <v>184</v>
      </c>
    </row>
    <row r="172" spans="1:6" x14ac:dyDescent="0.25">
      <c r="A172" s="5" t="s">
        <v>2</v>
      </c>
      <c r="B172" s="5">
        <v>100</v>
      </c>
      <c r="C172" s="5">
        <v>1</v>
      </c>
      <c r="D172" s="5">
        <v>35236.117480000001</v>
      </c>
      <c r="E172" s="5">
        <v>28.5063</v>
      </c>
      <c r="F172" s="5">
        <v>184</v>
      </c>
    </row>
    <row r="173" spans="1:6" x14ac:dyDescent="0.25">
      <c r="A173" s="5" t="s">
        <v>2</v>
      </c>
      <c r="B173" s="5">
        <v>100</v>
      </c>
      <c r="C173" s="5">
        <v>1</v>
      </c>
      <c r="D173" s="5">
        <v>35285.718099999998</v>
      </c>
      <c r="E173" s="5">
        <v>28.52122</v>
      </c>
      <c r="F173" s="5">
        <v>180</v>
      </c>
    </row>
    <row r="174" spans="1:6" x14ac:dyDescent="0.25">
      <c r="A174" s="5" t="s">
        <v>2</v>
      </c>
      <c r="B174" s="5">
        <v>100</v>
      </c>
      <c r="C174" s="5">
        <v>1</v>
      </c>
      <c r="D174" s="5">
        <v>35366.49336</v>
      </c>
      <c r="E174" s="5">
        <v>28.50123</v>
      </c>
      <c r="F174" s="5">
        <v>180</v>
      </c>
    </row>
    <row r="175" spans="1:6" x14ac:dyDescent="0.25">
      <c r="A175" s="5" t="s">
        <v>2</v>
      </c>
      <c r="B175" s="5">
        <v>100</v>
      </c>
      <c r="C175" s="5">
        <v>1</v>
      </c>
      <c r="D175" s="5">
        <v>35363.069170000002</v>
      </c>
      <c r="E175" s="5">
        <v>28.58907</v>
      </c>
      <c r="F175" s="5">
        <v>178</v>
      </c>
    </row>
    <row r="176" spans="1:6" x14ac:dyDescent="0.25">
      <c r="A176" s="5" t="s">
        <v>2</v>
      </c>
      <c r="B176" s="5">
        <v>100</v>
      </c>
      <c r="C176" s="5">
        <v>1</v>
      </c>
      <c r="D176" s="5">
        <v>35278.059670000002</v>
      </c>
      <c r="E176" s="5">
        <v>28.488890000000001</v>
      </c>
      <c r="F176" s="5">
        <v>185</v>
      </c>
    </row>
    <row r="177" spans="1:6" x14ac:dyDescent="0.25">
      <c r="A177" s="5" t="s">
        <v>2</v>
      </c>
      <c r="B177" s="5">
        <v>100</v>
      </c>
      <c r="C177" s="5">
        <v>1</v>
      </c>
      <c r="D177" s="5">
        <v>35203.906730000002</v>
      </c>
      <c r="E177" s="5">
        <v>28.536429999999999</v>
      </c>
      <c r="F177" s="5">
        <v>185</v>
      </c>
    </row>
    <row r="178" spans="1:6" x14ac:dyDescent="0.25">
      <c r="A178" s="5" t="s">
        <v>2</v>
      </c>
      <c r="B178" s="5">
        <v>100</v>
      </c>
      <c r="C178" s="5">
        <v>1</v>
      </c>
      <c r="D178" s="5">
        <v>35223.279999999999</v>
      </c>
      <c r="E178" s="5">
        <v>28.512180000000001</v>
      </c>
      <c r="F178" s="5">
        <v>185</v>
      </c>
    </row>
    <row r="179" spans="1:6" x14ac:dyDescent="0.25">
      <c r="A179" s="5" t="s">
        <v>2</v>
      </c>
      <c r="B179" s="5">
        <v>100</v>
      </c>
      <c r="C179" s="5">
        <v>1</v>
      </c>
      <c r="D179" s="5">
        <v>35250.34633</v>
      </c>
      <c r="E179" s="5">
        <v>28.500679999999999</v>
      </c>
      <c r="F179" s="5">
        <v>184</v>
      </c>
    </row>
    <row r="180" spans="1:6" x14ac:dyDescent="0.25">
      <c r="A180" s="5" t="s">
        <v>2</v>
      </c>
      <c r="B180" s="5">
        <v>100</v>
      </c>
      <c r="C180" s="5">
        <v>1</v>
      </c>
      <c r="D180" s="5">
        <v>35276.795890000001</v>
      </c>
      <c r="E180" s="5">
        <v>28.49952</v>
      </c>
      <c r="F180" s="5">
        <v>178</v>
      </c>
    </row>
    <row r="181" spans="1:6" x14ac:dyDescent="0.25">
      <c r="A181" s="5" t="s">
        <v>1</v>
      </c>
      <c r="B181" s="5">
        <v>30</v>
      </c>
      <c r="C181" s="5">
        <v>0.4</v>
      </c>
      <c r="D181" s="5">
        <v>995.50248999999997</v>
      </c>
      <c r="E181" s="5">
        <v>0.74343000000000004</v>
      </c>
      <c r="F181" s="5">
        <v>40</v>
      </c>
    </row>
    <row r="182" spans="1:6" x14ac:dyDescent="0.25">
      <c r="A182" s="5" t="s">
        <v>1</v>
      </c>
      <c r="B182" s="5">
        <v>30</v>
      </c>
      <c r="C182" s="5">
        <v>0.4</v>
      </c>
      <c r="D182" s="5">
        <v>995.50248999999997</v>
      </c>
      <c r="E182" s="5">
        <v>0.73912999999999995</v>
      </c>
      <c r="F182" s="5">
        <v>43</v>
      </c>
    </row>
    <row r="183" spans="1:6" x14ac:dyDescent="0.25">
      <c r="A183" s="5" t="s">
        <v>1</v>
      </c>
      <c r="B183" s="5">
        <v>30</v>
      </c>
      <c r="C183" s="5">
        <v>0.4</v>
      </c>
      <c r="D183" s="5">
        <v>995.50248999999997</v>
      </c>
      <c r="E183" s="5">
        <v>0.73980000000000001</v>
      </c>
      <c r="F183" s="5">
        <v>38</v>
      </c>
    </row>
    <row r="184" spans="1:6" x14ac:dyDescent="0.25">
      <c r="A184" s="5" t="s">
        <v>1</v>
      </c>
      <c r="B184" s="5">
        <v>30</v>
      </c>
      <c r="C184" s="5">
        <v>0.4</v>
      </c>
      <c r="D184" s="5">
        <v>995.50248999999997</v>
      </c>
      <c r="E184" s="5">
        <v>0.73475000000000001</v>
      </c>
      <c r="F184" s="5">
        <v>42</v>
      </c>
    </row>
    <row r="185" spans="1:6" x14ac:dyDescent="0.25">
      <c r="A185" s="5" t="s">
        <v>1</v>
      </c>
      <c r="B185" s="5">
        <v>30</v>
      </c>
      <c r="C185" s="5">
        <v>0.4</v>
      </c>
      <c r="D185" s="5">
        <v>995.50248999999997</v>
      </c>
      <c r="E185" s="5">
        <v>0.73729</v>
      </c>
      <c r="F185" s="5">
        <v>42</v>
      </c>
    </row>
    <row r="186" spans="1:6" x14ac:dyDescent="0.25">
      <c r="A186" s="5" t="s">
        <v>1</v>
      </c>
      <c r="B186" s="5">
        <v>30</v>
      </c>
      <c r="C186" s="5">
        <v>0.4</v>
      </c>
      <c r="D186" s="5">
        <v>995.50248999999997</v>
      </c>
      <c r="E186" s="5">
        <v>0.73646999999999996</v>
      </c>
      <c r="F186" s="5">
        <v>42</v>
      </c>
    </row>
    <row r="187" spans="1:6" x14ac:dyDescent="0.25">
      <c r="A187" s="5" t="s">
        <v>1</v>
      </c>
      <c r="B187" s="5">
        <v>30</v>
      </c>
      <c r="C187" s="5">
        <v>0.4</v>
      </c>
      <c r="D187" s="5">
        <v>995.50248999999997</v>
      </c>
      <c r="E187" s="5">
        <v>0.73341000000000001</v>
      </c>
      <c r="F187" s="5">
        <v>42</v>
      </c>
    </row>
    <row r="188" spans="1:6" x14ac:dyDescent="0.25">
      <c r="A188" s="5" t="s">
        <v>1</v>
      </c>
      <c r="B188" s="5">
        <v>30</v>
      </c>
      <c r="C188" s="5">
        <v>0.4</v>
      </c>
      <c r="D188" s="5">
        <v>995.50248999999997</v>
      </c>
      <c r="E188" s="5">
        <v>0.73684000000000005</v>
      </c>
      <c r="F188" s="5">
        <v>43</v>
      </c>
    </row>
    <row r="189" spans="1:6" x14ac:dyDescent="0.25">
      <c r="A189" s="5" t="s">
        <v>1</v>
      </c>
      <c r="B189" s="5">
        <v>30</v>
      </c>
      <c r="C189" s="5">
        <v>0.4</v>
      </c>
      <c r="D189" s="5">
        <v>995.50248999999997</v>
      </c>
      <c r="E189" s="5">
        <v>0.74238999999999999</v>
      </c>
      <c r="F189" s="5">
        <v>40</v>
      </c>
    </row>
    <row r="190" spans="1:6" x14ac:dyDescent="0.25">
      <c r="A190" s="5" t="s">
        <v>1</v>
      </c>
      <c r="B190" s="5">
        <v>30</v>
      </c>
      <c r="C190" s="5">
        <v>0.4</v>
      </c>
      <c r="D190" s="5">
        <v>995.50248999999997</v>
      </c>
      <c r="E190" s="5">
        <v>0.74278</v>
      </c>
      <c r="F190" s="5">
        <v>43</v>
      </c>
    </row>
    <row r="191" spans="1:6" x14ac:dyDescent="0.25">
      <c r="A191" s="5" t="s">
        <v>1</v>
      </c>
      <c r="B191" s="5">
        <v>30</v>
      </c>
      <c r="C191" s="5">
        <v>0.7</v>
      </c>
      <c r="D191" s="5">
        <v>675.36989000000005</v>
      </c>
      <c r="E191" s="5">
        <v>1.14866</v>
      </c>
      <c r="F191" s="5">
        <v>62</v>
      </c>
    </row>
    <row r="192" spans="1:6" x14ac:dyDescent="0.25">
      <c r="A192" s="5" t="s">
        <v>1</v>
      </c>
      <c r="B192" s="5">
        <v>30</v>
      </c>
      <c r="C192" s="5">
        <v>0.7</v>
      </c>
      <c r="D192" s="5">
        <v>675.36581000000001</v>
      </c>
      <c r="E192" s="5">
        <v>1.1503399999999999</v>
      </c>
      <c r="F192" s="5">
        <v>60</v>
      </c>
    </row>
    <row r="193" spans="1:6" x14ac:dyDescent="0.25">
      <c r="A193" s="5" t="s">
        <v>1</v>
      </c>
      <c r="B193" s="5">
        <v>30</v>
      </c>
      <c r="C193" s="5">
        <v>0.7</v>
      </c>
      <c r="D193" s="5">
        <v>675.36989000000005</v>
      </c>
      <c r="E193" s="5">
        <v>1.14429</v>
      </c>
      <c r="F193" s="5">
        <v>65</v>
      </c>
    </row>
    <row r="194" spans="1:6" x14ac:dyDescent="0.25">
      <c r="A194" s="5" t="s">
        <v>1</v>
      </c>
      <c r="B194" s="5">
        <v>30</v>
      </c>
      <c r="C194" s="5">
        <v>0.7</v>
      </c>
      <c r="D194" s="5">
        <v>675.36989000000005</v>
      </c>
      <c r="E194" s="5">
        <v>1.13822</v>
      </c>
      <c r="F194" s="5">
        <v>61</v>
      </c>
    </row>
    <row r="195" spans="1:6" x14ac:dyDescent="0.25">
      <c r="A195" s="5" t="s">
        <v>1</v>
      </c>
      <c r="B195" s="5">
        <v>30</v>
      </c>
      <c r="C195" s="5">
        <v>0.7</v>
      </c>
      <c r="D195" s="5">
        <v>675.36989000000005</v>
      </c>
      <c r="E195" s="5">
        <v>1.14331</v>
      </c>
      <c r="F195" s="5">
        <v>65</v>
      </c>
    </row>
    <row r="196" spans="1:6" x14ac:dyDescent="0.25">
      <c r="A196" s="5" t="s">
        <v>1</v>
      </c>
      <c r="B196" s="5">
        <v>30</v>
      </c>
      <c r="C196" s="5">
        <v>0.7</v>
      </c>
      <c r="D196" s="5">
        <v>675.38247999999999</v>
      </c>
      <c r="E196" s="5">
        <v>1.14211</v>
      </c>
      <c r="F196" s="5">
        <v>60</v>
      </c>
    </row>
    <row r="197" spans="1:6" x14ac:dyDescent="0.25">
      <c r="A197" s="5" t="s">
        <v>1</v>
      </c>
      <c r="B197" s="5">
        <v>30</v>
      </c>
      <c r="C197" s="5">
        <v>0.7</v>
      </c>
      <c r="D197" s="5">
        <v>675.38611000000003</v>
      </c>
      <c r="E197" s="5">
        <v>1.1468400000000001</v>
      </c>
      <c r="F197" s="5">
        <v>64</v>
      </c>
    </row>
    <row r="198" spans="1:6" x14ac:dyDescent="0.25">
      <c r="A198" s="5" t="s">
        <v>1</v>
      </c>
      <c r="B198" s="5">
        <v>30</v>
      </c>
      <c r="C198" s="5">
        <v>0.7</v>
      </c>
      <c r="D198" s="5">
        <v>675.36989000000005</v>
      </c>
      <c r="E198" s="5">
        <v>1.13927</v>
      </c>
      <c r="F198" s="5">
        <v>64</v>
      </c>
    </row>
    <row r="199" spans="1:6" x14ac:dyDescent="0.25">
      <c r="A199" s="5" t="s">
        <v>1</v>
      </c>
      <c r="B199" s="5">
        <v>30</v>
      </c>
      <c r="C199" s="5">
        <v>0.7</v>
      </c>
      <c r="D199" s="5">
        <v>675.36989000000005</v>
      </c>
      <c r="E199" s="5">
        <v>1.1438299999999999</v>
      </c>
      <c r="F199" s="5">
        <v>64</v>
      </c>
    </row>
    <row r="200" spans="1:6" x14ac:dyDescent="0.25">
      <c r="A200" s="5" t="s">
        <v>1</v>
      </c>
      <c r="B200" s="5">
        <v>30</v>
      </c>
      <c r="C200" s="5">
        <v>0.7</v>
      </c>
      <c r="D200" s="5">
        <v>675.36989000000005</v>
      </c>
      <c r="E200" s="5">
        <v>1.14286</v>
      </c>
      <c r="F200" s="5">
        <v>62</v>
      </c>
    </row>
    <row r="201" spans="1:6" x14ac:dyDescent="0.25">
      <c r="A201" s="5" t="s">
        <v>1</v>
      </c>
      <c r="B201" s="5">
        <v>30</v>
      </c>
      <c r="C201" s="5">
        <v>1</v>
      </c>
      <c r="D201" s="5">
        <v>655.43295999999998</v>
      </c>
      <c r="E201" s="5">
        <v>2.0745499999999999</v>
      </c>
      <c r="F201" s="5">
        <v>107</v>
      </c>
    </row>
    <row r="202" spans="1:6" x14ac:dyDescent="0.25">
      <c r="A202" s="5" t="s">
        <v>1</v>
      </c>
      <c r="B202" s="5">
        <v>30</v>
      </c>
      <c r="C202" s="5">
        <v>1</v>
      </c>
      <c r="D202" s="5">
        <v>655.46475999999996</v>
      </c>
      <c r="E202" s="5">
        <v>2.0760299999999998</v>
      </c>
      <c r="F202" s="5">
        <v>112</v>
      </c>
    </row>
    <row r="203" spans="1:6" x14ac:dyDescent="0.25">
      <c r="A203" s="5" t="s">
        <v>1</v>
      </c>
      <c r="B203" s="5">
        <v>30</v>
      </c>
      <c r="C203" s="5">
        <v>1</v>
      </c>
      <c r="D203" s="5">
        <v>657.32380999999998</v>
      </c>
      <c r="E203" s="5">
        <v>2.0753599999999999</v>
      </c>
      <c r="F203" s="5">
        <v>108</v>
      </c>
    </row>
    <row r="204" spans="1:6" x14ac:dyDescent="0.25">
      <c r="A204" s="5" t="s">
        <v>1</v>
      </c>
      <c r="B204" s="5">
        <v>30</v>
      </c>
      <c r="C204" s="5">
        <v>1</v>
      </c>
      <c r="D204" s="5">
        <v>656.34204</v>
      </c>
      <c r="E204" s="5">
        <v>2.07125</v>
      </c>
      <c r="F204" s="5">
        <v>111</v>
      </c>
    </row>
    <row r="205" spans="1:6" x14ac:dyDescent="0.25">
      <c r="A205" s="5" t="s">
        <v>1</v>
      </c>
      <c r="B205" s="5">
        <v>30</v>
      </c>
      <c r="C205" s="5">
        <v>1</v>
      </c>
      <c r="D205" s="5">
        <v>657.95457999999996</v>
      </c>
      <c r="E205" s="5">
        <v>2.0665399999999998</v>
      </c>
      <c r="F205" s="5">
        <v>109</v>
      </c>
    </row>
    <row r="206" spans="1:6" x14ac:dyDescent="0.25">
      <c r="A206" s="5" t="s">
        <v>1</v>
      </c>
      <c r="B206" s="5">
        <v>30</v>
      </c>
      <c r="C206" s="5">
        <v>1</v>
      </c>
      <c r="D206" s="5">
        <v>655.43295999999998</v>
      </c>
      <c r="E206" s="5">
        <v>2.07152</v>
      </c>
      <c r="F206" s="5">
        <v>112</v>
      </c>
    </row>
    <row r="207" spans="1:6" x14ac:dyDescent="0.25">
      <c r="A207" s="5" t="s">
        <v>1</v>
      </c>
      <c r="B207" s="5">
        <v>30</v>
      </c>
      <c r="C207" s="5">
        <v>1</v>
      </c>
      <c r="D207" s="5">
        <v>658.23289</v>
      </c>
      <c r="E207" s="5">
        <v>2.0711499999999998</v>
      </c>
      <c r="F207" s="5">
        <v>109</v>
      </c>
    </row>
    <row r="208" spans="1:6" x14ac:dyDescent="0.25">
      <c r="A208" s="5" t="s">
        <v>1</v>
      </c>
      <c r="B208" s="5">
        <v>30</v>
      </c>
      <c r="C208" s="5">
        <v>1</v>
      </c>
      <c r="D208" s="5">
        <v>655.43295999999998</v>
      </c>
      <c r="E208" s="5">
        <v>2.0716700000000001</v>
      </c>
      <c r="F208" s="5">
        <v>113</v>
      </c>
    </row>
    <row r="209" spans="1:6" x14ac:dyDescent="0.25">
      <c r="A209" s="5" t="s">
        <v>1</v>
      </c>
      <c r="B209" s="5">
        <v>30</v>
      </c>
      <c r="C209" s="5">
        <v>1</v>
      </c>
      <c r="D209" s="5">
        <v>655.43295999999998</v>
      </c>
      <c r="E209" s="5">
        <v>2.0740699999999999</v>
      </c>
      <c r="F209" s="5">
        <v>109</v>
      </c>
    </row>
    <row r="210" spans="1:6" x14ac:dyDescent="0.25">
      <c r="A210" s="5" t="s">
        <v>1</v>
      </c>
      <c r="B210" s="5">
        <v>30</v>
      </c>
      <c r="C210" s="5">
        <v>1</v>
      </c>
      <c r="D210" s="5">
        <v>657.32992999999999</v>
      </c>
      <c r="E210" s="5">
        <v>2.0793200000000001</v>
      </c>
      <c r="F210" s="5">
        <v>113</v>
      </c>
    </row>
    <row r="211" spans="1:6" x14ac:dyDescent="0.25">
      <c r="A211" s="5" t="s">
        <v>1</v>
      </c>
      <c r="B211" s="5">
        <v>50</v>
      </c>
      <c r="C211" s="5">
        <v>0.4</v>
      </c>
      <c r="D211" s="5">
        <v>1460.0209400000001</v>
      </c>
      <c r="E211" s="5">
        <v>1.6113500000000001</v>
      </c>
      <c r="F211" s="5">
        <v>39</v>
      </c>
    </row>
    <row r="212" spans="1:6" x14ac:dyDescent="0.25">
      <c r="A212" s="5" t="s">
        <v>1</v>
      </c>
      <c r="B212" s="5">
        <v>50</v>
      </c>
      <c r="C212" s="5">
        <v>0.4</v>
      </c>
      <c r="D212" s="5">
        <v>1459.9687899999999</v>
      </c>
      <c r="E212" s="5">
        <v>1.5875699999999999</v>
      </c>
      <c r="F212" s="5">
        <v>40</v>
      </c>
    </row>
    <row r="213" spans="1:6" x14ac:dyDescent="0.25">
      <c r="A213" s="5" t="s">
        <v>1</v>
      </c>
      <c r="B213" s="5">
        <v>50</v>
      </c>
      <c r="C213" s="5">
        <v>0.4</v>
      </c>
      <c r="D213" s="5">
        <v>1460.0209400000001</v>
      </c>
      <c r="E213" s="5">
        <v>1.61633</v>
      </c>
      <c r="F213" s="5">
        <v>41</v>
      </c>
    </row>
    <row r="214" spans="1:6" x14ac:dyDescent="0.25">
      <c r="A214" s="5" t="s">
        <v>1</v>
      </c>
      <c r="B214" s="5">
        <v>50</v>
      </c>
      <c r="C214" s="5">
        <v>0.4</v>
      </c>
      <c r="D214" s="5">
        <v>1460.0209400000001</v>
      </c>
      <c r="E214" s="5">
        <v>1.5974600000000001</v>
      </c>
      <c r="F214" s="5">
        <v>40</v>
      </c>
    </row>
    <row r="215" spans="1:6" x14ac:dyDescent="0.25">
      <c r="A215" s="5" t="s">
        <v>1</v>
      </c>
      <c r="B215" s="5">
        <v>50</v>
      </c>
      <c r="C215" s="5">
        <v>0.4</v>
      </c>
      <c r="D215" s="5">
        <v>1459.9687899999999</v>
      </c>
      <c r="E215" s="5">
        <v>1.6369199999999999</v>
      </c>
      <c r="F215" s="5">
        <v>41</v>
      </c>
    </row>
    <row r="216" spans="1:6" x14ac:dyDescent="0.25">
      <c r="A216" s="5" t="s">
        <v>1</v>
      </c>
      <c r="B216" s="5">
        <v>50</v>
      </c>
      <c r="C216" s="5">
        <v>0.4</v>
      </c>
      <c r="D216" s="5">
        <v>1459.9687899999999</v>
      </c>
      <c r="E216" s="5">
        <v>1.6114299999999999</v>
      </c>
      <c r="F216" s="5">
        <v>39</v>
      </c>
    </row>
    <row r="217" spans="1:6" x14ac:dyDescent="0.25">
      <c r="A217" s="5" t="s">
        <v>1</v>
      </c>
      <c r="B217" s="5">
        <v>50</v>
      </c>
      <c r="C217" s="5">
        <v>0.4</v>
      </c>
      <c r="D217" s="5">
        <v>1459.9687899999999</v>
      </c>
      <c r="E217" s="5">
        <v>1.5939000000000001</v>
      </c>
      <c r="F217" s="5">
        <v>40</v>
      </c>
    </row>
    <row r="218" spans="1:6" x14ac:dyDescent="0.25">
      <c r="A218" s="5" t="s">
        <v>1</v>
      </c>
      <c r="B218" s="5">
        <v>50</v>
      </c>
      <c r="C218" s="5">
        <v>0.4</v>
      </c>
      <c r="D218" s="5">
        <v>1460.0209400000001</v>
      </c>
      <c r="E218" s="5">
        <v>1.6075600000000001</v>
      </c>
      <c r="F218" s="5">
        <v>39</v>
      </c>
    </row>
    <row r="219" spans="1:6" x14ac:dyDescent="0.25">
      <c r="A219" s="5" t="s">
        <v>1</v>
      </c>
      <c r="B219" s="5">
        <v>50</v>
      </c>
      <c r="C219" s="5">
        <v>0.4</v>
      </c>
      <c r="D219" s="5">
        <v>1460.86079</v>
      </c>
      <c r="E219" s="5">
        <v>1.60897</v>
      </c>
      <c r="F219" s="5">
        <v>41</v>
      </c>
    </row>
    <row r="220" spans="1:6" x14ac:dyDescent="0.25">
      <c r="A220" s="5" t="s">
        <v>1</v>
      </c>
      <c r="B220" s="5">
        <v>50</v>
      </c>
      <c r="C220" s="5">
        <v>0.4</v>
      </c>
      <c r="D220" s="5">
        <v>1460.81727</v>
      </c>
      <c r="E220" s="5">
        <v>1.5876999999999999</v>
      </c>
      <c r="F220" s="5">
        <v>40</v>
      </c>
    </row>
    <row r="221" spans="1:6" x14ac:dyDescent="0.25">
      <c r="A221" s="5" t="s">
        <v>1</v>
      </c>
      <c r="B221" s="5">
        <v>50</v>
      </c>
      <c r="C221" s="5">
        <v>0.7</v>
      </c>
      <c r="D221" s="5">
        <v>1022.8530500000001</v>
      </c>
      <c r="E221" s="5">
        <v>4.5719000000000003</v>
      </c>
      <c r="F221" s="5">
        <v>108</v>
      </c>
    </row>
    <row r="222" spans="1:6" x14ac:dyDescent="0.25">
      <c r="A222" s="5" t="s">
        <v>1</v>
      </c>
      <c r="B222" s="5">
        <v>50</v>
      </c>
      <c r="C222" s="5">
        <v>0.7</v>
      </c>
      <c r="D222" s="5">
        <v>1012.64572</v>
      </c>
      <c r="E222" s="5">
        <v>4.5577100000000002</v>
      </c>
      <c r="F222" s="5">
        <v>108</v>
      </c>
    </row>
    <row r="223" spans="1:6" x14ac:dyDescent="0.25">
      <c r="A223" s="5" t="s">
        <v>1</v>
      </c>
      <c r="B223" s="5">
        <v>50</v>
      </c>
      <c r="C223" s="5">
        <v>0.7</v>
      </c>
      <c r="D223" s="5">
        <v>1013.33536</v>
      </c>
      <c r="E223" s="5">
        <v>4.5549999999999997</v>
      </c>
      <c r="F223" s="5">
        <v>108</v>
      </c>
    </row>
    <row r="224" spans="1:6" x14ac:dyDescent="0.25">
      <c r="A224" s="5" t="s">
        <v>1</v>
      </c>
      <c r="B224" s="5">
        <v>50</v>
      </c>
      <c r="C224" s="5">
        <v>0.7</v>
      </c>
      <c r="D224" s="5">
        <v>1011.4907899999999</v>
      </c>
      <c r="E224" s="5">
        <v>4.5511999999999997</v>
      </c>
      <c r="F224" s="5">
        <v>109</v>
      </c>
    </row>
    <row r="225" spans="1:6" x14ac:dyDescent="0.25">
      <c r="A225" s="5" t="s">
        <v>1</v>
      </c>
      <c r="B225" s="5">
        <v>50</v>
      </c>
      <c r="C225" s="5">
        <v>0.7</v>
      </c>
      <c r="D225" s="5">
        <v>1015.5452</v>
      </c>
      <c r="E225" s="5">
        <v>4.5546699999999998</v>
      </c>
      <c r="F225" s="5">
        <v>108</v>
      </c>
    </row>
    <row r="226" spans="1:6" x14ac:dyDescent="0.25">
      <c r="A226" s="5" t="s">
        <v>1</v>
      </c>
      <c r="B226" s="5">
        <v>50</v>
      </c>
      <c r="C226" s="5">
        <v>0.7</v>
      </c>
      <c r="D226" s="5">
        <v>1016.1505</v>
      </c>
      <c r="E226" s="5">
        <v>4.5720799999999997</v>
      </c>
      <c r="F226" s="5">
        <v>109</v>
      </c>
    </row>
    <row r="227" spans="1:6" x14ac:dyDescent="0.25">
      <c r="A227" s="5" t="s">
        <v>1</v>
      </c>
      <c r="B227" s="5">
        <v>50</v>
      </c>
      <c r="C227" s="5">
        <v>0.7</v>
      </c>
      <c r="D227" s="5">
        <v>1019.41179</v>
      </c>
      <c r="E227" s="5">
        <v>4.5465999999999998</v>
      </c>
      <c r="F227" s="5">
        <v>109</v>
      </c>
    </row>
    <row r="228" spans="1:6" x14ac:dyDescent="0.25">
      <c r="A228" s="5" t="s">
        <v>1</v>
      </c>
      <c r="B228" s="5">
        <v>50</v>
      </c>
      <c r="C228" s="5">
        <v>0.7</v>
      </c>
      <c r="D228" s="5">
        <v>1006.7870799999999</v>
      </c>
      <c r="E228" s="5">
        <v>4.5515699999999999</v>
      </c>
      <c r="F228" s="5">
        <v>109</v>
      </c>
    </row>
    <row r="229" spans="1:6" x14ac:dyDescent="0.25">
      <c r="A229" s="5" t="s">
        <v>1</v>
      </c>
      <c r="B229" s="5">
        <v>50</v>
      </c>
      <c r="C229" s="5">
        <v>0.7</v>
      </c>
      <c r="D229" s="5">
        <v>1015.71387</v>
      </c>
      <c r="E229" s="5">
        <v>4.54976</v>
      </c>
      <c r="F229" s="5">
        <v>109</v>
      </c>
    </row>
    <row r="230" spans="1:6" x14ac:dyDescent="0.25">
      <c r="A230" s="5" t="s">
        <v>1</v>
      </c>
      <c r="B230" s="5">
        <v>50</v>
      </c>
      <c r="C230" s="5">
        <v>0.7</v>
      </c>
      <c r="D230" s="5">
        <v>1011.19222</v>
      </c>
      <c r="E230" s="5">
        <v>4.5620500000000002</v>
      </c>
      <c r="F230" s="5">
        <v>109</v>
      </c>
    </row>
    <row r="231" spans="1:6" x14ac:dyDescent="0.25">
      <c r="A231" s="5" t="s">
        <v>1</v>
      </c>
      <c r="B231" s="5">
        <v>50</v>
      </c>
      <c r="C231" s="5">
        <v>1</v>
      </c>
      <c r="D231" s="5">
        <v>991.72820000000002</v>
      </c>
      <c r="E231" s="5">
        <v>8.4005200000000002</v>
      </c>
      <c r="F231" s="5">
        <v>188</v>
      </c>
    </row>
    <row r="232" spans="1:6" x14ac:dyDescent="0.25">
      <c r="A232" s="5" t="s">
        <v>1</v>
      </c>
      <c r="B232" s="5">
        <v>50</v>
      </c>
      <c r="C232" s="5">
        <v>1</v>
      </c>
      <c r="D232" s="5">
        <v>995.01697999999999</v>
      </c>
      <c r="E232" s="5">
        <v>8.3992000000000004</v>
      </c>
      <c r="F232" s="5">
        <v>189</v>
      </c>
    </row>
    <row r="233" spans="1:6" x14ac:dyDescent="0.25">
      <c r="A233" s="5" t="s">
        <v>1</v>
      </c>
      <c r="B233" s="5">
        <v>50</v>
      </c>
      <c r="C233" s="5">
        <v>1</v>
      </c>
      <c r="D233" s="5">
        <v>994.92645000000005</v>
      </c>
      <c r="E233" s="5">
        <v>8.39</v>
      </c>
      <c r="F233" s="5">
        <v>191</v>
      </c>
    </row>
    <row r="234" spans="1:6" x14ac:dyDescent="0.25">
      <c r="A234" s="5" t="s">
        <v>1</v>
      </c>
      <c r="B234" s="5">
        <v>50</v>
      </c>
      <c r="C234" s="5">
        <v>1</v>
      </c>
      <c r="D234" s="5">
        <v>993.72628999999995</v>
      </c>
      <c r="E234" s="5">
        <v>8.4034399999999998</v>
      </c>
      <c r="F234" s="5">
        <v>189</v>
      </c>
    </row>
    <row r="235" spans="1:6" x14ac:dyDescent="0.25">
      <c r="A235" s="5" t="s">
        <v>1</v>
      </c>
      <c r="B235" s="5">
        <v>50</v>
      </c>
      <c r="C235" s="5">
        <v>1</v>
      </c>
      <c r="D235" s="5">
        <v>994.59544000000005</v>
      </c>
      <c r="E235" s="5">
        <v>8.3918800000000005</v>
      </c>
      <c r="F235" s="5">
        <v>188</v>
      </c>
    </row>
    <row r="236" spans="1:6" x14ac:dyDescent="0.25">
      <c r="A236" s="5" t="s">
        <v>1</v>
      </c>
      <c r="B236" s="5">
        <v>50</v>
      </c>
      <c r="C236" s="5">
        <v>1</v>
      </c>
      <c r="D236" s="5">
        <v>996.93123000000003</v>
      </c>
      <c r="E236" s="5">
        <v>8.4029600000000002</v>
      </c>
      <c r="F236" s="5">
        <v>192</v>
      </c>
    </row>
    <row r="237" spans="1:6" x14ac:dyDescent="0.25">
      <c r="A237" s="5" t="s">
        <v>1</v>
      </c>
      <c r="B237" s="5">
        <v>50</v>
      </c>
      <c r="C237" s="5">
        <v>1</v>
      </c>
      <c r="D237" s="5">
        <v>999.75923</v>
      </c>
      <c r="E237" s="5">
        <v>8.3939599999999999</v>
      </c>
      <c r="F237" s="5">
        <v>188</v>
      </c>
    </row>
    <row r="238" spans="1:6" x14ac:dyDescent="0.25">
      <c r="A238" s="5" t="s">
        <v>1</v>
      </c>
      <c r="B238" s="5">
        <v>50</v>
      </c>
      <c r="C238" s="5">
        <v>1</v>
      </c>
      <c r="D238" s="5">
        <v>995.45631000000003</v>
      </c>
      <c r="E238" s="5">
        <v>8.3969100000000001</v>
      </c>
      <c r="F238" s="5">
        <v>188</v>
      </c>
    </row>
    <row r="239" spans="1:6" x14ac:dyDescent="0.25">
      <c r="A239" s="5" t="s">
        <v>1</v>
      </c>
      <c r="B239" s="5">
        <v>50</v>
      </c>
      <c r="C239" s="5">
        <v>1</v>
      </c>
      <c r="D239" s="5">
        <v>994.55452000000002</v>
      </c>
      <c r="E239" s="5">
        <v>8.3875899999999994</v>
      </c>
      <c r="F239" s="5">
        <v>190</v>
      </c>
    </row>
    <row r="240" spans="1:6" x14ac:dyDescent="0.25">
      <c r="A240" s="5" t="s">
        <v>1</v>
      </c>
      <c r="B240" s="5">
        <v>50</v>
      </c>
      <c r="C240" s="5">
        <v>1</v>
      </c>
      <c r="D240" s="5">
        <v>994.23191999999995</v>
      </c>
      <c r="E240" s="5">
        <v>8.3967799999999997</v>
      </c>
      <c r="F240" s="5">
        <v>190</v>
      </c>
    </row>
    <row r="241" spans="1:6" x14ac:dyDescent="0.25">
      <c r="A241" s="5" t="s">
        <v>1</v>
      </c>
      <c r="B241" s="5">
        <v>100</v>
      </c>
      <c r="C241" s="5">
        <v>0.4</v>
      </c>
      <c r="D241" s="5">
        <v>1848.8167699999999</v>
      </c>
      <c r="E241" s="5">
        <v>5.09856</v>
      </c>
      <c r="F241" s="5">
        <v>38</v>
      </c>
    </row>
    <row r="242" spans="1:6" x14ac:dyDescent="0.25">
      <c r="A242" s="5" t="s">
        <v>1</v>
      </c>
      <c r="B242" s="5">
        <v>100</v>
      </c>
      <c r="C242" s="5">
        <v>0.4</v>
      </c>
      <c r="D242" s="5">
        <v>1860.6637700000001</v>
      </c>
      <c r="E242" s="5">
        <v>5.0918099999999997</v>
      </c>
      <c r="F242" s="5">
        <v>38</v>
      </c>
    </row>
    <row r="243" spans="1:6" x14ac:dyDescent="0.25">
      <c r="A243" s="5" t="s">
        <v>1</v>
      </c>
      <c r="B243" s="5">
        <v>100</v>
      </c>
      <c r="C243" s="5">
        <v>0.4</v>
      </c>
      <c r="D243" s="5">
        <v>1839.31864</v>
      </c>
      <c r="E243" s="5">
        <v>5.0780900000000004</v>
      </c>
      <c r="F243" s="5">
        <v>38</v>
      </c>
    </row>
    <row r="244" spans="1:6" x14ac:dyDescent="0.25">
      <c r="A244" s="5" t="s">
        <v>1</v>
      </c>
      <c r="B244" s="5">
        <v>100</v>
      </c>
      <c r="C244" s="5">
        <v>0.4</v>
      </c>
      <c r="D244" s="5">
        <v>1816.10852</v>
      </c>
      <c r="E244" s="5">
        <v>5.0996300000000003</v>
      </c>
      <c r="F244" s="5">
        <v>38</v>
      </c>
    </row>
    <row r="245" spans="1:6" x14ac:dyDescent="0.25">
      <c r="A245" s="5" t="s">
        <v>1</v>
      </c>
      <c r="B245" s="5">
        <v>100</v>
      </c>
      <c r="C245" s="5">
        <v>0.4</v>
      </c>
      <c r="D245" s="5">
        <v>1824.53727</v>
      </c>
      <c r="E245" s="5">
        <v>5.0608500000000003</v>
      </c>
      <c r="F245" s="5">
        <v>38</v>
      </c>
    </row>
    <row r="246" spans="1:6" x14ac:dyDescent="0.25">
      <c r="A246" s="5" t="s">
        <v>1</v>
      </c>
      <c r="B246" s="5">
        <v>100</v>
      </c>
      <c r="C246" s="5">
        <v>0.4</v>
      </c>
      <c r="D246" s="5">
        <v>1836.99838</v>
      </c>
      <c r="E246" s="5">
        <v>5.0597500000000002</v>
      </c>
      <c r="F246" s="5">
        <v>38</v>
      </c>
    </row>
    <row r="247" spans="1:6" x14ac:dyDescent="0.25">
      <c r="A247" s="5" t="s">
        <v>1</v>
      </c>
      <c r="B247" s="5">
        <v>100</v>
      </c>
      <c r="C247" s="5">
        <v>0.4</v>
      </c>
      <c r="D247" s="5">
        <v>1841.03432</v>
      </c>
      <c r="E247" s="5">
        <v>5.1180300000000001</v>
      </c>
      <c r="F247" s="5">
        <v>38</v>
      </c>
    </row>
    <row r="248" spans="1:6" x14ac:dyDescent="0.25">
      <c r="A248" s="5" t="s">
        <v>1</v>
      </c>
      <c r="B248" s="5">
        <v>100</v>
      </c>
      <c r="C248" s="5">
        <v>0.4</v>
      </c>
      <c r="D248" s="5">
        <v>1863.72659</v>
      </c>
      <c r="E248" s="5">
        <v>5.0668899999999999</v>
      </c>
      <c r="F248" s="5">
        <v>38</v>
      </c>
    </row>
    <row r="249" spans="1:6" x14ac:dyDescent="0.25">
      <c r="A249" s="5" t="s">
        <v>1</v>
      </c>
      <c r="B249" s="5">
        <v>100</v>
      </c>
      <c r="C249" s="5">
        <v>0.4</v>
      </c>
      <c r="D249" s="5">
        <v>1843.5369700000001</v>
      </c>
      <c r="E249" s="5">
        <v>5.0622400000000001</v>
      </c>
      <c r="F249" s="5">
        <v>38</v>
      </c>
    </row>
    <row r="250" spans="1:6" x14ac:dyDescent="0.25">
      <c r="A250" s="5" t="s">
        <v>1</v>
      </c>
      <c r="B250" s="5">
        <v>100</v>
      </c>
      <c r="C250" s="5">
        <v>0.4</v>
      </c>
      <c r="D250" s="5">
        <v>1838.6291000000001</v>
      </c>
      <c r="E250" s="5">
        <v>5.05152</v>
      </c>
      <c r="F250" s="5">
        <v>38</v>
      </c>
    </row>
    <row r="251" spans="1:6" x14ac:dyDescent="0.25">
      <c r="A251" s="5" t="s">
        <v>1</v>
      </c>
      <c r="B251" s="5">
        <v>100</v>
      </c>
      <c r="C251" s="5">
        <v>0.7</v>
      </c>
      <c r="D251" s="5">
        <v>1787.8563899999999</v>
      </c>
      <c r="E251" s="5">
        <v>9.4622799999999998</v>
      </c>
      <c r="F251" s="5">
        <v>67</v>
      </c>
    </row>
    <row r="252" spans="1:6" x14ac:dyDescent="0.25">
      <c r="A252" s="5" t="s">
        <v>1</v>
      </c>
      <c r="B252" s="5">
        <v>100</v>
      </c>
      <c r="C252" s="5">
        <v>0.7</v>
      </c>
      <c r="D252" s="5">
        <v>1787.99397</v>
      </c>
      <c r="E252" s="5">
        <v>9.4242000000000008</v>
      </c>
      <c r="F252" s="5">
        <v>67</v>
      </c>
    </row>
    <row r="253" spans="1:6" x14ac:dyDescent="0.25">
      <c r="A253" s="5" t="s">
        <v>1</v>
      </c>
      <c r="B253" s="5">
        <v>100</v>
      </c>
      <c r="C253" s="5">
        <v>0.7</v>
      </c>
      <c r="D253" s="5">
        <v>1788.3952400000001</v>
      </c>
      <c r="E253" s="5">
        <v>9.3727699999999992</v>
      </c>
      <c r="F253" s="5">
        <v>67</v>
      </c>
    </row>
    <row r="254" spans="1:6" x14ac:dyDescent="0.25">
      <c r="A254" s="5" t="s">
        <v>1</v>
      </c>
      <c r="B254" s="5">
        <v>100</v>
      </c>
      <c r="C254" s="5">
        <v>0.7</v>
      </c>
      <c r="D254" s="5">
        <v>1793.7451900000001</v>
      </c>
      <c r="E254" s="5">
        <v>9.4122299999999992</v>
      </c>
      <c r="F254" s="5">
        <v>67</v>
      </c>
    </row>
    <row r="255" spans="1:6" x14ac:dyDescent="0.25">
      <c r="A255" s="5" t="s">
        <v>1</v>
      </c>
      <c r="B255" s="5">
        <v>100</v>
      </c>
      <c r="C255" s="5">
        <v>0.7</v>
      </c>
      <c r="D255" s="5">
        <v>1776.9782600000001</v>
      </c>
      <c r="E255" s="5">
        <v>9.39846</v>
      </c>
      <c r="F255" s="5">
        <v>67</v>
      </c>
    </row>
    <row r="256" spans="1:6" x14ac:dyDescent="0.25">
      <c r="A256" s="5" t="s">
        <v>1</v>
      </c>
      <c r="B256" s="5">
        <v>100</v>
      </c>
      <c r="C256" s="5">
        <v>0.7</v>
      </c>
      <c r="D256" s="5">
        <v>1776.1147000000001</v>
      </c>
      <c r="E256" s="5">
        <v>9.4303500000000007</v>
      </c>
      <c r="F256" s="5">
        <v>67</v>
      </c>
    </row>
    <row r="257" spans="1:6" x14ac:dyDescent="0.25">
      <c r="A257" s="5" t="s">
        <v>1</v>
      </c>
      <c r="B257" s="5">
        <v>100</v>
      </c>
      <c r="C257" s="5">
        <v>0.7</v>
      </c>
      <c r="D257" s="5">
        <v>1775.3332600000001</v>
      </c>
      <c r="E257" s="5">
        <v>9.4292999999999996</v>
      </c>
      <c r="F257" s="5">
        <v>67</v>
      </c>
    </row>
    <row r="258" spans="1:6" x14ac:dyDescent="0.25">
      <c r="A258" s="5" t="s">
        <v>1</v>
      </c>
      <c r="B258" s="5">
        <v>100</v>
      </c>
      <c r="C258" s="5">
        <v>0.7</v>
      </c>
      <c r="D258" s="5">
        <v>1776.9044799999999</v>
      </c>
      <c r="E258" s="5">
        <v>9.4700799999999994</v>
      </c>
      <c r="F258" s="5">
        <v>67</v>
      </c>
    </row>
    <row r="259" spans="1:6" x14ac:dyDescent="0.25">
      <c r="A259" s="5" t="s">
        <v>1</v>
      </c>
      <c r="B259" s="5">
        <v>100</v>
      </c>
      <c r="C259" s="5">
        <v>0.7</v>
      </c>
      <c r="D259" s="5">
        <v>1774.5234499999999</v>
      </c>
      <c r="E259" s="5">
        <v>9.4840900000000001</v>
      </c>
      <c r="F259" s="5">
        <v>68</v>
      </c>
    </row>
    <row r="260" spans="1:6" x14ac:dyDescent="0.25">
      <c r="A260" s="5" t="s">
        <v>1</v>
      </c>
      <c r="B260" s="5">
        <v>100</v>
      </c>
      <c r="C260" s="5">
        <v>0.7</v>
      </c>
      <c r="D260" s="5">
        <v>1775.8339800000001</v>
      </c>
      <c r="E260" s="5">
        <v>9.4514300000000002</v>
      </c>
      <c r="F260" s="5">
        <v>68</v>
      </c>
    </row>
    <row r="261" spans="1:6" x14ac:dyDescent="0.25">
      <c r="A261" s="5" t="s">
        <v>1</v>
      </c>
      <c r="B261" s="5">
        <v>100</v>
      </c>
      <c r="C261" s="5">
        <v>1</v>
      </c>
      <c r="D261" s="5">
        <v>1759.58</v>
      </c>
      <c r="E261" s="5">
        <v>15.3934</v>
      </c>
      <c r="F261" s="5">
        <v>106</v>
      </c>
    </row>
    <row r="262" spans="1:6" x14ac:dyDescent="0.25">
      <c r="A262" s="5" t="s">
        <v>1</v>
      </c>
      <c r="B262" s="5">
        <v>100</v>
      </c>
      <c r="C262" s="5">
        <v>1</v>
      </c>
      <c r="D262" s="5">
        <v>1758.44191</v>
      </c>
      <c r="E262" s="5">
        <v>15.388350000000001</v>
      </c>
      <c r="F262" s="5">
        <v>107</v>
      </c>
    </row>
    <row r="263" spans="1:6" x14ac:dyDescent="0.25">
      <c r="A263" s="5" t="s">
        <v>1</v>
      </c>
      <c r="B263" s="5">
        <v>100</v>
      </c>
      <c r="C263" s="5">
        <v>1</v>
      </c>
      <c r="D263" s="5">
        <v>1754.8666700000001</v>
      </c>
      <c r="E263" s="5">
        <v>15.335290000000001</v>
      </c>
      <c r="F263" s="5">
        <v>107</v>
      </c>
    </row>
    <row r="264" spans="1:6" x14ac:dyDescent="0.25">
      <c r="A264" s="5" t="s">
        <v>1</v>
      </c>
      <c r="B264" s="5">
        <v>100</v>
      </c>
      <c r="C264" s="5">
        <v>1</v>
      </c>
      <c r="D264" s="5">
        <v>1756.9433300000001</v>
      </c>
      <c r="E264" s="5">
        <v>15.434570000000001</v>
      </c>
      <c r="F264" s="5">
        <v>107</v>
      </c>
    </row>
    <row r="265" spans="1:6" x14ac:dyDescent="0.25">
      <c r="A265" s="5" t="s">
        <v>1</v>
      </c>
      <c r="B265" s="5">
        <v>100</v>
      </c>
      <c r="C265" s="5">
        <v>1</v>
      </c>
      <c r="D265" s="5">
        <v>1757.03333</v>
      </c>
      <c r="E265" s="5">
        <v>15.371420000000001</v>
      </c>
      <c r="F265" s="5">
        <v>107</v>
      </c>
    </row>
    <row r="266" spans="1:6" x14ac:dyDescent="0.25">
      <c r="A266" s="5" t="s">
        <v>1</v>
      </c>
      <c r="B266" s="5">
        <v>100</v>
      </c>
      <c r="C266" s="5">
        <v>1</v>
      </c>
      <c r="D266" s="5">
        <v>1758.02667</v>
      </c>
      <c r="E266" s="5">
        <v>15.366910000000001</v>
      </c>
      <c r="F266" s="5">
        <v>107</v>
      </c>
    </row>
    <row r="267" spans="1:6" x14ac:dyDescent="0.25">
      <c r="A267" s="5" t="s">
        <v>1</v>
      </c>
      <c r="B267" s="5">
        <v>100</v>
      </c>
      <c r="C267" s="5">
        <v>1</v>
      </c>
      <c r="D267" s="5">
        <v>1753.7587100000001</v>
      </c>
      <c r="E267" s="5">
        <v>15.44242</v>
      </c>
      <c r="F267" s="5">
        <v>109</v>
      </c>
    </row>
    <row r="268" spans="1:6" x14ac:dyDescent="0.25">
      <c r="A268" s="5" t="s">
        <v>1</v>
      </c>
      <c r="B268" s="5">
        <v>100</v>
      </c>
      <c r="C268" s="5">
        <v>1</v>
      </c>
      <c r="D268" s="5">
        <v>1754.54</v>
      </c>
      <c r="E268" s="5">
        <v>15.44932</v>
      </c>
      <c r="F268" s="5">
        <v>109</v>
      </c>
    </row>
    <row r="269" spans="1:6" x14ac:dyDescent="0.25">
      <c r="A269" s="5" t="s">
        <v>1</v>
      </c>
      <c r="B269" s="5">
        <v>100</v>
      </c>
      <c r="C269" s="5">
        <v>1</v>
      </c>
      <c r="D269" s="5">
        <v>1757.25</v>
      </c>
      <c r="E269" s="5">
        <v>15.381220000000001</v>
      </c>
      <c r="F269" s="5">
        <v>107</v>
      </c>
    </row>
    <row r="270" spans="1:6" x14ac:dyDescent="0.25">
      <c r="A270" s="5" t="s">
        <v>1</v>
      </c>
      <c r="B270" s="5">
        <v>100</v>
      </c>
      <c r="C270" s="5">
        <v>1</v>
      </c>
      <c r="D270" s="5">
        <v>1757.00152</v>
      </c>
      <c r="E270" s="5">
        <v>15.337529999999999</v>
      </c>
      <c r="F270" s="5">
        <v>106</v>
      </c>
    </row>
    <row r="271" spans="1:6" x14ac:dyDescent="0.25">
      <c r="A271" s="5" t="s">
        <v>0</v>
      </c>
      <c r="B271" s="5">
        <v>25</v>
      </c>
      <c r="C271" s="5">
        <v>0.4</v>
      </c>
      <c r="D271" s="5">
        <v>41.318849999999998</v>
      </c>
      <c r="E271" s="5">
        <v>0.58816000000000002</v>
      </c>
      <c r="F271" s="5">
        <v>31</v>
      </c>
    </row>
    <row r="272" spans="1:6" x14ac:dyDescent="0.25">
      <c r="A272" s="5" t="s">
        <v>0</v>
      </c>
      <c r="B272" s="5">
        <v>25</v>
      </c>
      <c r="C272" s="5">
        <v>0.4</v>
      </c>
      <c r="D272" s="5">
        <v>42.424349999999997</v>
      </c>
      <c r="E272" s="5">
        <v>0.59060999999999997</v>
      </c>
      <c r="F272" s="5">
        <v>30</v>
      </c>
    </row>
    <row r="273" spans="1:6" x14ac:dyDescent="0.25">
      <c r="A273" s="5" t="s">
        <v>0</v>
      </c>
      <c r="B273" s="5">
        <v>25</v>
      </c>
      <c r="C273" s="5">
        <v>0.4</v>
      </c>
      <c r="D273" s="5">
        <v>42.424349999999997</v>
      </c>
      <c r="E273" s="5">
        <v>0.58811999999999998</v>
      </c>
      <c r="F273" s="5">
        <v>29</v>
      </c>
    </row>
    <row r="274" spans="1:6" x14ac:dyDescent="0.25">
      <c r="A274" s="5" t="s">
        <v>0</v>
      </c>
      <c r="B274" s="5">
        <v>25</v>
      </c>
      <c r="C274" s="5">
        <v>0.4</v>
      </c>
      <c r="D274" s="5">
        <v>42.424349999999997</v>
      </c>
      <c r="E274" s="5">
        <v>0.59511999999999998</v>
      </c>
      <c r="F274" s="5">
        <v>30</v>
      </c>
    </row>
    <row r="275" spans="1:6" x14ac:dyDescent="0.25">
      <c r="A275" s="5" t="s">
        <v>0</v>
      </c>
      <c r="B275" s="5">
        <v>25</v>
      </c>
      <c r="C275" s="5">
        <v>0.4</v>
      </c>
      <c r="D275" s="5">
        <v>41.318849999999998</v>
      </c>
      <c r="E275" s="5">
        <v>0.59018000000000004</v>
      </c>
      <c r="F275" s="5">
        <v>28</v>
      </c>
    </row>
    <row r="276" spans="1:6" x14ac:dyDescent="0.25">
      <c r="A276" s="5" t="s">
        <v>0</v>
      </c>
      <c r="B276" s="5">
        <v>25</v>
      </c>
      <c r="C276" s="5">
        <v>0.4</v>
      </c>
      <c r="D276" s="5">
        <v>42.424349999999997</v>
      </c>
      <c r="E276" s="5">
        <v>0.58652000000000004</v>
      </c>
      <c r="F276" s="5">
        <v>30</v>
      </c>
    </row>
    <row r="277" spans="1:6" x14ac:dyDescent="0.25">
      <c r="A277" s="5" t="s">
        <v>0</v>
      </c>
      <c r="B277" s="5">
        <v>25</v>
      </c>
      <c r="C277" s="5">
        <v>0.4</v>
      </c>
      <c r="D277" s="5">
        <v>41.318849999999998</v>
      </c>
      <c r="E277" s="5">
        <v>0.59121999999999997</v>
      </c>
      <c r="F277" s="5">
        <v>30</v>
      </c>
    </row>
    <row r="278" spans="1:6" x14ac:dyDescent="0.25">
      <c r="A278" s="5" t="s">
        <v>0</v>
      </c>
      <c r="B278" s="5">
        <v>25</v>
      </c>
      <c r="C278" s="5">
        <v>0.4</v>
      </c>
      <c r="D278" s="5">
        <v>42.424349999999997</v>
      </c>
      <c r="E278" s="5">
        <v>0.59380999999999995</v>
      </c>
      <c r="F278" s="5">
        <v>31</v>
      </c>
    </row>
    <row r="279" spans="1:6" x14ac:dyDescent="0.25">
      <c r="A279" s="5" t="s">
        <v>0</v>
      </c>
      <c r="B279" s="5">
        <v>25</v>
      </c>
      <c r="C279" s="5">
        <v>0.4</v>
      </c>
      <c r="D279" s="5">
        <v>42.424349999999997</v>
      </c>
      <c r="E279" s="5">
        <v>0.59238999999999997</v>
      </c>
      <c r="F279" s="5">
        <v>30</v>
      </c>
    </row>
    <row r="280" spans="1:6" x14ac:dyDescent="0.25">
      <c r="A280" s="5" t="s">
        <v>0</v>
      </c>
      <c r="B280" s="5">
        <v>25</v>
      </c>
      <c r="C280" s="5">
        <v>0.4</v>
      </c>
      <c r="D280" s="5">
        <v>41.319229999999997</v>
      </c>
      <c r="E280" s="5">
        <v>0.58982000000000001</v>
      </c>
      <c r="F280" s="5">
        <v>31</v>
      </c>
    </row>
    <row r="281" spans="1:6" x14ac:dyDescent="0.25">
      <c r="A281" s="5" t="s">
        <v>0</v>
      </c>
      <c r="B281" s="5">
        <v>25</v>
      </c>
      <c r="C281" s="5">
        <v>0.7</v>
      </c>
      <c r="D281" s="5">
        <v>28.65436</v>
      </c>
      <c r="E281" s="5">
        <v>0.87322</v>
      </c>
      <c r="F281" s="5">
        <v>57</v>
      </c>
    </row>
    <row r="282" spans="1:6" x14ac:dyDescent="0.25">
      <c r="A282" s="5" t="s">
        <v>0</v>
      </c>
      <c r="B282" s="5">
        <v>25</v>
      </c>
      <c r="C282" s="5">
        <v>0.7</v>
      </c>
      <c r="D282" s="5">
        <v>28.65436</v>
      </c>
      <c r="E282" s="5">
        <v>0.88246000000000002</v>
      </c>
      <c r="F282" s="5">
        <v>62</v>
      </c>
    </row>
    <row r="283" spans="1:6" x14ac:dyDescent="0.25">
      <c r="A283" s="5" t="s">
        <v>0</v>
      </c>
      <c r="B283" s="5">
        <v>25</v>
      </c>
      <c r="C283" s="5">
        <v>0.7</v>
      </c>
      <c r="D283" s="5">
        <v>28.65436</v>
      </c>
      <c r="E283" s="5">
        <v>0.87397000000000002</v>
      </c>
      <c r="F283" s="5">
        <v>61</v>
      </c>
    </row>
    <row r="284" spans="1:6" x14ac:dyDescent="0.25">
      <c r="A284" s="5" t="s">
        <v>0</v>
      </c>
      <c r="B284" s="5">
        <v>25</v>
      </c>
      <c r="C284" s="5">
        <v>0.7</v>
      </c>
      <c r="D284" s="5">
        <v>28.65436</v>
      </c>
      <c r="E284" s="5">
        <v>0.88207000000000002</v>
      </c>
      <c r="F284" s="5">
        <v>62</v>
      </c>
    </row>
    <row r="285" spans="1:6" x14ac:dyDescent="0.25">
      <c r="A285" s="5" t="s">
        <v>0</v>
      </c>
      <c r="B285" s="5">
        <v>25</v>
      </c>
      <c r="C285" s="5">
        <v>0.7</v>
      </c>
      <c r="D285" s="5">
        <v>28.65436</v>
      </c>
      <c r="E285" s="5">
        <v>0.87590000000000001</v>
      </c>
      <c r="F285" s="5">
        <v>56</v>
      </c>
    </row>
    <row r="286" spans="1:6" x14ac:dyDescent="0.25">
      <c r="A286" s="5" t="s">
        <v>0</v>
      </c>
      <c r="B286" s="5">
        <v>25</v>
      </c>
      <c r="C286" s="5">
        <v>0.7</v>
      </c>
      <c r="D286" s="5">
        <v>28.65436</v>
      </c>
      <c r="E286" s="5">
        <v>0.87329000000000001</v>
      </c>
      <c r="F286" s="5">
        <v>61</v>
      </c>
    </row>
    <row r="287" spans="1:6" x14ac:dyDescent="0.25">
      <c r="A287" s="5" t="s">
        <v>0</v>
      </c>
      <c r="B287" s="5">
        <v>25</v>
      </c>
      <c r="C287" s="5">
        <v>0.7</v>
      </c>
      <c r="D287" s="5">
        <v>28.65436</v>
      </c>
      <c r="E287" s="5">
        <v>0.87319000000000002</v>
      </c>
      <c r="F287" s="5">
        <v>62</v>
      </c>
    </row>
    <row r="288" spans="1:6" x14ac:dyDescent="0.25">
      <c r="A288" s="5" t="s">
        <v>0</v>
      </c>
      <c r="B288" s="5">
        <v>25</v>
      </c>
      <c r="C288" s="5">
        <v>0.7</v>
      </c>
      <c r="D288" s="5">
        <v>28.65436</v>
      </c>
      <c r="E288" s="5">
        <v>0.87394000000000005</v>
      </c>
      <c r="F288" s="5">
        <v>62</v>
      </c>
    </row>
    <row r="289" spans="1:6" x14ac:dyDescent="0.25">
      <c r="A289" s="5" t="s">
        <v>0</v>
      </c>
      <c r="B289" s="5">
        <v>25</v>
      </c>
      <c r="C289" s="5">
        <v>0.7</v>
      </c>
      <c r="D289" s="5">
        <v>28.65436</v>
      </c>
      <c r="E289" s="5">
        <v>0.88112999999999997</v>
      </c>
      <c r="F289" s="5">
        <v>62</v>
      </c>
    </row>
    <row r="290" spans="1:6" x14ac:dyDescent="0.25">
      <c r="A290" s="5" t="s">
        <v>0</v>
      </c>
      <c r="B290" s="5">
        <v>25</v>
      </c>
      <c r="C290" s="5">
        <v>0.7</v>
      </c>
      <c r="D290" s="5">
        <v>28.65436</v>
      </c>
      <c r="E290" s="5">
        <v>0.88138000000000005</v>
      </c>
      <c r="F290" s="5">
        <v>57</v>
      </c>
    </row>
    <row r="291" spans="1:6" x14ac:dyDescent="0.25">
      <c r="A291" s="5" t="s">
        <v>0</v>
      </c>
      <c r="B291" s="5">
        <v>25</v>
      </c>
      <c r="C291" s="5">
        <v>1</v>
      </c>
      <c r="D291" s="5">
        <v>28.602029999999999</v>
      </c>
      <c r="E291" s="5">
        <v>1.14018</v>
      </c>
      <c r="F291" s="5">
        <v>74</v>
      </c>
    </row>
    <row r="292" spans="1:6" x14ac:dyDescent="0.25">
      <c r="A292" s="5" t="s">
        <v>0</v>
      </c>
      <c r="B292" s="5">
        <v>25</v>
      </c>
      <c r="C292" s="5">
        <v>1</v>
      </c>
      <c r="D292" s="5">
        <v>28.627030000000001</v>
      </c>
      <c r="E292" s="5">
        <v>1.1329899999999999</v>
      </c>
      <c r="F292" s="5">
        <v>75</v>
      </c>
    </row>
    <row r="293" spans="1:6" x14ac:dyDescent="0.25">
      <c r="A293" s="5" t="s">
        <v>0</v>
      </c>
      <c r="B293" s="5">
        <v>25</v>
      </c>
      <c r="C293" s="5">
        <v>1</v>
      </c>
      <c r="D293" s="5">
        <v>28.602029999999999</v>
      </c>
      <c r="E293" s="5">
        <v>1.1413599999999999</v>
      </c>
      <c r="F293" s="5">
        <v>76</v>
      </c>
    </row>
    <row r="294" spans="1:6" x14ac:dyDescent="0.25">
      <c r="A294" s="5" t="s">
        <v>0</v>
      </c>
      <c r="B294" s="5">
        <v>25</v>
      </c>
      <c r="C294" s="5">
        <v>1</v>
      </c>
      <c r="D294" s="5">
        <v>28.602029999999999</v>
      </c>
      <c r="E294" s="5">
        <v>1.13785</v>
      </c>
      <c r="F294" s="5">
        <v>71</v>
      </c>
    </row>
    <row r="295" spans="1:6" x14ac:dyDescent="0.25">
      <c r="A295" s="5" t="s">
        <v>0</v>
      </c>
      <c r="B295" s="5">
        <v>25</v>
      </c>
      <c r="C295" s="5">
        <v>1</v>
      </c>
      <c r="D295" s="5">
        <v>28.504100000000001</v>
      </c>
      <c r="E295" s="5">
        <v>1.1347400000000001</v>
      </c>
      <c r="F295" s="5">
        <v>75</v>
      </c>
    </row>
    <row r="296" spans="1:6" x14ac:dyDescent="0.25">
      <c r="A296" s="5" t="s">
        <v>0</v>
      </c>
      <c r="B296" s="5">
        <v>25</v>
      </c>
      <c r="C296" s="5">
        <v>1</v>
      </c>
      <c r="D296" s="5">
        <v>28.595680000000002</v>
      </c>
      <c r="E296" s="5">
        <v>1.1351899999999999</v>
      </c>
      <c r="F296" s="5">
        <v>76</v>
      </c>
    </row>
    <row r="297" spans="1:6" x14ac:dyDescent="0.25">
      <c r="A297" s="5" t="s">
        <v>0</v>
      </c>
      <c r="B297" s="5">
        <v>25</v>
      </c>
      <c r="C297" s="5">
        <v>1</v>
      </c>
      <c r="D297" s="5">
        <v>28.546240000000001</v>
      </c>
      <c r="E297" s="5">
        <v>1.1413599999999999</v>
      </c>
      <c r="F297" s="5">
        <v>77</v>
      </c>
    </row>
    <row r="298" spans="1:6" x14ac:dyDescent="0.25">
      <c r="A298" s="5" t="s">
        <v>0</v>
      </c>
      <c r="B298" s="5">
        <v>25</v>
      </c>
      <c r="C298" s="5">
        <v>1</v>
      </c>
      <c r="D298" s="5">
        <v>28.592030000000001</v>
      </c>
      <c r="E298" s="5">
        <v>1.1317299999999999</v>
      </c>
      <c r="F298" s="5">
        <v>73</v>
      </c>
    </row>
    <row r="299" spans="1:6" x14ac:dyDescent="0.25">
      <c r="A299" s="5" t="s">
        <v>0</v>
      </c>
      <c r="B299" s="5">
        <v>25</v>
      </c>
      <c r="C299" s="5">
        <v>1</v>
      </c>
      <c r="D299" s="5">
        <v>28.587009999999999</v>
      </c>
      <c r="E299" s="5">
        <v>1.13662</v>
      </c>
      <c r="F299" s="5">
        <v>76</v>
      </c>
    </row>
    <row r="300" spans="1:6" x14ac:dyDescent="0.25">
      <c r="A300" s="5" t="s">
        <v>0</v>
      </c>
      <c r="B300" s="5">
        <v>25</v>
      </c>
      <c r="C300" s="5">
        <v>1</v>
      </c>
      <c r="D300" s="5">
        <v>28.592030000000001</v>
      </c>
      <c r="E300" s="5">
        <v>1.1376999999999999</v>
      </c>
      <c r="F300" s="5">
        <v>76</v>
      </c>
    </row>
    <row r="301" spans="1:6" x14ac:dyDescent="0.25">
      <c r="A301" s="5" t="s">
        <v>0</v>
      </c>
      <c r="B301" s="5">
        <v>50</v>
      </c>
      <c r="C301" s="5">
        <v>0.4</v>
      </c>
      <c r="D301" s="5">
        <v>59.080689999999997</v>
      </c>
      <c r="E301" s="5">
        <v>1.93381</v>
      </c>
      <c r="F301" s="5">
        <v>44</v>
      </c>
    </row>
    <row r="302" spans="1:6" x14ac:dyDescent="0.25">
      <c r="A302" s="5" t="s">
        <v>0</v>
      </c>
      <c r="B302" s="5">
        <v>50</v>
      </c>
      <c r="C302" s="5">
        <v>0.4</v>
      </c>
      <c r="D302" s="5">
        <v>59.865760000000002</v>
      </c>
      <c r="E302" s="5">
        <v>1.95566</v>
      </c>
      <c r="F302" s="5">
        <v>47</v>
      </c>
    </row>
    <row r="303" spans="1:6" x14ac:dyDescent="0.25">
      <c r="A303" s="5" t="s">
        <v>0</v>
      </c>
      <c r="B303" s="5">
        <v>50</v>
      </c>
      <c r="C303" s="5">
        <v>0.4</v>
      </c>
      <c r="D303" s="5">
        <v>60.039369999999998</v>
      </c>
      <c r="E303" s="5">
        <v>1.93079</v>
      </c>
      <c r="F303" s="5">
        <v>46</v>
      </c>
    </row>
    <row r="304" spans="1:6" x14ac:dyDescent="0.25">
      <c r="A304" s="5" t="s">
        <v>0</v>
      </c>
      <c r="B304" s="5">
        <v>50</v>
      </c>
      <c r="C304" s="5">
        <v>0.4</v>
      </c>
      <c r="D304" s="5">
        <v>56.911659999999998</v>
      </c>
      <c r="E304" s="5">
        <v>1.9523999999999999</v>
      </c>
      <c r="F304" s="5">
        <v>47</v>
      </c>
    </row>
    <row r="305" spans="1:6" x14ac:dyDescent="0.25">
      <c r="A305" s="5" t="s">
        <v>0</v>
      </c>
      <c r="B305" s="5">
        <v>50</v>
      </c>
      <c r="C305" s="5">
        <v>0.4</v>
      </c>
      <c r="D305" s="5">
        <v>59.914349999999999</v>
      </c>
      <c r="E305" s="5">
        <v>1.9498800000000001</v>
      </c>
      <c r="F305" s="5">
        <v>46</v>
      </c>
    </row>
    <row r="306" spans="1:6" x14ac:dyDescent="0.25">
      <c r="A306" s="5" t="s">
        <v>0</v>
      </c>
      <c r="B306" s="5">
        <v>50</v>
      </c>
      <c r="C306" s="5">
        <v>0.4</v>
      </c>
      <c r="D306" s="5">
        <v>59.768680000000003</v>
      </c>
      <c r="E306" s="5">
        <v>1.9554</v>
      </c>
      <c r="F306" s="5">
        <v>47</v>
      </c>
    </row>
    <row r="307" spans="1:6" x14ac:dyDescent="0.25">
      <c r="A307" s="5" t="s">
        <v>0</v>
      </c>
      <c r="B307" s="5">
        <v>50</v>
      </c>
      <c r="C307" s="5">
        <v>0.4</v>
      </c>
      <c r="D307" s="5">
        <v>59.680669999999999</v>
      </c>
      <c r="E307" s="5">
        <v>1.9441999999999999</v>
      </c>
      <c r="F307" s="5">
        <v>46</v>
      </c>
    </row>
    <row r="308" spans="1:6" x14ac:dyDescent="0.25">
      <c r="A308" s="5" t="s">
        <v>0</v>
      </c>
      <c r="B308" s="5">
        <v>50</v>
      </c>
      <c r="C308" s="5">
        <v>0.4</v>
      </c>
      <c r="D308" s="5">
        <v>59.292850000000001</v>
      </c>
      <c r="E308" s="5">
        <v>1.92516</v>
      </c>
      <c r="F308" s="5">
        <v>46</v>
      </c>
    </row>
    <row r="309" spans="1:6" x14ac:dyDescent="0.25">
      <c r="A309" s="5" t="s">
        <v>0</v>
      </c>
      <c r="B309" s="5">
        <v>50</v>
      </c>
      <c r="C309" s="5">
        <v>0.4</v>
      </c>
      <c r="D309" s="5">
        <v>59.800989999999999</v>
      </c>
      <c r="E309" s="5">
        <v>1.93886</v>
      </c>
      <c r="F309" s="5">
        <v>45</v>
      </c>
    </row>
    <row r="310" spans="1:6" x14ac:dyDescent="0.25">
      <c r="A310" s="5" t="s">
        <v>0</v>
      </c>
      <c r="B310" s="5">
        <v>50</v>
      </c>
      <c r="C310" s="5">
        <v>0.4</v>
      </c>
      <c r="D310" s="5">
        <v>59.092509999999997</v>
      </c>
      <c r="E310" s="5">
        <v>1.9219299999999999</v>
      </c>
      <c r="F310" s="5">
        <v>46</v>
      </c>
    </row>
    <row r="311" spans="1:6" x14ac:dyDescent="0.25">
      <c r="A311" s="5" t="s">
        <v>0</v>
      </c>
      <c r="B311" s="5">
        <v>50</v>
      </c>
      <c r="C311" s="5">
        <v>0.7</v>
      </c>
      <c r="D311" s="5">
        <v>53.603830000000002</v>
      </c>
      <c r="E311" s="5">
        <v>3.78335</v>
      </c>
      <c r="F311" s="5">
        <v>82</v>
      </c>
    </row>
    <row r="312" spans="1:6" x14ac:dyDescent="0.25">
      <c r="A312" s="5" t="s">
        <v>0</v>
      </c>
      <c r="B312" s="5">
        <v>50</v>
      </c>
      <c r="C312" s="5">
        <v>0.7</v>
      </c>
      <c r="D312" s="5">
        <v>53.65925</v>
      </c>
      <c r="E312" s="5">
        <v>3.7815699999999999</v>
      </c>
      <c r="F312" s="5">
        <v>85</v>
      </c>
    </row>
    <row r="313" spans="1:6" x14ac:dyDescent="0.25">
      <c r="A313" s="5" t="s">
        <v>0</v>
      </c>
      <c r="B313" s="5">
        <v>50</v>
      </c>
      <c r="C313" s="5">
        <v>0.7</v>
      </c>
      <c r="D313" s="5">
        <v>53.166080000000001</v>
      </c>
      <c r="E313" s="5">
        <v>3.7801300000000002</v>
      </c>
      <c r="F313" s="5">
        <v>84</v>
      </c>
    </row>
    <row r="314" spans="1:6" x14ac:dyDescent="0.25">
      <c r="A314" s="5" t="s">
        <v>0</v>
      </c>
      <c r="B314" s="5">
        <v>50</v>
      </c>
      <c r="C314" s="5">
        <v>0.7</v>
      </c>
      <c r="D314" s="5">
        <v>53.545520000000003</v>
      </c>
      <c r="E314" s="5">
        <v>3.7694000000000001</v>
      </c>
      <c r="F314" s="5">
        <v>84</v>
      </c>
    </row>
    <row r="315" spans="1:6" x14ac:dyDescent="0.25">
      <c r="A315" s="5" t="s">
        <v>0</v>
      </c>
      <c r="B315" s="5">
        <v>50</v>
      </c>
      <c r="C315" s="5">
        <v>0.7</v>
      </c>
      <c r="D315" s="5">
        <v>53.553719999999998</v>
      </c>
      <c r="E315" s="5">
        <v>3.7718699999999998</v>
      </c>
      <c r="F315" s="5">
        <v>84</v>
      </c>
    </row>
    <row r="316" spans="1:6" x14ac:dyDescent="0.25">
      <c r="A316" s="5" t="s">
        <v>0</v>
      </c>
      <c r="B316" s="5">
        <v>50</v>
      </c>
      <c r="C316" s="5">
        <v>0.7</v>
      </c>
      <c r="D316" s="5">
        <v>53.553739999999998</v>
      </c>
      <c r="E316" s="5">
        <v>3.7771599999999999</v>
      </c>
      <c r="F316" s="5">
        <v>84</v>
      </c>
    </row>
    <row r="317" spans="1:6" x14ac:dyDescent="0.25">
      <c r="A317" s="5" t="s">
        <v>0</v>
      </c>
      <c r="B317" s="5">
        <v>50</v>
      </c>
      <c r="C317" s="5">
        <v>0.7</v>
      </c>
      <c r="D317" s="5">
        <v>53.245069999999998</v>
      </c>
      <c r="E317" s="5">
        <v>3.7604199999999999</v>
      </c>
      <c r="F317" s="5">
        <v>84</v>
      </c>
    </row>
    <row r="318" spans="1:6" x14ac:dyDescent="0.25">
      <c r="A318" s="5" t="s">
        <v>0</v>
      </c>
      <c r="B318" s="5">
        <v>50</v>
      </c>
      <c r="C318" s="5">
        <v>0.7</v>
      </c>
      <c r="D318" s="5">
        <v>53.405999999999999</v>
      </c>
      <c r="E318" s="5">
        <v>3.7775699999999999</v>
      </c>
      <c r="F318" s="5">
        <v>84</v>
      </c>
    </row>
    <row r="319" spans="1:6" x14ac:dyDescent="0.25">
      <c r="A319" s="5" t="s">
        <v>0</v>
      </c>
      <c r="B319" s="5">
        <v>50</v>
      </c>
      <c r="C319" s="5">
        <v>0.7</v>
      </c>
      <c r="D319" s="5">
        <v>53.4056</v>
      </c>
      <c r="E319" s="5">
        <v>3.7552599999999998</v>
      </c>
      <c r="F319" s="5">
        <v>84</v>
      </c>
    </row>
    <row r="320" spans="1:6" x14ac:dyDescent="0.25">
      <c r="A320" s="5" t="s">
        <v>0</v>
      </c>
      <c r="B320" s="5">
        <v>50</v>
      </c>
      <c r="C320" s="5">
        <v>0.7</v>
      </c>
      <c r="D320" s="5">
        <v>53.492660000000001</v>
      </c>
      <c r="E320" s="5">
        <v>3.7685200000000001</v>
      </c>
      <c r="F320" s="5">
        <v>84</v>
      </c>
    </row>
    <row r="321" spans="1:6" x14ac:dyDescent="0.25">
      <c r="A321" s="5" t="s">
        <v>0</v>
      </c>
      <c r="B321" s="5">
        <v>50</v>
      </c>
      <c r="C321" s="5">
        <v>1</v>
      </c>
      <c r="D321" s="5">
        <v>53.115519999999997</v>
      </c>
      <c r="E321" s="5">
        <v>6.0970899999999997</v>
      </c>
      <c r="F321" s="5">
        <v>126</v>
      </c>
    </row>
    <row r="322" spans="1:6" x14ac:dyDescent="0.25">
      <c r="A322" s="5" t="s">
        <v>0</v>
      </c>
      <c r="B322" s="5">
        <v>50</v>
      </c>
      <c r="C322" s="5">
        <v>1</v>
      </c>
      <c r="D322" s="5">
        <v>53.462179999999996</v>
      </c>
      <c r="E322" s="5">
        <v>6.0914099999999998</v>
      </c>
      <c r="F322" s="5">
        <v>125</v>
      </c>
    </row>
    <row r="323" spans="1:6" x14ac:dyDescent="0.25">
      <c r="A323" s="5" t="s">
        <v>0</v>
      </c>
      <c r="B323" s="5">
        <v>50</v>
      </c>
      <c r="C323" s="5">
        <v>1</v>
      </c>
      <c r="D323" s="5">
        <v>53.258319999999998</v>
      </c>
      <c r="E323" s="5">
        <v>6.1087300000000004</v>
      </c>
      <c r="F323" s="5">
        <v>125</v>
      </c>
    </row>
    <row r="324" spans="1:6" x14ac:dyDescent="0.25">
      <c r="A324" s="5" t="s">
        <v>0</v>
      </c>
      <c r="B324" s="5">
        <v>50</v>
      </c>
      <c r="C324" s="5">
        <v>1</v>
      </c>
      <c r="D324" s="5">
        <v>53.298319999999997</v>
      </c>
      <c r="E324" s="5">
        <v>6.1077399999999997</v>
      </c>
      <c r="F324" s="5">
        <v>126</v>
      </c>
    </row>
    <row r="325" spans="1:6" x14ac:dyDescent="0.25">
      <c r="A325" s="5" t="s">
        <v>0</v>
      </c>
      <c r="B325" s="5">
        <v>50</v>
      </c>
      <c r="C325" s="5">
        <v>1</v>
      </c>
      <c r="D325" s="5">
        <v>53.427489999999999</v>
      </c>
      <c r="E325" s="5">
        <v>6.0883200000000004</v>
      </c>
      <c r="F325" s="5">
        <v>126</v>
      </c>
    </row>
    <row r="326" spans="1:6" x14ac:dyDescent="0.25">
      <c r="A326" s="5" t="s">
        <v>0</v>
      </c>
      <c r="B326" s="5">
        <v>50</v>
      </c>
      <c r="C326" s="5">
        <v>1</v>
      </c>
      <c r="D326" s="5">
        <v>53.187489999999997</v>
      </c>
      <c r="E326" s="5">
        <v>6.1031899999999997</v>
      </c>
      <c r="F326" s="5">
        <v>125</v>
      </c>
    </row>
    <row r="327" spans="1:6" x14ac:dyDescent="0.25">
      <c r="A327" s="5" t="s">
        <v>0</v>
      </c>
      <c r="B327" s="5">
        <v>50</v>
      </c>
      <c r="C327" s="5">
        <v>1</v>
      </c>
      <c r="D327" s="5">
        <v>53.237569999999998</v>
      </c>
      <c r="E327" s="5">
        <v>6.0865900000000002</v>
      </c>
      <c r="F327" s="5">
        <v>126</v>
      </c>
    </row>
    <row r="328" spans="1:6" x14ac:dyDescent="0.25">
      <c r="A328" s="5" t="s">
        <v>0</v>
      </c>
      <c r="B328" s="5">
        <v>50</v>
      </c>
      <c r="C328" s="5">
        <v>1</v>
      </c>
      <c r="D328" s="5">
        <v>53.187489999999997</v>
      </c>
      <c r="E328" s="5">
        <v>6.0833899999999996</v>
      </c>
      <c r="F328" s="5">
        <v>124</v>
      </c>
    </row>
    <row r="329" spans="1:6" x14ac:dyDescent="0.25">
      <c r="A329" s="5" t="s">
        <v>0</v>
      </c>
      <c r="B329" s="5">
        <v>50</v>
      </c>
      <c r="C329" s="5">
        <v>1</v>
      </c>
      <c r="D329" s="5">
        <v>53.237490000000001</v>
      </c>
      <c r="E329" s="5">
        <v>6.0815099999999997</v>
      </c>
      <c r="F329" s="5">
        <v>126</v>
      </c>
    </row>
    <row r="330" spans="1:6" x14ac:dyDescent="0.25">
      <c r="A330" s="5" t="s">
        <v>0</v>
      </c>
      <c r="B330" s="5">
        <v>50</v>
      </c>
      <c r="C330" s="5">
        <v>1</v>
      </c>
      <c r="D330" s="5">
        <v>53.187570000000001</v>
      </c>
      <c r="E330" s="5">
        <v>6.0739999999999998</v>
      </c>
      <c r="F330" s="5">
        <v>124</v>
      </c>
    </row>
    <row r="331" spans="1:6" x14ac:dyDescent="0.25">
      <c r="A331" s="5" t="s">
        <v>0</v>
      </c>
      <c r="B331" s="5">
        <v>100</v>
      </c>
      <c r="C331" s="5">
        <v>0.4</v>
      </c>
      <c r="D331" s="5">
        <v>148.22450000000001</v>
      </c>
      <c r="E331" s="5">
        <v>7.0349000000000004</v>
      </c>
      <c r="F331" s="5">
        <v>50</v>
      </c>
    </row>
    <row r="332" spans="1:6" x14ac:dyDescent="0.25">
      <c r="A332" s="5" t="s">
        <v>0</v>
      </c>
      <c r="B332" s="5">
        <v>100</v>
      </c>
      <c r="C332" s="5">
        <v>0.4</v>
      </c>
      <c r="D332" s="5">
        <v>148.18366</v>
      </c>
      <c r="E332" s="5">
        <v>7.1288999999999998</v>
      </c>
      <c r="F332" s="5">
        <v>51</v>
      </c>
    </row>
    <row r="333" spans="1:6" x14ac:dyDescent="0.25">
      <c r="A333" s="5" t="s">
        <v>0</v>
      </c>
      <c r="B333" s="5">
        <v>100</v>
      </c>
      <c r="C333" s="5">
        <v>0.4</v>
      </c>
      <c r="D333" s="5">
        <v>148.19653</v>
      </c>
      <c r="E333" s="5">
        <v>7.0965600000000002</v>
      </c>
      <c r="F333" s="5">
        <v>51</v>
      </c>
    </row>
    <row r="334" spans="1:6" x14ac:dyDescent="0.25">
      <c r="A334" s="5" t="s">
        <v>0</v>
      </c>
      <c r="B334" s="5">
        <v>100</v>
      </c>
      <c r="C334" s="5">
        <v>0.4</v>
      </c>
      <c r="D334" s="5">
        <v>148.19569000000001</v>
      </c>
      <c r="E334" s="5">
        <v>7.1154599999999997</v>
      </c>
      <c r="F334" s="5">
        <v>51</v>
      </c>
    </row>
    <row r="335" spans="1:6" x14ac:dyDescent="0.25">
      <c r="A335" s="5" t="s">
        <v>0</v>
      </c>
      <c r="B335" s="5">
        <v>100</v>
      </c>
      <c r="C335" s="5">
        <v>0.4</v>
      </c>
      <c r="D335" s="5">
        <v>148.22672</v>
      </c>
      <c r="E335" s="5">
        <v>7.11937</v>
      </c>
      <c r="F335" s="5">
        <v>51</v>
      </c>
    </row>
    <row r="336" spans="1:6" x14ac:dyDescent="0.25">
      <c r="A336" s="5" t="s">
        <v>0</v>
      </c>
      <c r="B336" s="5">
        <v>100</v>
      </c>
      <c r="C336" s="5">
        <v>0.4</v>
      </c>
      <c r="D336" s="5">
        <v>148.15782999999999</v>
      </c>
      <c r="E336" s="5">
        <v>7.0266000000000002</v>
      </c>
      <c r="F336" s="5">
        <v>50</v>
      </c>
    </row>
    <row r="337" spans="1:6" x14ac:dyDescent="0.25">
      <c r="A337" s="5" t="s">
        <v>0</v>
      </c>
      <c r="B337" s="5">
        <v>100</v>
      </c>
      <c r="C337" s="5">
        <v>0.4</v>
      </c>
      <c r="D337" s="5">
        <v>148.24485999999999</v>
      </c>
      <c r="E337" s="5">
        <v>7.0998000000000001</v>
      </c>
      <c r="F337" s="5">
        <v>51</v>
      </c>
    </row>
    <row r="338" spans="1:6" x14ac:dyDescent="0.25">
      <c r="A338" s="5" t="s">
        <v>0</v>
      </c>
      <c r="B338" s="5">
        <v>100</v>
      </c>
      <c r="C338" s="5">
        <v>0.4</v>
      </c>
      <c r="D338" s="5">
        <v>148.16479000000001</v>
      </c>
      <c r="E338" s="5">
        <v>7.06229</v>
      </c>
      <c r="F338" s="5">
        <v>51</v>
      </c>
    </row>
    <row r="339" spans="1:6" x14ac:dyDescent="0.25">
      <c r="A339" s="5" t="s">
        <v>0</v>
      </c>
      <c r="B339" s="5">
        <v>100</v>
      </c>
      <c r="C339" s="5">
        <v>0.4</v>
      </c>
      <c r="D339" s="5">
        <v>148.19163</v>
      </c>
      <c r="E339" s="5">
        <v>7.1229699999999996</v>
      </c>
      <c r="F339" s="5">
        <v>51</v>
      </c>
    </row>
    <row r="340" spans="1:6" x14ac:dyDescent="0.25">
      <c r="A340" s="5" t="s">
        <v>0</v>
      </c>
      <c r="B340" s="5">
        <v>100</v>
      </c>
      <c r="C340" s="5">
        <v>0.4</v>
      </c>
      <c r="D340" s="5">
        <v>148.23652999999999</v>
      </c>
      <c r="E340" s="5">
        <v>7.1327100000000003</v>
      </c>
      <c r="F340" s="5">
        <v>51</v>
      </c>
    </row>
    <row r="341" spans="1:6" x14ac:dyDescent="0.25">
      <c r="A341" s="5" t="s">
        <v>0</v>
      </c>
      <c r="B341" s="5">
        <v>100</v>
      </c>
      <c r="C341" s="5">
        <v>0.7</v>
      </c>
      <c r="D341" s="5">
        <v>107.94329999999999</v>
      </c>
      <c r="E341" s="5">
        <v>16.888159999999999</v>
      </c>
      <c r="F341" s="5">
        <v>114</v>
      </c>
    </row>
    <row r="342" spans="1:6" x14ac:dyDescent="0.25">
      <c r="A342" s="5" t="s">
        <v>0</v>
      </c>
      <c r="B342" s="5">
        <v>100</v>
      </c>
      <c r="C342" s="5">
        <v>0.7</v>
      </c>
      <c r="D342" s="5">
        <v>108.39988</v>
      </c>
      <c r="E342" s="5">
        <v>16.79543</v>
      </c>
      <c r="F342" s="5">
        <v>113</v>
      </c>
    </row>
    <row r="343" spans="1:6" x14ac:dyDescent="0.25">
      <c r="A343" s="5" t="s">
        <v>0</v>
      </c>
      <c r="B343" s="5">
        <v>100</v>
      </c>
      <c r="C343" s="5">
        <v>0.7</v>
      </c>
      <c r="D343" s="5">
        <v>108.1942</v>
      </c>
      <c r="E343" s="5">
        <v>16.877199999999998</v>
      </c>
      <c r="F343" s="5">
        <v>114</v>
      </c>
    </row>
    <row r="344" spans="1:6" x14ac:dyDescent="0.25">
      <c r="A344" s="5" t="s">
        <v>0</v>
      </c>
      <c r="B344" s="5">
        <v>100</v>
      </c>
      <c r="C344" s="5">
        <v>0.7</v>
      </c>
      <c r="D344" s="5">
        <v>107.89919</v>
      </c>
      <c r="E344" s="5">
        <v>16.86891</v>
      </c>
      <c r="F344" s="5">
        <v>113</v>
      </c>
    </row>
    <row r="345" spans="1:6" x14ac:dyDescent="0.25">
      <c r="A345" s="5" t="s">
        <v>0</v>
      </c>
      <c r="B345" s="5">
        <v>100</v>
      </c>
      <c r="C345" s="5">
        <v>0.7</v>
      </c>
      <c r="D345" s="5">
        <v>107.99996</v>
      </c>
      <c r="E345" s="5">
        <v>16.82395</v>
      </c>
      <c r="F345" s="5">
        <v>114</v>
      </c>
    </row>
    <row r="346" spans="1:6" x14ac:dyDescent="0.25">
      <c r="A346" s="5" t="s">
        <v>0</v>
      </c>
      <c r="B346" s="5">
        <v>100</v>
      </c>
      <c r="C346" s="5">
        <v>0.7</v>
      </c>
      <c r="D346" s="5">
        <v>107.83247</v>
      </c>
      <c r="E346" s="5">
        <v>16.805209999999999</v>
      </c>
      <c r="F346" s="5">
        <v>113</v>
      </c>
    </row>
    <row r="347" spans="1:6" x14ac:dyDescent="0.25">
      <c r="A347" s="5" t="s">
        <v>0</v>
      </c>
      <c r="B347" s="5">
        <v>100</v>
      </c>
      <c r="C347" s="5">
        <v>0.7</v>
      </c>
      <c r="D347" s="5">
        <v>108.19914</v>
      </c>
      <c r="E347" s="5">
        <v>16.801079999999999</v>
      </c>
      <c r="F347" s="5">
        <v>113</v>
      </c>
    </row>
    <row r="348" spans="1:6" x14ac:dyDescent="0.25">
      <c r="A348" s="5" t="s">
        <v>0</v>
      </c>
      <c r="B348" s="5">
        <v>100</v>
      </c>
      <c r="C348" s="5">
        <v>0.7</v>
      </c>
      <c r="D348" s="5">
        <v>107.98996</v>
      </c>
      <c r="E348" s="5">
        <v>16.853590000000001</v>
      </c>
      <c r="F348" s="5">
        <v>113</v>
      </c>
    </row>
    <row r="349" spans="1:6" x14ac:dyDescent="0.25">
      <c r="A349" s="5" t="s">
        <v>0</v>
      </c>
      <c r="B349" s="5">
        <v>100</v>
      </c>
      <c r="C349" s="5">
        <v>0.7</v>
      </c>
      <c r="D349" s="5">
        <v>108.23114</v>
      </c>
      <c r="E349" s="5">
        <v>16.787050000000001</v>
      </c>
      <c r="F349" s="5">
        <v>113</v>
      </c>
    </row>
    <row r="350" spans="1:6" x14ac:dyDescent="0.25">
      <c r="A350" s="5" t="s">
        <v>0</v>
      </c>
      <c r="B350" s="5">
        <v>100</v>
      </c>
      <c r="C350" s="5">
        <v>0.7</v>
      </c>
      <c r="D350" s="5">
        <v>108.0008</v>
      </c>
      <c r="E350" s="5">
        <v>16.92296</v>
      </c>
      <c r="F350" s="5">
        <v>115</v>
      </c>
    </row>
    <row r="351" spans="1:6" x14ac:dyDescent="0.25">
      <c r="A351" s="5" t="s">
        <v>0</v>
      </c>
      <c r="B351" s="5">
        <v>100</v>
      </c>
      <c r="C351" s="5">
        <v>1</v>
      </c>
      <c r="D351" s="5">
        <v>103.84586</v>
      </c>
      <c r="E351" s="5">
        <v>29.436969999999999</v>
      </c>
      <c r="F351" s="5">
        <v>189</v>
      </c>
    </row>
    <row r="352" spans="1:6" x14ac:dyDescent="0.25">
      <c r="A352" s="5" t="s">
        <v>0</v>
      </c>
      <c r="B352" s="5">
        <v>100</v>
      </c>
      <c r="C352" s="5">
        <v>1</v>
      </c>
      <c r="D352" s="5">
        <v>103.92968</v>
      </c>
      <c r="E352" s="5">
        <v>29.41694</v>
      </c>
      <c r="F352" s="5">
        <v>189</v>
      </c>
    </row>
    <row r="353" spans="1:6" x14ac:dyDescent="0.25">
      <c r="A353" s="5" t="s">
        <v>0</v>
      </c>
      <c r="B353" s="5">
        <v>100</v>
      </c>
      <c r="C353" s="5">
        <v>1</v>
      </c>
      <c r="D353" s="5">
        <v>103.30698</v>
      </c>
      <c r="E353" s="5">
        <v>29.367090000000001</v>
      </c>
      <c r="F353" s="5">
        <v>189</v>
      </c>
    </row>
    <row r="354" spans="1:6" x14ac:dyDescent="0.25">
      <c r="A354" s="5" t="s">
        <v>0</v>
      </c>
      <c r="B354" s="5">
        <v>100</v>
      </c>
      <c r="C354" s="5">
        <v>1</v>
      </c>
      <c r="D354" s="5">
        <v>103.70247000000001</v>
      </c>
      <c r="E354" s="5">
        <v>29.38813</v>
      </c>
      <c r="F354" s="5">
        <v>189</v>
      </c>
    </row>
    <row r="355" spans="1:6" x14ac:dyDescent="0.25">
      <c r="A355" s="5" t="s">
        <v>0</v>
      </c>
      <c r="B355" s="5">
        <v>100</v>
      </c>
      <c r="C355" s="5">
        <v>1</v>
      </c>
      <c r="D355" s="5">
        <v>103.98829000000001</v>
      </c>
      <c r="E355" s="5">
        <v>29.4269</v>
      </c>
      <c r="F355" s="5">
        <v>188</v>
      </c>
    </row>
    <row r="356" spans="1:6" x14ac:dyDescent="0.25">
      <c r="A356" s="5" t="s">
        <v>0</v>
      </c>
      <c r="B356" s="5">
        <v>100</v>
      </c>
      <c r="C356" s="5">
        <v>1</v>
      </c>
      <c r="D356" s="5">
        <v>104.00996000000001</v>
      </c>
      <c r="E356" s="5">
        <v>29.448340000000002</v>
      </c>
      <c r="F356" s="5">
        <v>189</v>
      </c>
    </row>
    <row r="357" spans="1:6" x14ac:dyDescent="0.25">
      <c r="A357" s="5" t="s">
        <v>0</v>
      </c>
      <c r="B357" s="5">
        <v>100</v>
      </c>
      <c r="C357" s="5">
        <v>1</v>
      </c>
      <c r="D357" s="5">
        <v>103.79837000000001</v>
      </c>
      <c r="E357" s="5">
        <v>29.432410000000001</v>
      </c>
      <c r="F357" s="5">
        <v>189</v>
      </c>
    </row>
    <row r="358" spans="1:6" x14ac:dyDescent="0.25">
      <c r="A358" s="5" t="s">
        <v>0</v>
      </c>
      <c r="B358" s="5">
        <v>100</v>
      </c>
      <c r="C358" s="5">
        <v>1</v>
      </c>
      <c r="D358" s="5">
        <v>104.19923</v>
      </c>
      <c r="E358" s="5">
        <v>29.413029999999999</v>
      </c>
      <c r="F358" s="5">
        <v>188</v>
      </c>
    </row>
    <row r="359" spans="1:6" x14ac:dyDescent="0.25">
      <c r="A359" s="5" t="s">
        <v>0</v>
      </c>
      <c r="B359" s="5">
        <v>100</v>
      </c>
      <c r="C359" s="5">
        <v>1</v>
      </c>
      <c r="D359" s="5">
        <v>104.07837000000001</v>
      </c>
      <c r="E359" s="5">
        <v>29.346589999999999</v>
      </c>
      <c r="F359" s="5">
        <v>188</v>
      </c>
    </row>
    <row r="360" spans="1:6" x14ac:dyDescent="0.25">
      <c r="A360" s="5" t="s">
        <v>0</v>
      </c>
      <c r="B360" s="5">
        <v>100</v>
      </c>
      <c r="C360" s="5">
        <v>1</v>
      </c>
      <c r="D360" s="5">
        <v>103.30034999999999</v>
      </c>
      <c r="E360" s="5">
        <v>29.38344</v>
      </c>
      <c r="F360" s="5">
        <v>189</v>
      </c>
    </row>
    <row r="361" spans="1:6" x14ac:dyDescent="0.25">
      <c r="A361" s="5" t="s">
        <v>28</v>
      </c>
      <c r="B361" s="5">
        <v>29</v>
      </c>
      <c r="C361" s="5">
        <v>0.4</v>
      </c>
      <c r="D361" s="5">
        <v>1796.83125</v>
      </c>
      <c r="E361" s="5">
        <v>0.54923999999999995</v>
      </c>
      <c r="F361" s="5">
        <v>27</v>
      </c>
    </row>
    <row r="362" spans="1:6" x14ac:dyDescent="0.25">
      <c r="A362" s="5" t="s">
        <v>28</v>
      </c>
      <c r="B362" s="5">
        <v>29</v>
      </c>
      <c r="C362" s="5">
        <v>0.4</v>
      </c>
      <c r="D362" s="5">
        <v>1796.83125</v>
      </c>
      <c r="E362" s="5">
        <v>0.54601999999999995</v>
      </c>
      <c r="F362" s="5">
        <v>27</v>
      </c>
    </row>
    <row r="363" spans="1:6" x14ac:dyDescent="0.25">
      <c r="A363" s="5" t="s">
        <v>28</v>
      </c>
      <c r="B363" s="5">
        <v>29</v>
      </c>
      <c r="C363" s="5">
        <v>0.4</v>
      </c>
      <c r="D363" s="5">
        <v>1796.83125</v>
      </c>
      <c r="E363" s="5">
        <v>0.54391</v>
      </c>
      <c r="F363" s="5">
        <v>28</v>
      </c>
    </row>
    <row r="364" spans="1:6" x14ac:dyDescent="0.25">
      <c r="A364" s="5" t="s">
        <v>28</v>
      </c>
      <c r="B364" s="5">
        <v>29</v>
      </c>
      <c r="C364" s="5">
        <v>0.4</v>
      </c>
      <c r="D364" s="5">
        <v>1796.83125</v>
      </c>
      <c r="E364" s="5">
        <v>0.54496999999999995</v>
      </c>
      <c r="F364" s="5">
        <v>27</v>
      </c>
    </row>
    <row r="365" spans="1:6" x14ac:dyDescent="0.25">
      <c r="A365" s="5" t="s">
        <v>28</v>
      </c>
      <c r="B365" s="5">
        <v>29</v>
      </c>
      <c r="C365" s="5">
        <v>0.4</v>
      </c>
      <c r="D365" s="5">
        <v>1796.83125</v>
      </c>
      <c r="E365" s="5">
        <v>0.54188999999999998</v>
      </c>
      <c r="F365" s="5">
        <v>27</v>
      </c>
    </row>
    <row r="366" spans="1:6" x14ac:dyDescent="0.25">
      <c r="A366" s="5" t="s">
        <v>28</v>
      </c>
      <c r="B366" s="5">
        <v>29</v>
      </c>
      <c r="C366" s="5">
        <v>0.4</v>
      </c>
      <c r="D366" s="5">
        <v>1796.83125</v>
      </c>
      <c r="E366" s="5">
        <v>0.54735999999999996</v>
      </c>
      <c r="F366" s="5">
        <v>29</v>
      </c>
    </row>
    <row r="367" spans="1:6" x14ac:dyDescent="0.25">
      <c r="A367" s="5" t="s">
        <v>28</v>
      </c>
      <c r="B367" s="5">
        <v>29</v>
      </c>
      <c r="C367" s="5">
        <v>0.4</v>
      </c>
      <c r="D367" s="5">
        <v>1796.83125</v>
      </c>
      <c r="E367" s="5">
        <v>0.54830999999999996</v>
      </c>
      <c r="F367" s="5">
        <v>25</v>
      </c>
    </row>
    <row r="368" spans="1:6" x14ac:dyDescent="0.25">
      <c r="A368" s="5" t="s">
        <v>28</v>
      </c>
      <c r="B368" s="5">
        <v>29</v>
      </c>
      <c r="C368" s="5">
        <v>0.4</v>
      </c>
      <c r="D368" s="5">
        <v>1796.83125</v>
      </c>
      <c r="E368" s="5">
        <v>0.55247000000000002</v>
      </c>
      <c r="F368" s="5">
        <v>27</v>
      </c>
    </row>
    <row r="369" spans="1:6" x14ac:dyDescent="0.25">
      <c r="A369" s="5" t="s">
        <v>28</v>
      </c>
      <c r="B369" s="5">
        <v>29</v>
      </c>
      <c r="C369" s="5">
        <v>0.4</v>
      </c>
      <c r="D369" s="5">
        <v>1796.83125</v>
      </c>
      <c r="E369" s="5">
        <v>0.55239000000000005</v>
      </c>
      <c r="F369" s="5">
        <v>29</v>
      </c>
    </row>
    <row r="370" spans="1:6" x14ac:dyDescent="0.25">
      <c r="A370" s="5" t="s">
        <v>28</v>
      </c>
      <c r="B370" s="5">
        <v>29</v>
      </c>
      <c r="C370" s="5">
        <v>0.4</v>
      </c>
      <c r="D370" s="5">
        <v>1796.83125</v>
      </c>
      <c r="E370" s="5">
        <v>0.55093000000000003</v>
      </c>
      <c r="F370" s="5">
        <v>27</v>
      </c>
    </row>
    <row r="371" spans="1:6" x14ac:dyDescent="0.25">
      <c r="A371" s="5" t="s">
        <v>28</v>
      </c>
      <c r="B371" s="5">
        <v>29</v>
      </c>
      <c r="C371" s="5">
        <v>0.7</v>
      </c>
      <c r="D371" s="5">
        <v>1469.6411000000001</v>
      </c>
      <c r="E371" s="5">
        <v>0.87577000000000005</v>
      </c>
      <c r="F371" s="5">
        <v>49</v>
      </c>
    </row>
    <row r="372" spans="1:6" x14ac:dyDescent="0.25">
      <c r="A372" s="5" t="s">
        <v>28</v>
      </c>
      <c r="B372" s="5">
        <v>29</v>
      </c>
      <c r="C372" s="5">
        <v>0.7</v>
      </c>
      <c r="D372" s="5">
        <v>1469.6411000000001</v>
      </c>
      <c r="E372" s="5">
        <v>0.87753000000000003</v>
      </c>
      <c r="F372" s="5">
        <v>47</v>
      </c>
    </row>
    <row r="373" spans="1:6" x14ac:dyDescent="0.25">
      <c r="A373" s="5" t="s">
        <v>28</v>
      </c>
      <c r="B373" s="5">
        <v>29</v>
      </c>
      <c r="C373" s="5">
        <v>0.7</v>
      </c>
      <c r="D373" s="5">
        <v>1469.6411000000001</v>
      </c>
      <c r="E373" s="5">
        <v>0.87224000000000002</v>
      </c>
      <c r="F373" s="5">
        <v>50</v>
      </c>
    </row>
    <row r="374" spans="1:6" x14ac:dyDescent="0.25">
      <c r="A374" s="5" t="s">
        <v>28</v>
      </c>
      <c r="B374" s="5">
        <v>29</v>
      </c>
      <c r="C374" s="5">
        <v>0.7</v>
      </c>
      <c r="D374" s="5">
        <v>1469.6411000000001</v>
      </c>
      <c r="E374" s="5">
        <v>0.88027</v>
      </c>
      <c r="F374" s="5">
        <v>50</v>
      </c>
    </row>
    <row r="375" spans="1:6" x14ac:dyDescent="0.25">
      <c r="A375" s="5" t="s">
        <v>28</v>
      </c>
      <c r="B375" s="5">
        <v>29</v>
      </c>
      <c r="C375" s="5">
        <v>0.7</v>
      </c>
      <c r="D375" s="5">
        <v>1469.6411000000001</v>
      </c>
      <c r="E375" s="5">
        <v>0.87626000000000004</v>
      </c>
      <c r="F375" s="5">
        <v>52</v>
      </c>
    </row>
    <row r="376" spans="1:6" x14ac:dyDescent="0.25">
      <c r="A376" s="5" t="s">
        <v>28</v>
      </c>
      <c r="B376" s="5">
        <v>29</v>
      </c>
      <c r="C376" s="5">
        <v>0.7</v>
      </c>
      <c r="D376" s="5">
        <v>1469.6411000000001</v>
      </c>
      <c r="E376" s="5">
        <v>0.87788999999999995</v>
      </c>
      <c r="F376" s="5">
        <v>52</v>
      </c>
    </row>
    <row r="377" spans="1:6" x14ac:dyDescent="0.25">
      <c r="A377" s="5" t="s">
        <v>28</v>
      </c>
      <c r="B377" s="5">
        <v>29</v>
      </c>
      <c r="C377" s="5">
        <v>0.7</v>
      </c>
      <c r="D377" s="5">
        <v>1469.6411000000001</v>
      </c>
      <c r="E377" s="5">
        <v>0.88344</v>
      </c>
      <c r="F377" s="5">
        <v>48</v>
      </c>
    </row>
    <row r="378" spans="1:6" x14ac:dyDescent="0.25">
      <c r="A378" s="5" t="s">
        <v>28</v>
      </c>
      <c r="B378" s="5">
        <v>29</v>
      </c>
      <c r="C378" s="5">
        <v>0.7</v>
      </c>
      <c r="D378" s="5">
        <v>1469.6411000000001</v>
      </c>
      <c r="E378" s="5">
        <v>0.87804000000000004</v>
      </c>
      <c r="F378" s="5">
        <v>52</v>
      </c>
    </row>
    <row r="379" spans="1:6" x14ac:dyDescent="0.25">
      <c r="A379" s="5" t="s">
        <v>28</v>
      </c>
      <c r="B379" s="5">
        <v>29</v>
      </c>
      <c r="C379" s="5">
        <v>0.7</v>
      </c>
      <c r="D379" s="5">
        <v>1469.6411000000001</v>
      </c>
      <c r="E379" s="5">
        <v>0.88170999999999999</v>
      </c>
      <c r="F379" s="5">
        <v>49</v>
      </c>
    </row>
    <row r="380" spans="1:6" x14ac:dyDescent="0.25">
      <c r="A380" s="5" t="s">
        <v>28</v>
      </c>
      <c r="B380" s="5">
        <v>29</v>
      </c>
      <c r="C380" s="5">
        <v>0.7</v>
      </c>
      <c r="D380" s="5">
        <v>1469.6411000000001</v>
      </c>
      <c r="E380" s="5">
        <v>0.88414999999999999</v>
      </c>
      <c r="F380" s="5">
        <v>51</v>
      </c>
    </row>
    <row r="381" spans="1:6" x14ac:dyDescent="0.25">
      <c r="A381" s="5" t="s">
        <v>28</v>
      </c>
      <c r="B381" s="5">
        <v>29</v>
      </c>
      <c r="C381" s="5">
        <v>1</v>
      </c>
      <c r="D381" s="5">
        <v>1469.6411000000001</v>
      </c>
      <c r="E381" s="5">
        <v>1.15428</v>
      </c>
      <c r="F381" s="5">
        <v>59</v>
      </c>
    </row>
    <row r="382" spans="1:6" x14ac:dyDescent="0.25">
      <c r="A382" s="5" t="s">
        <v>28</v>
      </c>
      <c r="B382" s="5">
        <v>29</v>
      </c>
      <c r="C382" s="5">
        <v>1</v>
      </c>
      <c r="D382" s="5">
        <v>1469.6411000000001</v>
      </c>
      <c r="E382" s="5">
        <v>1.1566399999999999</v>
      </c>
      <c r="F382" s="5">
        <v>65</v>
      </c>
    </row>
    <row r="383" spans="1:6" x14ac:dyDescent="0.25">
      <c r="A383" s="5" t="s">
        <v>28</v>
      </c>
      <c r="B383" s="5">
        <v>29</v>
      </c>
      <c r="C383" s="5">
        <v>1</v>
      </c>
      <c r="D383" s="5">
        <v>1469.6411000000001</v>
      </c>
      <c r="E383" s="5">
        <v>1.1521300000000001</v>
      </c>
      <c r="F383" s="5">
        <v>65</v>
      </c>
    </row>
    <row r="384" spans="1:6" x14ac:dyDescent="0.25">
      <c r="A384" s="5" t="s">
        <v>28</v>
      </c>
      <c r="B384" s="5">
        <v>29</v>
      </c>
      <c r="C384" s="5">
        <v>1</v>
      </c>
      <c r="D384" s="5">
        <v>1469.6411000000001</v>
      </c>
      <c r="E384" s="5">
        <v>1.1531499999999999</v>
      </c>
      <c r="F384" s="5">
        <v>65</v>
      </c>
    </row>
    <row r="385" spans="1:6" x14ac:dyDescent="0.25">
      <c r="A385" s="5" t="s">
        <v>28</v>
      </c>
      <c r="B385" s="5">
        <v>29</v>
      </c>
      <c r="C385" s="5">
        <v>1</v>
      </c>
      <c r="D385" s="5">
        <v>1469.6411000000001</v>
      </c>
      <c r="E385" s="5">
        <v>1.1613599999999999</v>
      </c>
      <c r="F385" s="5">
        <v>66</v>
      </c>
    </row>
    <row r="386" spans="1:6" x14ac:dyDescent="0.25">
      <c r="A386" s="5" t="s">
        <v>28</v>
      </c>
      <c r="B386" s="5">
        <v>29</v>
      </c>
      <c r="C386" s="5">
        <v>1</v>
      </c>
      <c r="D386" s="5">
        <v>1469.6411000000001</v>
      </c>
      <c r="E386" s="5">
        <v>1.1572</v>
      </c>
      <c r="F386" s="5">
        <v>66</v>
      </c>
    </row>
    <row r="387" spans="1:6" x14ac:dyDescent="0.25">
      <c r="A387" s="5" t="s">
        <v>28</v>
      </c>
      <c r="B387" s="5">
        <v>29</v>
      </c>
      <c r="C387" s="5">
        <v>1</v>
      </c>
      <c r="D387" s="5">
        <v>1469.6411000000001</v>
      </c>
      <c r="E387" s="5">
        <v>1.15787</v>
      </c>
      <c r="F387" s="5">
        <v>65</v>
      </c>
    </row>
    <row r="388" spans="1:6" x14ac:dyDescent="0.25">
      <c r="A388" s="5" t="s">
        <v>28</v>
      </c>
      <c r="B388" s="5">
        <v>29</v>
      </c>
      <c r="C388" s="5">
        <v>1</v>
      </c>
      <c r="D388" s="5">
        <v>1469.6411000000001</v>
      </c>
      <c r="E388" s="5">
        <v>1.15208</v>
      </c>
      <c r="F388" s="5">
        <v>60</v>
      </c>
    </row>
    <row r="389" spans="1:6" x14ac:dyDescent="0.25">
      <c r="A389" s="5" t="s">
        <v>28</v>
      </c>
      <c r="B389" s="5">
        <v>29</v>
      </c>
      <c r="C389" s="5">
        <v>1</v>
      </c>
      <c r="D389" s="5">
        <v>1469.6411000000001</v>
      </c>
      <c r="E389" s="5">
        <v>1.1584099999999999</v>
      </c>
      <c r="F389" s="5">
        <v>65</v>
      </c>
    </row>
    <row r="390" spans="1:6" x14ac:dyDescent="0.25">
      <c r="A390" s="5" t="s">
        <v>28</v>
      </c>
      <c r="B390" s="5">
        <v>29</v>
      </c>
      <c r="C390" s="5">
        <v>1</v>
      </c>
      <c r="D390" s="5">
        <v>1469.6411000000001</v>
      </c>
      <c r="E390" s="5">
        <v>1.15784</v>
      </c>
      <c r="F390" s="5">
        <v>65</v>
      </c>
    </row>
    <row r="391" spans="1:6" x14ac:dyDescent="0.25">
      <c r="A391" s="5" t="s">
        <v>28</v>
      </c>
      <c r="B391" s="5">
        <v>58</v>
      </c>
      <c r="C391" s="5">
        <v>0.4</v>
      </c>
      <c r="D391" s="5">
        <v>3085.9724099999999</v>
      </c>
      <c r="E391" s="5">
        <v>1.14916</v>
      </c>
      <c r="F391" s="5">
        <v>20</v>
      </c>
    </row>
    <row r="392" spans="1:6" x14ac:dyDescent="0.25">
      <c r="A392" s="5" t="s">
        <v>28</v>
      </c>
      <c r="B392" s="5">
        <v>58</v>
      </c>
      <c r="C392" s="5">
        <v>0.4</v>
      </c>
      <c r="D392" s="5">
        <v>3085.9724099999999</v>
      </c>
      <c r="E392" s="5">
        <v>1.1362300000000001</v>
      </c>
      <c r="F392" s="5">
        <v>21</v>
      </c>
    </row>
    <row r="393" spans="1:6" x14ac:dyDescent="0.25">
      <c r="A393" s="5" t="s">
        <v>28</v>
      </c>
      <c r="B393" s="5">
        <v>58</v>
      </c>
      <c r="C393" s="5">
        <v>0.4</v>
      </c>
      <c r="D393" s="5">
        <v>3085.9724099999999</v>
      </c>
      <c r="E393" s="5">
        <v>1.11409</v>
      </c>
      <c r="F393" s="5">
        <v>20</v>
      </c>
    </row>
    <row r="394" spans="1:6" x14ac:dyDescent="0.25">
      <c r="A394" s="5" t="s">
        <v>28</v>
      </c>
      <c r="B394" s="5">
        <v>58</v>
      </c>
      <c r="C394" s="5">
        <v>0.4</v>
      </c>
      <c r="D394" s="5">
        <v>3085.9724099999999</v>
      </c>
      <c r="E394" s="5">
        <v>1.1514</v>
      </c>
      <c r="F394" s="5">
        <v>21</v>
      </c>
    </row>
    <row r="395" spans="1:6" x14ac:dyDescent="0.25">
      <c r="A395" s="5" t="s">
        <v>28</v>
      </c>
      <c r="B395" s="5">
        <v>58</v>
      </c>
      <c r="C395" s="5">
        <v>0.4</v>
      </c>
      <c r="D395" s="5">
        <v>3085.9724099999999</v>
      </c>
      <c r="E395" s="5">
        <v>1.1473100000000001</v>
      </c>
      <c r="F395" s="5">
        <v>21</v>
      </c>
    </row>
    <row r="396" spans="1:6" x14ac:dyDescent="0.25">
      <c r="A396" s="5" t="s">
        <v>28</v>
      </c>
      <c r="B396" s="5">
        <v>58</v>
      </c>
      <c r="C396" s="5">
        <v>0.4</v>
      </c>
      <c r="D396" s="5">
        <v>3085.9724099999999</v>
      </c>
      <c r="E396" s="5">
        <v>1.13036</v>
      </c>
      <c r="F396" s="5">
        <v>19</v>
      </c>
    </row>
    <row r="397" spans="1:6" x14ac:dyDescent="0.25">
      <c r="A397" s="5" t="s">
        <v>28</v>
      </c>
      <c r="B397" s="5">
        <v>58</v>
      </c>
      <c r="C397" s="5">
        <v>0.4</v>
      </c>
      <c r="D397" s="5">
        <v>3085.9724099999999</v>
      </c>
      <c r="E397" s="5">
        <v>1.1079000000000001</v>
      </c>
      <c r="F397" s="5">
        <v>20</v>
      </c>
    </row>
    <row r="398" spans="1:6" x14ac:dyDescent="0.25">
      <c r="A398" s="5" t="s">
        <v>28</v>
      </c>
      <c r="B398" s="5">
        <v>58</v>
      </c>
      <c r="C398" s="5">
        <v>0.4</v>
      </c>
      <c r="D398" s="5">
        <v>3085.9724099999999</v>
      </c>
      <c r="E398" s="5">
        <v>1.1330199999999999</v>
      </c>
      <c r="F398" s="5">
        <v>21</v>
      </c>
    </row>
    <row r="399" spans="1:6" x14ac:dyDescent="0.25">
      <c r="A399" s="5" t="s">
        <v>28</v>
      </c>
      <c r="B399" s="5">
        <v>58</v>
      </c>
      <c r="C399" s="5">
        <v>0.4</v>
      </c>
      <c r="D399" s="5">
        <v>3085.9724099999999</v>
      </c>
      <c r="E399" s="5">
        <v>1.15005</v>
      </c>
      <c r="F399" s="5">
        <v>21</v>
      </c>
    </row>
    <row r="400" spans="1:6" x14ac:dyDescent="0.25">
      <c r="A400" s="5" t="s">
        <v>28</v>
      </c>
      <c r="B400" s="5">
        <v>58</v>
      </c>
      <c r="C400" s="5">
        <v>0.4</v>
      </c>
      <c r="D400" s="5">
        <v>3085.9724099999999</v>
      </c>
      <c r="E400" s="5">
        <v>1.1274299999999999</v>
      </c>
      <c r="F400" s="5">
        <v>20</v>
      </c>
    </row>
    <row r="401" spans="1:6" x14ac:dyDescent="0.25">
      <c r="A401" s="5" t="s">
        <v>28</v>
      </c>
      <c r="B401" s="5">
        <v>58</v>
      </c>
      <c r="C401" s="5">
        <v>0.7</v>
      </c>
      <c r="D401" s="5">
        <v>1547.1361300000001</v>
      </c>
      <c r="E401" s="5">
        <v>2.53206</v>
      </c>
      <c r="F401" s="5">
        <v>46</v>
      </c>
    </row>
    <row r="402" spans="1:6" x14ac:dyDescent="0.25">
      <c r="A402" s="5" t="s">
        <v>28</v>
      </c>
      <c r="B402" s="5">
        <v>58</v>
      </c>
      <c r="C402" s="5">
        <v>0.7</v>
      </c>
      <c r="D402" s="5">
        <v>1547.1361300000001</v>
      </c>
      <c r="E402" s="5">
        <v>2.5072899999999998</v>
      </c>
      <c r="F402" s="5">
        <v>45</v>
      </c>
    </row>
    <row r="403" spans="1:6" x14ac:dyDescent="0.25">
      <c r="A403" s="5" t="s">
        <v>28</v>
      </c>
      <c r="B403" s="5">
        <v>58</v>
      </c>
      <c r="C403" s="5">
        <v>0.7</v>
      </c>
      <c r="D403" s="5">
        <v>1547.1361300000001</v>
      </c>
      <c r="E403" s="5">
        <v>2.4954200000000002</v>
      </c>
      <c r="F403" s="5">
        <v>46</v>
      </c>
    </row>
    <row r="404" spans="1:6" x14ac:dyDescent="0.25">
      <c r="A404" s="5" t="s">
        <v>28</v>
      </c>
      <c r="B404" s="5">
        <v>58</v>
      </c>
      <c r="C404" s="5">
        <v>0.7</v>
      </c>
      <c r="D404" s="5">
        <v>1547.1361300000001</v>
      </c>
      <c r="E404" s="5">
        <v>2.4947599999999999</v>
      </c>
      <c r="F404" s="5">
        <v>45</v>
      </c>
    </row>
    <row r="405" spans="1:6" x14ac:dyDescent="0.25">
      <c r="A405" s="5" t="s">
        <v>28</v>
      </c>
      <c r="B405" s="5">
        <v>58</v>
      </c>
      <c r="C405" s="5">
        <v>0.7</v>
      </c>
      <c r="D405" s="5">
        <v>1547.1361300000001</v>
      </c>
      <c r="E405" s="5">
        <v>2.4927600000000001</v>
      </c>
      <c r="F405" s="5">
        <v>45</v>
      </c>
    </row>
    <row r="406" spans="1:6" x14ac:dyDescent="0.25">
      <c r="A406" s="5" t="s">
        <v>28</v>
      </c>
      <c r="B406" s="5">
        <v>58</v>
      </c>
      <c r="C406" s="5">
        <v>0.7</v>
      </c>
      <c r="D406" s="5">
        <v>1547.1361300000001</v>
      </c>
      <c r="E406" s="5">
        <v>2.5104700000000002</v>
      </c>
      <c r="F406" s="5">
        <v>45</v>
      </c>
    </row>
    <row r="407" spans="1:6" x14ac:dyDescent="0.25">
      <c r="A407" s="5" t="s">
        <v>28</v>
      </c>
      <c r="B407" s="5">
        <v>58</v>
      </c>
      <c r="C407" s="5">
        <v>0.7</v>
      </c>
      <c r="D407" s="5">
        <v>1547.1361300000001</v>
      </c>
      <c r="E407" s="5">
        <v>2.52725</v>
      </c>
      <c r="F407" s="5">
        <v>45</v>
      </c>
    </row>
    <row r="408" spans="1:6" x14ac:dyDescent="0.25">
      <c r="A408" s="5" t="s">
        <v>28</v>
      </c>
      <c r="B408" s="5">
        <v>58</v>
      </c>
      <c r="C408" s="5">
        <v>0.7</v>
      </c>
      <c r="D408" s="5">
        <v>1547.1361300000001</v>
      </c>
      <c r="E408" s="5">
        <v>2.5139900000000002</v>
      </c>
      <c r="F408" s="5">
        <v>46</v>
      </c>
    </row>
    <row r="409" spans="1:6" x14ac:dyDescent="0.25">
      <c r="A409" s="5" t="s">
        <v>28</v>
      </c>
      <c r="B409" s="5">
        <v>58</v>
      </c>
      <c r="C409" s="5">
        <v>0.7</v>
      </c>
      <c r="D409" s="5">
        <v>1547.1361300000001</v>
      </c>
      <c r="E409" s="5">
        <v>2.5067499999999998</v>
      </c>
      <c r="F409" s="5">
        <v>45</v>
      </c>
    </row>
    <row r="410" spans="1:6" x14ac:dyDescent="0.25">
      <c r="A410" s="5" t="s">
        <v>28</v>
      </c>
      <c r="B410" s="5">
        <v>58</v>
      </c>
      <c r="C410" s="5">
        <v>0.7</v>
      </c>
      <c r="D410" s="5">
        <v>1547.1361300000001</v>
      </c>
      <c r="E410" s="5">
        <v>2.5028000000000001</v>
      </c>
      <c r="F410" s="5">
        <v>44</v>
      </c>
    </row>
    <row r="411" spans="1:6" x14ac:dyDescent="0.25">
      <c r="A411" s="5" t="s">
        <v>28</v>
      </c>
      <c r="B411" s="5">
        <v>58</v>
      </c>
      <c r="C411" s="5">
        <v>1</v>
      </c>
      <c r="D411" s="5">
        <v>1546.5742299999999</v>
      </c>
      <c r="E411" s="5">
        <v>2.75915</v>
      </c>
      <c r="F411" s="5">
        <v>48</v>
      </c>
    </row>
    <row r="412" spans="1:6" x14ac:dyDescent="0.25">
      <c r="A412" s="5" t="s">
        <v>28</v>
      </c>
      <c r="B412" s="5">
        <v>58</v>
      </c>
      <c r="C412" s="5">
        <v>1</v>
      </c>
      <c r="D412" s="5">
        <v>1546.5742299999999</v>
      </c>
      <c r="E412" s="5">
        <v>2.7663700000000002</v>
      </c>
      <c r="F412" s="5">
        <v>48</v>
      </c>
    </row>
    <row r="413" spans="1:6" x14ac:dyDescent="0.25">
      <c r="A413" s="5" t="s">
        <v>28</v>
      </c>
      <c r="B413" s="5">
        <v>58</v>
      </c>
      <c r="C413" s="5">
        <v>1</v>
      </c>
      <c r="D413" s="5">
        <v>1546.5742299999999</v>
      </c>
      <c r="E413" s="5">
        <v>2.76234</v>
      </c>
      <c r="F413" s="5">
        <v>48</v>
      </c>
    </row>
    <row r="414" spans="1:6" x14ac:dyDescent="0.25">
      <c r="A414" s="5" t="s">
        <v>28</v>
      </c>
      <c r="B414" s="5">
        <v>58</v>
      </c>
      <c r="C414" s="5">
        <v>1</v>
      </c>
      <c r="D414" s="5">
        <v>1546.5742299999999</v>
      </c>
      <c r="E414" s="5">
        <v>2.74011</v>
      </c>
      <c r="F414" s="5">
        <v>48</v>
      </c>
    </row>
    <row r="415" spans="1:6" x14ac:dyDescent="0.25">
      <c r="A415" s="5" t="s">
        <v>28</v>
      </c>
      <c r="B415" s="5">
        <v>58</v>
      </c>
      <c r="C415" s="5">
        <v>1</v>
      </c>
      <c r="D415" s="5">
        <v>1546.5742299999999</v>
      </c>
      <c r="E415" s="5">
        <v>2.7637900000000002</v>
      </c>
      <c r="F415" s="5">
        <v>48</v>
      </c>
    </row>
    <row r="416" spans="1:6" x14ac:dyDescent="0.25">
      <c r="A416" s="5" t="s">
        <v>28</v>
      </c>
      <c r="B416" s="5">
        <v>58</v>
      </c>
      <c r="C416" s="5">
        <v>1</v>
      </c>
      <c r="D416" s="5">
        <v>1546.5742299999999</v>
      </c>
      <c r="E416" s="5">
        <v>2.7533699999999999</v>
      </c>
      <c r="F416" s="5">
        <v>48</v>
      </c>
    </row>
    <row r="417" spans="1:6" x14ac:dyDescent="0.25">
      <c r="A417" s="5" t="s">
        <v>28</v>
      </c>
      <c r="B417" s="5">
        <v>58</v>
      </c>
      <c r="C417" s="5">
        <v>1</v>
      </c>
      <c r="D417" s="5">
        <v>1546.5742299999999</v>
      </c>
      <c r="E417" s="5">
        <v>2.7536399999999999</v>
      </c>
      <c r="F417" s="5">
        <v>48</v>
      </c>
    </row>
    <row r="418" spans="1:6" x14ac:dyDescent="0.25">
      <c r="A418" s="5" t="s">
        <v>28</v>
      </c>
      <c r="B418" s="5">
        <v>58</v>
      </c>
      <c r="C418" s="5">
        <v>1</v>
      </c>
      <c r="D418" s="5">
        <v>1546.5742299999999</v>
      </c>
      <c r="E418" s="5">
        <v>2.7259899999999999</v>
      </c>
      <c r="F418" s="5">
        <v>46</v>
      </c>
    </row>
    <row r="419" spans="1:6" x14ac:dyDescent="0.25">
      <c r="A419" s="5" t="s">
        <v>28</v>
      </c>
      <c r="B419" s="5">
        <v>58</v>
      </c>
      <c r="C419" s="5">
        <v>1</v>
      </c>
      <c r="D419" s="5">
        <v>1546.5742299999999</v>
      </c>
      <c r="E419" s="5">
        <v>2.7262499999999998</v>
      </c>
      <c r="F419" s="5">
        <v>47</v>
      </c>
    </row>
    <row r="420" spans="1:6" x14ac:dyDescent="0.25">
      <c r="A420" s="5" t="s">
        <v>28</v>
      </c>
      <c r="B420" s="5">
        <v>58</v>
      </c>
      <c r="C420" s="5">
        <v>1</v>
      </c>
      <c r="D420" s="5">
        <v>1546.5742299999999</v>
      </c>
      <c r="E420" s="5">
        <v>2.7360199999999999</v>
      </c>
      <c r="F420" s="5">
        <v>48</v>
      </c>
    </row>
    <row r="421" spans="1:6" x14ac:dyDescent="0.25">
      <c r="A421" s="5" t="s">
        <v>28</v>
      </c>
      <c r="B421" s="5">
        <v>97</v>
      </c>
      <c r="C421" s="5">
        <v>0.4</v>
      </c>
      <c r="D421" s="5">
        <v>2521.7109399999999</v>
      </c>
      <c r="E421" s="5">
        <v>3.0442800000000001</v>
      </c>
      <c r="F421" s="5">
        <v>23</v>
      </c>
    </row>
    <row r="422" spans="1:6" x14ac:dyDescent="0.25">
      <c r="A422" s="5" t="s">
        <v>28</v>
      </c>
      <c r="B422" s="5">
        <v>97</v>
      </c>
      <c r="C422" s="5">
        <v>0.4</v>
      </c>
      <c r="D422" s="5">
        <v>2521.7109399999999</v>
      </c>
      <c r="E422" s="5">
        <v>3.0324499999999999</v>
      </c>
      <c r="F422" s="5">
        <v>23</v>
      </c>
    </row>
    <row r="423" spans="1:6" x14ac:dyDescent="0.25">
      <c r="A423" s="5" t="s">
        <v>28</v>
      </c>
      <c r="B423" s="5">
        <v>97</v>
      </c>
      <c r="C423" s="5">
        <v>0.4</v>
      </c>
      <c r="D423" s="5">
        <v>2521.7109399999999</v>
      </c>
      <c r="E423" s="5">
        <v>3.01891</v>
      </c>
      <c r="F423" s="5">
        <v>23</v>
      </c>
    </row>
    <row r="424" spans="1:6" x14ac:dyDescent="0.25">
      <c r="A424" s="5" t="s">
        <v>28</v>
      </c>
      <c r="B424" s="5">
        <v>97</v>
      </c>
      <c r="C424" s="5">
        <v>0.4</v>
      </c>
      <c r="D424" s="5">
        <v>2521.7109399999999</v>
      </c>
      <c r="E424" s="5">
        <v>3.01003</v>
      </c>
      <c r="F424" s="5">
        <v>23</v>
      </c>
    </row>
    <row r="425" spans="1:6" x14ac:dyDescent="0.25">
      <c r="A425" s="5" t="s">
        <v>28</v>
      </c>
      <c r="B425" s="5">
        <v>97</v>
      </c>
      <c r="C425" s="5">
        <v>0.4</v>
      </c>
      <c r="D425" s="5">
        <v>2521.7109399999999</v>
      </c>
      <c r="E425" s="5">
        <v>3.04657</v>
      </c>
      <c r="F425" s="5">
        <v>23</v>
      </c>
    </row>
    <row r="426" spans="1:6" x14ac:dyDescent="0.25">
      <c r="A426" s="5" t="s">
        <v>28</v>
      </c>
      <c r="B426" s="5">
        <v>97</v>
      </c>
      <c r="C426" s="5">
        <v>0.4</v>
      </c>
      <c r="D426" s="5">
        <v>2521.7109399999999</v>
      </c>
      <c r="E426" s="5">
        <v>3.0299200000000002</v>
      </c>
      <c r="F426" s="5">
        <v>23</v>
      </c>
    </row>
    <row r="427" spans="1:6" x14ac:dyDescent="0.25">
      <c r="A427" s="5" t="s">
        <v>28</v>
      </c>
      <c r="B427" s="5">
        <v>97</v>
      </c>
      <c r="C427" s="5">
        <v>0.4</v>
      </c>
      <c r="D427" s="5">
        <v>2521.7109399999999</v>
      </c>
      <c r="E427" s="5">
        <v>2.9741</v>
      </c>
      <c r="F427" s="5">
        <v>23</v>
      </c>
    </row>
    <row r="428" spans="1:6" x14ac:dyDescent="0.25">
      <c r="A428" s="5" t="s">
        <v>28</v>
      </c>
      <c r="B428" s="5">
        <v>97</v>
      </c>
      <c r="C428" s="5">
        <v>0.4</v>
      </c>
      <c r="D428" s="5">
        <v>2521.7109399999999</v>
      </c>
      <c r="E428" s="5">
        <v>2.9830899999999998</v>
      </c>
      <c r="F428" s="5">
        <v>23</v>
      </c>
    </row>
    <row r="429" spans="1:6" x14ac:dyDescent="0.25">
      <c r="A429" s="5" t="s">
        <v>28</v>
      </c>
      <c r="B429" s="5">
        <v>97</v>
      </c>
      <c r="C429" s="5">
        <v>0.4</v>
      </c>
      <c r="D429" s="5">
        <v>2521.7109399999999</v>
      </c>
      <c r="E429" s="5">
        <v>3.0067599999999999</v>
      </c>
      <c r="F429" s="5">
        <v>23</v>
      </c>
    </row>
    <row r="430" spans="1:6" x14ac:dyDescent="0.25">
      <c r="A430" s="5" t="s">
        <v>28</v>
      </c>
      <c r="B430" s="5">
        <v>97</v>
      </c>
      <c r="C430" s="5">
        <v>0.4</v>
      </c>
      <c r="D430" s="5">
        <v>2521.7109399999999</v>
      </c>
      <c r="E430" s="5">
        <v>3.01824</v>
      </c>
      <c r="F430" s="5">
        <v>23</v>
      </c>
    </row>
    <row r="431" spans="1:6" x14ac:dyDescent="0.25">
      <c r="A431" s="5" t="s">
        <v>28</v>
      </c>
      <c r="B431" s="5">
        <v>97</v>
      </c>
      <c r="C431" s="5">
        <v>0.7</v>
      </c>
      <c r="D431" s="5">
        <v>2068.0263799999998</v>
      </c>
      <c r="E431" s="5">
        <v>3.77813</v>
      </c>
      <c r="F431" s="5">
        <v>27</v>
      </c>
    </row>
    <row r="432" spans="1:6" x14ac:dyDescent="0.25">
      <c r="A432" s="5" t="s">
        <v>28</v>
      </c>
      <c r="B432" s="5">
        <v>97</v>
      </c>
      <c r="C432" s="5">
        <v>0.7</v>
      </c>
      <c r="D432" s="5">
        <v>2068.0263799999998</v>
      </c>
      <c r="E432" s="5">
        <v>3.8121499999999999</v>
      </c>
      <c r="F432" s="5">
        <v>28</v>
      </c>
    </row>
    <row r="433" spans="1:6" x14ac:dyDescent="0.25">
      <c r="A433" s="5" t="s">
        <v>28</v>
      </c>
      <c r="B433" s="5">
        <v>97</v>
      </c>
      <c r="C433" s="5">
        <v>0.7</v>
      </c>
      <c r="D433" s="5">
        <v>2068.0263799999998</v>
      </c>
      <c r="E433" s="5">
        <v>3.81236</v>
      </c>
      <c r="F433" s="5">
        <v>28</v>
      </c>
    </row>
    <row r="434" spans="1:6" x14ac:dyDescent="0.25">
      <c r="A434" s="5" t="s">
        <v>28</v>
      </c>
      <c r="B434" s="5">
        <v>97</v>
      </c>
      <c r="C434" s="5">
        <v>0.7</v>
      </c>
      <c r="D434" s="5">
        <v>2068.0263799999998</v>
      </c>
      <c r="E434" s="5">
        <v>3.7909600000000001</v>
      </c>
      <c r="F434" s="5">
        <v>28</v>
      </c>
    </row>
    <row r="435" spans="1:6" x14ac:dyDescent="0.25">
      <c r="A435" s="5" t="s">
        <v>28</v>
      </c>
      <c r="B435" s="5">
        <v>97</v>
      </c>
      <c r="C435" s="5">
        <v>0.7</v>
      </c>
      <c r="D435" s="5">
        <v>2068.0263799999998</v>
      </c>
      <c r="E435" s="5">
        <v>3.8047900000000001</v>
      </c>
      <c r="F435" s="5">
        <v>28</v>
      </c>
    </row>
    <row r="436" spans="1:6" x14ac:dyDescent="0.25">
      <c r="A436" s="5" t="s">
        <v>28</v>
      </c>
      <c r="B436" s="5">
        <v>97</v>
      </c>
      <c r="C436" s="5">
        <v>0.7</v>
      </c>
      <c r="D436" s="5">
        <v>2068.0263799999998</v>
      </c>
      <c r="E436" s="5">
        <v>3.78437</v>
      </c>
      <c r="F436" s="5">
        <v>28</v>
      </c>
    </row>
    <row r="437" spans="1:6" x14ac:dyDescent="0.25">
      <c r="A437" s="5" t="s">
        <v>28</v>
      </c>
      <c r="B437" s="5">
        <v>97</v>
      </c>
      <c r="C437" s="5">
        <v>0.7</v>
      </c>
      <c r="D437" s="5">
        <v>2068.0263799999998</v>
      </c>
      <c r="E437" s="5">
        <v>3.8179599999999998</v>
      </c>
      <c r="F437" s="5">
        <v>28</v>
      </c>
    </row>
    <row r="438" spans="1:6" x14ac:dyDescent="0.25">
      <c r="A438" s="5" t="s">
        <v>28</v>
      </c>
      <c r="B438" s="5">
        <v>97</v>
      </c>
      <c r="C438" s="5">
        <v>0.7</v>
      </c>
      <c r="D438" s="5">
        <v>2068.0263799999998</v>
      </c>
      <c r="E438" s="5">
        <v>3.8037299999999998</v>
      </c>
      <c r="F438" s="5">
        <v>28</v>
      </c>
    </row>
    <row r="439" spans="1:6" x14ac:dyDescent="0.25">
      <c r="A439" s="5" t="s">
        <v>28</v>
      </c>
      <c r="B439" s="5">
        <v>97</v>
      </c>
      <c r="C439" s="5">
        <v>0.7</v>
      </c>
      <c r="D439" s="5">
        <v>2068.0263799999998</v>
      </c>
      <c r="E439" s="5">
        <v>3.8022999999999998</v>
      </c>
      <c r="F439" s="5">
        <v>28</v>
      </c>
    </row>
    <row r="440" spans="1:6" x14ac:dyDescent="0.25">
      <c r="A440" s="5" t="s">
        <v>28</v>
      </c>
      <c r="B440" s="5">
        <v>97</v>
      </c>
      <c r="C440" s="5">
        <v>0.7</v>
      </c>
      <c r="D440" s="5">
        <v>2068.0263799999998</v>
      </c>
      <c r="E440" s="5">
        <v>3.7972999999999999</v>
      </c>
      <c r="F440" s="5">
        <v>28</v>
      </c>
    </row>
    <row r="441" spans="1:6" x14ac:dyDescent="0.25">
      <c r="A441" s="5" t="s">
        <v>28</v>
      </c>
      <c r="B441" s="5">
        <v>97</v>
      </c>
      <c r="C441" s="5">
        <v>1</v>
      </c>
      <c r="D441" s="5">
        <v>1960.05636</v>
      </c>
      <c r="E441" s="5">
        <v>5.5171999999999999</v>
      </c>
      <c r="F441" s="5">
        <v>35</v>
      </c>
    </row>
    <row r="442" spans="1:6" x14ac:dyDescent="0.25">
      <c r="A442" s="5" t="s">
        <v>28</v>
      </c>
      <c r="B442" s="5">
        <v>97</v>
      </c>
      <c r="C442" s="5">
        <v>1</v>
      </c>
      <c r="D442" s="5">
        <v>1960.05636</v>
      </c>
      <c r="E442" s="5">
        <v>5.5413300000000003</v>
      </c>
      <c r="F442" s="5">
        <v>35</v>
      </c>
    </row>
    <row r="443" spans="1:6" x14ac:dyDescent="0.25">
      <c r="A443" s="5" t="s">
        <v>28</v>
      </c>
      <c r="B443" s="5">
        <v>97</v>
      </c>
      <c r="C443" s="5">
        <v>1</v>
      </c>
      <c r="D443" s="5">
        <v>1960.05636</v>
      </c>
      <c r="E443" s="5">
        <v>5.49505</v>
      </c>
      <c r="F443" s="5">
        <v>34</v>
      </c>
    </row>
    <row r="444" spans="1:6" x14ac:dyDescent="0.25">
      <c r="A444" s="5" t="s">
        <v>28</v>
      </c>
      <c r="B444" s="5">
        <v>97</v>
      </c>
      <c r="C444" s="5">
        <v>1</v>
      </c>
      <c r="D444" s="5">
        <v>1960.05636</v>
      </c>
      <c r="E444" s="5">
        <v>5.5369000000000002</v>
      </c>
      <c r="F444" s="5">
        <v>33</v>
      </c>
    </row>
    <row r="445" spans="1:6" x14ac:dyDescent="0.25">
      <c r="A445" s="5" t="s">
        <v>28</v>
      </c>
      <c r="B445" s="5">
        <v>97</v>
      </c>
      <c r="C445" s="5">
        <v>1</v>
      </c>
      <c r="D445" s="5">
        <v>1960.05636</v>
      </c>
      <c r="E445" s="5">
        <v>5.5675800000000004</v>
      </c>
      <c r="F445" s="5">
        <v>36</v>
      </c>
    </row>
    <row r="446" spans="1:6" x14ac:dyDescent="0.25">
      <c r="A446" s="5" t="s">
        <v>28</v>
      </c>
      <c r="B446" s="5">
        <v>97</v>
      </c>
      <c r="C446" s="5">
        <v>1</v>
      </c>
      <c r="D446" s="5">
        <v>1960.05636</v>
      </c>
      <c r="E446" s="5">
        <v>5.5894199999999996</v>
      </c>
      <c r="F446" s="5">
        <v>35</v>
      </c>
    </row>
    <row r="447" spans="1:6" x14ac:dyDescent="0.25">
      <c r="A447" s="5" t="s">
        <v>28</v>
      </c>
      <c r="B447" s="5">
        <v>97</v>
      </c>
      <c r="C447" s="5">
        <v>1</v>
      </c>
      <c r="D447" s="5">
        <v>1960.05636</v>
      </c>
      <c r="E447" s="5">
        <v>5.5215399999999999</v>
      </c>
      <c r="F447" s="5">
        <v>35</v>
      </c>
    </row>
    <row r="448" spans="1:6" x14ac:dyDescent="0.25">
      <c r="A448" s="5" t="s">
        <v>28</v>
      </c>
      <c r="B448" s="5">
        <v>97</v>
      </c>
      <c r="C448" s="5">
        <v>1</v>
      </c>
      <c r="D448" s="5">
        <v>1960.05636</v>
      </c>
      <c r="E448" s="5">
        <v>5.53043</v>
      </c>
      <c r="F448" s="5">
        <v>31</v>
      </c>
    </row>
    <row r="449" spans="1:6" x14ac:dyDescent="0.25">
      <c r="A449" s="5" t="s">
        <v>28</v>
      </c>
      <c r="B449" s="5">
        <v>97</v>
      </c>
      <c r="C449" s="5">
        <v>1</v>
      </c>
      <c r="D449" s="5">
        <v>1960.05636</v>
      </c>
      <c r="E449" s="5">
        <v>5.4734600000000002</v>
      </c>
      <c r="F449" s="5">
        <v>31</v>
      </c>
    </row>
    <row r="450" spans="1:6" x14ac:dyDescent="0.25">
      <c r="A450" s="5" t="s">
        <v>28</v>
      </c>
      <c r="B450" s="5">
        <v>97</v>
      </c>
      <c r="C450" s="5">
        <v>1</v>
      </c>
      <c r="D450" s="5">
        <v>1960.05636</v>
      </c>
      <c r="E450" s="5">
        <v>5.6136699999999999</v>
      </c>
      <c r="F450" s="5">
        <v>33</v>
      </c>
    </row>
  </sheetData>
  <phoneticPr fontId="1" type="noConversion"/>
  <pageMargins left="0.7" right="0.7" top="0.75" bottom="0.75" header="0.3" footer="0.3"/>
  <pageSetup paperSize="152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Para. setting</vt:lpstr>
      <vt:lpstr>C,E,L,M</vt:lpstr>
      <vt:lpstr>Total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2021-01-19T03:41:50Z</dcterms:modified>
</cp:coreProperties>
</file>